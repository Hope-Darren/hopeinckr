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C2DBE97-3484-42B1-937E-FFFC71D2FEB8}" xr6:coauthVersionLast="47" xr6:coauthVersionMax="47" xr10:uidLastSave="{00000000-0000-0000-0000-000000000000}"/>
  <bookViews>
    <workbookView xWindow="-110" yWindow="-110" windowWidth="38620" windowHeight="21100" xr2:uid="{ACD334BD-D752-406E-90E1-4706F4CA7F96}"/>
  </bookViews>
  <sheets>
    <sheet name="입출고 2026" sheetId="1" r:id="rId1"/>
  </sheets>
  <definedNames>
    <definedName name="_xlnm._FilterDatabase" localSheetId="0" hidden="1">'입출고 2026'!$A$1:$Z$1161</definedName>
    <definedName name="_xlnm.Print_Area" localSheetId="0">'입출고 2026'!$B$905:$M$909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186" i="1" l="1"/>
  <c r="W1178" i="1"/>
  <c r="W1186" i="1" s="1"/>
  <c r="S1178" i="1"/>
  <c r="S1186" i="1" s="1"/>
  <c r="Z1161" i="1"/>
  <c r="Z1160" i="1"/>
  <c r="Z1159" i="1"/>
  <c r="Z1158" i="1"/>
  <c r="Z1157" i="1"/>
  <c r="S1156" i="1"/>
  <c r="Z1156" i="1" s="1"/>
  <c r="S1155" i="1"/>
  <c r="Z1155" i="1" s="1"/>
  <c r="W1154" i="1"/>
  <c r="Z1154" i="1" s="1"/>
  <c r="Q1153" i="1"/>
  <c r="Z1153" i="1" s="1"/>
  <c r="Q1152" i="1"/>
  <c r="Z1152" i="1" s="1"/>
  <c r="W1151" i="1"/>
  <c r="S1151" i="1"/>
  <c r="Z1151" i="1" s="1"/>
  <c r="W1150" i="1"/>
  <c r="S1150" i="1"/>
  <c r="W1149" i="1"/>
  <c r="Z1149" i="1" s="1"/>
  <c r="S1149" i="1"/>
  <c r="W1148" i="1"/>
  <c r="Z1148" i="1" s="1"/>
  <c r="S1148" i="1"/>
  <c r="W1147" i="1"/>
  <c r="S1147" i="1"/>
  <c r="W1146" i="1"/>
  <c r="S1146" i="1"/>
  <c r="Z1146" i="1" s="1"/>
  <c r="W1145" i="1"/>
  <c r="Z1145" i="1" s="1"/>
  <c r="S1145" i="1"/>
  <c r="Z1144" i="1"/>
  <c r="W1144" i="1"/>
  <c r="S1144" i="1"/>
  <c r="W1143" i="1"/>
  <c r="S1143" i="1"/>
  <c r="W1142" i="1"/>
  <c r="S1142" i="1"/>
  <c r="W1141" i="1"/>
  <c r="Z1141" i="1" s="1"/>
  <c r="S1141" i="1"/>
  <c r="W1140" i="1"/>
  <c r="Z1140" i="1" s="1"/>
  <c r="S1140" i="1"/>
  <c r="W1139" i="1"/>
  <c r="Z1139" i="1" s="1"/>
  <c r="S1139" i="1"/>
  <c r="S1138" i="1"/>
  <c r="Z1138" i="1" s="1"/>
  <c r="W1137" i="1"/>
  <c r="Z1137" i="1" s="1"/>
  <c r="S1137" i="1"/>
  <c r="S1136" i="1"/>
  <c r="Z1136" i="1" s="1"/>
  <c r="S1135" i="1"/>
  <c r="Z1135" i="1" s="1"/>
  <c r="W1134" i="1"/>
  <c r="S1134" i="1"/>
  <c r="W1133" i="1"/>
  <c r="S1133" i="1"/>
  <c r="S1132" i="1"/>
  <c r="Z1132" i="1" s="1"/>
  <c r="W1131" i="1"/>
  <c r="Z1131" i="1" s="1"/>
  <c r="S1131" i="1"/>
  <c r="W1130" i="1"/>
  <c r="Z1130" i="1" s="1"/>
  <c r="S1130" i="1"/>
  <c r="W1129" i="1"/>
  <c r="S1129" i="1"/>
  <c r="W1128" i="1"/>
  <c r="S1128" i="1"/>
  <c r="W1127" i="1"/>
  <c r="Z1127" i="1" s="1"/>
  <c r="S1127" i="1"/>
  <c r="Z1126" i="1"/>
  <c r="W1126" i="1"/>
  <c r="S1126" i="1"/>
  <c r="Q1125" i="1"/>
  <c r="Z1125" i="1" s="1"/>
  <c r="S1124" i="1"/>
  <c r="Z1124" i="1" s="1"/>
  <c r="Q1123" i="1"/>
  <c r="Z1123" i="1" s="1"/>
  <c r="S1122" i="1"/>
  <c r="Z1122" i="1" s="1"/>
  <c r="S1121" i="1"/>
  <c r="Z1121" i="1" s="1"/>
  <c r="Q1120" i="1"/>
  <c r="Z1120" i="1" s="1"/>
  <c r="S1119" i="1"/>
  <c r="Z1119" i="1" s="1"/>
  <c r="S1118" i="1"/>
  <c r="Z1118" i="1" s="1"/>
  <c r="W1117" i="1"/>
  <c r="Z1117" i="1" s="1"/>
  <c r="S1117" i="1"/>
  <c r="W1116" i="1"/>
  <c r="S1116" i="1"/>
  <c r="Z1116" i="1" s="1"/>
  <c r="W1115" i="1"/>
  <c r="Z1115" i="1" s="1"/>
  <c r="S1115" i="1"/>
  <c r="W1114" i="1"/>
  <c r="S1114" i="1"/>
  <c r="Z1114" i="1" s="1"/>
  <c r="W1113" i="1"/>
  <c r="S1113" i="1"/>
  <c r="Z1112" i="1"/>
  <c r="W1112" i="1"/>
  <c r="S1112" i="1"/>
  <c r="W1111" i="1"/>
  <c r="Z1111" i="1" s="1"/>
  <c r="S1110" i="1"/>
  <c r="Z1110" i="1" s="1"/>
  <c r="S1109" i="1"/>
  <c r="Z1109" i="1" s="1"/>
  <c r="S1108" i="1"/>
  <c r="Z1108" i="1" s="1"/>
  <c r="S1107" i="1"/>
  <c r="Z1107" i="1" s="1"/>
  <c r="Z1106" i="1"/>
  <c r="Z1105" i="1"/>
  <c r="W1105" i="1"/>
  <c r="S1105" i="1"/>
  <c r="W1104" i="1"/>
  <c r="Z1104" i="1" s="1"/>
  <c r="S1104" i="1"/>
  <c r="W1103" i="1"/>
  <c r="Z1103" i="1" s="1"/>
  <c r="S1103" i="1"/>
  <c r="Q1102" i="1" a="1"/>
  <c r="Q1102" i="1" s="1"/>
  <c r="Z1102" i="1" s="1"/>
  <c r="Z1101" i="1"/>
  <c r="S1101" i="1"/>
  <c r="W1100" i="1"/>
  <c r="S1100" i="1"/>
  <c r="Z1100" i="1" s="1"/>
  <c r="W1099" i="1"/>
  <c r="Z1099" i="1" s="1"/>
  <c r="S1099" i="1"/>
  <c r="W1098" i="1"/>
  <c r="Z1098" i="1" s="1"/>
  <c r="S1098" i="1"/>
  <c r="Z1097" i="1"/>
  <c r="W1097" i="1"/>
  <c r="S1097" i="1"/>
  <c r="Z1096" i="1"/>
  <c r="W1096" i="1"/>
  <c r="S1096" i="1"/>
  <c r="W1095" i="1"/>
  <c r="S1095" i="1"/>
  <c r="W1094" i="1"/>
  <c r="S1094" i="1"/>
  <c r="Z1093" i="1"/>
  <c r="W1093" i="1"/>
  <c r="S1093" i="1"/>
  <c r="W1092" i="1"/>
  <c r="S1092" i="1"/>
  <c r="Z1092" i="1" s="1"/>
  <c r="W1091" i="1"/>
  <c r="Z1091" i="1" s="1"/>
  <c r="S1091" i="1"/>
  <c r="W1090" i="1"/>
  <c r="S1090" i="1"/>
  <c r="W1089" i="1"/>
  <c r="S1089" i="1"/>
  <c r="Z1089" i="1" s="1"/>
  <c r="Z1088" i="1"/>
  <c r="W1088" i="1"/>
  <c r="S1088" i="1"/>
  <c r="W1087" i="1"/>
  <c r="S1087" i="1"/>
  <c r="W1086" i="1"/>
  <c r="S1086" i="1"/>
  <c r="W1085" i="1"/>
  <c r="Z1085" i="1" s="1"/>
  <c r="S1085" i="1"/>
  <c r="W1084" i="1"/>
  <c r="Z1084" i="1" s="1"/>
  <c r="S1084" i="1"/>
  <c r="W1083" i="1"/>
  <c r="Z1083" i="1" s="1"/>
  <c r="S1083" i="1"/>
  <c r="W1082" i="1"/>
  <c r="S1082" i="1"/>
  <c r="Z1081" i="1"/>
  <c r="W1081" i="1"/>
  <c r="S1081" i="1"/>
  <c r="Z1080" i="1"/>
  <c r="W1080" i="1"/>
  <c r="S1080" i="1"/>
  <c r="W1079" i="1"/>
  <c r="Z1079" i="1" s="1"/>
  <c r="S1079" i="1"/>
  <c r="W1078" i="1"/>
  <c r="S1078" i="1"/>
  <c r="W1077" i="1"/>
  <c r="Z1077" i="1" s="1"/>
  <c r="S1077" i="1"/>
  <c r="W1076" i="1"/>
  <c r="S1076" i="1"/>
  <c r="Z1076" i="1" s="1"/>
  <c r="W1075" i="1"/>
  <c r="Z1075" i="1" s="1"/>
  <c r="S1075" i="1"/>
  <c r="W1074" i="1"/>
  <c r="Z1074" i="1" s="1"/>
  <c r="S1074" i="1"/>
  <c r="Z1073" i="1"/>
  <c r="W1073" i="1"/>
  <c r="S1073" i="1"/>
  <c r="Z1072" i="1"/>
  <c r="W1072" i="1"/>
  <c r="S1072" i="1"/>
  <c r="S1071" i="1"/>
  <c r="Z1071" i="1" s="1"/>
  <c r="S1070" i="1"/>
  <c r="Z1070" i="1" s="1"/>
  <c r="S1069" i="1"/>
  <c r="Z1069" i="1" s="1"/>
  <c r="S1068" i="1"/>
  <c r="Z1068" i="1" s="1"/>
  <c r="S1067" i="1"/>
  <c r="Z1067" i="1" s="1"/>
  <c r="S1066" i="1"/>
  <c r="Z1066" i="1" s="1"/>
  <c r="S1065" i="1"/>
  <c r="Z1065" i="1" s="1"/>
  <c r="W1064" i="1"/>
  <c r="S1064" i="1"/>
  <c r="Z1063" i="1"/>
  <c r="W1063" i="1"/>
  <c r="S1063" i="1"/>
  <c r="W1062" i="1"/>
  <c r="Z1062" i="1" s="1"/>
  <c r="S1062" i="1"/>
  <c r="W1061" i="1"/>
  <c r="S1061" i="1"/>
  <c r="W1060" i="1"/>
  <c r="Z1060" i="1" s="1"/>
  <c r="S1060" i="1"/>
  <c r="W1059" i="1"/>
  <c r="S1059" i="1"/>
  <c r="Z1059" i="1" s="1"/>
  <c r="W1058" i="1"/>
  <c r="Z1058" i="1" s="1"/>
  <c r="S1058" i="1"/>
  <c r="S1057" i="1"/>
  <c r="Z1057" i="1" s="1"/>
  <c r="S1056" i="1"/>
  <c r="Z1056" i="1" s="1"/>
  <c r="S1055" i="1"/>
  <c r="Z1055" i="1" s="1"/>
  <c r="Q1054" i="1"/>
  <c r="Z1054" i="1" s="1"/>
  <c r="Z1053" i="1"/>
  <c r="Q1052" i="1"/>
  <c r="Z1052" i="1" s="1"/>
  <c r="W1051" i="1"/>
  <c r="Z1051" i="1" s="1"/>
  <c r="S1051" i="1"/>
  <c r="S1050" i="1"/>
  <c r="Z1050" i="1" s="1"/>
  <c r="W1049" i="1"/>
  <c r="Z1049" i="1" s="1"/>
  <c r="S1049" i="1"/>
  <c r="W1048" i="1"/>
  <c r="Z1048" i="1" s="1"/>
  <c r="S1048" i="1"/>
  <c r="S1047" i="1"/>
  <c r="Z1047" i="1" s="1"/>
  <c r="S1046" i="1"/>
  <c r="Z1046" i="1" s="1"/>
  <c r="S1045" i="1"/>
  <c r="Z1045" i="1" s="1"/>
  <c r="S1044" i="1"/>
  <c r="Z1044" i="1" s="1"/>
  <c r="S1043" i="1"/>
  <c r="Z1043" i="1" s="1"/>
  <c r="Z1042" i="1"/>
  <c r="W1042" i="1"/>
  <c r="S1042" i="1"/>
  <c r="W1041" i="1"/>
  <c r="Z1041" i="1" s="1"/>
  <c r="S1041" i="1"/>
  <c r="W1040" i="1"/>
  <c r="S1040" i="1"/>
  <c r="W1039" i="1"/>
  <c r="Z1039" i="1" s="1"/>
  <c r="S1039" i="1"/>
  <c r="W1038" i="1"/>
  <c r="S1038" i="1"/>
  <c r="Z1038" i="1" s="1"/>
  <c r="S1037" i="1"/>
  <c r="Z1037" i="1" s="1"/>
  <c r="S1036" i="1"/>
  <c r="Z1036" i="1" s="1"/>
  <c r="S1035" i="1"/>
  <c r="Z1035" i="1" s="1"/>
  <c r="S1034" i="1"/>
  <c r="Z1034" i="1" s="1"/>
  <c r="S1033" i="1"/>
  <c r="Z1033" i="1" s="1"/>
  <c r="S1032" i="1"/>
  <c r="Z1032" i="1" s="1"/>
  <c r="S1031" i="1"/>
  <c r="Z1031" i="1" s="1"/>
  <c r="S1030" i="1"/>
  <c r="Z1030" i="1" s="1"/>
  <c r="S1029" i="1"/>
  <c r="Z1029" i="1" s="1"/>
  <c r="Z1028" i="1"/>
  <c r="Z1027" i="1"/>
  <c r="S1027" i="1"/>
  <c r="Z1026" i="1"/>
  <c r="W1026" i="1"/>
  <c r="Z1025" i="1"/>
  <c r="W1025" i="1"/>
  <c r="W1024" i="1"/>
  <c r="Z1024" i="1" s="1"/>
  <c r="S1023" i="1"/>
  <c r="Z1023" i="1" s="1"/>
  <c r="S1022" i="1"/>
  <c r="Z1022" i="1" s="1"/>
  <c r="Z1021" i="1"/>
  <c r="S1021" i="1"/>
  <c r="S1020" i="1"/>
  <c r="Z1020" i="1" s="1"/>
  <c r="Z1019" i="1"/>
  <c r="S1019" i="1"/>
  <c r="S1018" i="1"/>
  <c r="Z1018" i="1" s="1"/>
  <c r="S1017" i="1"/>
  <c r="Z1017" i="1" s="1"/>
  <c r="S1016" i="1"/>
  <c r="Z1016" i="1" s="1"/>
  <c r="W1015" i="1"/>
  <c r="Z1015" i="1" s="1"/>
  <c r="S1015" i="1"/>
  <c r="W1014" i="1"/>
  <c r="Z1014" i="1" s="1"/>
  <c r="W1013" i="1"/>
  <c r="Z1013" i="1" s="1"/>
  <c r="S1013" i="1"/>
  <c r="W1012" i="1"/>
  <c r="Z1012" i="1" s="1"/>
  <c r="S1012" i="1"/>
  <c r="W1011" i="1"/>
  <c r="Z1011" i="1" s="1"/>
  <c r="S1011" i="1"/>
  <c r="Z1010" i="1"/>
  <c r="W1010" i="1"/>
  <c r="S1010" i="1"/>
  <c r="W1009" i="1"/>
  <c r="S1009" i="1"/>
  <c r="W1008" i="1"/>
  <c r="Z1008" i="1" s="1"/>
  <c r="S1008" i="1"/>
  <c r="W1007" i="1"/>
  <c r="S1007" i="1"/>
  <c r="Z1006" i="1"/>
  <c r="W1006" i="1"/>
  <c r="S1006" i="1"/>
  <c r="W1005" i="1"/>
  <c r="Z1005" i="1" s="1"/>
  <c r="S1005" i="1"/>
  <c r="W1004" i="1"/>
  <c r="S1004" i="1"/>
  <c r="W1003" i="1"/>
  <c r="Z1003" i="1" s="1"/>
  <c r="S1003" i="1"/>
  <c r="W1002" i="1"/>
  <c r="Z1002" i="1" s="1"/>
  <c r="S1002" i="1"/>
  <c r="W1001" i="1"/>
  <c r="Z1001" i="1" s="1"/>
  <c r="S1001" i="1"/>
  <c r="W1000" i="1"/>
  <c r="S1000" i="1"/>
  <c r="W999" i="1"/>
  <c r="S999" i="1"/>
  <c r="Z998" i="1"/>
  <c r="W998" i="1"/>
  <c r="S998" i="1"/>
  <c r="W997" i="1"/>
  <c r="Z997" i="1" s="1"/>
  <c r="S997" i="1"/>
  <c r="W996" i="1"/>
  <c r="Z996" i="1" s="1"/>
  <c r="S996" i="1"/>
  <c r="W995" i="1"/>
  <c r="Z995" i="1" s="1"/>
  <c r="S995" i="1"/>
  <c r="Z994" i="1"/>
  <c r="W994" i="1"/>
  <c r="S994" i="1"/>
  <c r="W993" i="1"/>
  <c r="Z993" i="1" s="1"/>
  <c r="S993" i="1"/>
  <c r="W992" i="1"/>
  <c r="Z992" i="1" s="1"/>
  <c r="S992" i="1"/>
  <c r="W991" i="1"/>
  <c r="S991" i="1"/>
  <c r="Z990" i="1"/>
  <c r="W990" i="1"/>
  <c r="S990" i="1"/>
  <c r="W989" i="1"/>
  <c r="Z989" i="1" s="1"/>
  <c r="S989" i="1"/>
  <c r="W988" i="1"/>
  <c r="S988" i="1"/>
  <c r="W987" i="1"/>
  <c r="Z987" i="1" s="1"/>
  <c r="S987" i="1"/>
  <c r="S986" i="1"/>
  <c r="Z986" i="1" s="1"/>
  <c r="Z985" i="1"/>
  <c r="S985" i="1"/>
  <c r="Q984" i="1"/>
  <c r="Z984" i="1" s="1"/>
  <c r="Q983" i="1"/>
  <c r="Z983" i="1" s="1"/>
  <c r="Q982" i="1"/>
  <c r="Z982" i="1" s="1"/>
  <c r="S981" i="1"/>
  <c r="S980" i="1"/>
  <c r="Z980" i="1" s="1"/>
  <c r="S979" i="1"/>
  <c r="Z979" i="1" s="1"/>
  <c r="S978" i="1"/>
  <c r="Z978" i="1" s="1"/>
  <c r="W977" i="1"/>
  <c r="Z977" i="1" s="1"/>
  <c r="S977" i="1"/>
  <c r="W976" i="1"/>
  <c r="S976" i="1"/>
  <c r="W975" i="1"/>
  <c r="S975" i="1"/>
  <c r="Z975" i="1" s="1"/>
  <c r="W974" i="1"/>
  <c r="Z974" i="1" s="1"/>
  <c r="S974" i="1"/>
  <c r="T974" i="1" s="1"/>
  <c r="U974" i="1" s="1"/>
  <c r="W973" i="1"/>
  <c r="Z973" i="1" s="1"/>
  <c r="T973" i="1"/>
  <c r="U973" i="1" s="1"/>
  <c r="S973" i="1"/>
  <c r="S972" i="1"/>
  <c r="Z972" i="1" s="1"/>
  <c r="Z971" i="1"/>
  <c r="S971" i="1"/>
  <c r="S970" i="1"/>
  <c r="Z970" i="1" s="1"/>
  <c r="S969" i="1"/>
  <c r="Z969" i="1" s="1"/>
  <c r="S968" i="1"/>
  <c r="Z968" i="1" s="1"/>
  <c r="Z967" i="1"/>
  <c r="S967" i="1"/>
  <c r="Z966" i="1"/>
  <c r="S966" i="1"/>
  <c r="S965" i="1"/>
  <c r="Z965" i="1" s="1"/>
  <c r="Z964" i="1"/>
  <c r="S964" i="1"/>
  <c r="S963" i="1"/>
  <c r="Z963" i="1" s="1"/>
  <c r="S962" i="1"/>
  <c r="Z962" i="1" s="1"/>
  <c r="S961" i="1"/>
  <c r="Z961" i="1" s="1"/>
  <c r="Z960" i="1"/>
  <c r="S960" i="1"/>
  <c r="Z959" i="1"/>
  <c r="S959" i="1"/>
  <c r="S958" i="1"/>
  <c r="Z958" i="1" s="1"/>
  <c r="S957" i="1"/>
  <c r="Z957" i="1" s="1"/>
  <c r="S956" i="1"/>
  <c r="Z956" i="1" s="1"/>
  <c r="S955" i="1"/>
  <c r="Z955" i="1" s="1"/>
  <c r="S954" i="1"/>
  <c r="Z954" i="1" s="1"/>
  <c r="Z953" i="1"/>
  <c r="S953" i="1"/>
  <c r="Z952" i="1"/>
  <c r="S952" i="1"/>
  <c r="S951" i="1"/>
  <c r="Z951" i="1" s="1"/>
  <c r="S950" i="1"/>
  <c r="Z950" i="1" s="1"/>
  <c r="Z949" i="1"/>
  <c r="S949" i="1"/>
  <c r="S948" i="1"/>
  <c r="Z948" i="1" s="1"/>
  <c r="Z947" i="1"/>
  <c r="S947" i="1"/>
  <c r="Z946" i="1"/>
  <c r="S946" i="1"/>
  <c r="S945" i="1"/>
  <c r="Z945" i="1" s="1"/>
  <c r="Z944" i="1"/>
  <c r="W943" i="1"/>
  <c r="S943" i="1"/>
  <c r="Z942" i="1"/>
  <c r="W942" i="1"/>
  <c r="S942" i="1"/>
  <c r="W941" i="1"/>
  <c r="Z941" i="1" s="1"/>
  <c r="S941" i="1"/>
  <c r="W940" i="1"/>
  <c r="S940" i="1"/>
  <c r="W939" i="1"/>
  <c r="Z939" i="1" s="1"/>
  <c r="S939" i="1"/>
  <c r="W938" i="1"/>
  <c r="Z938" i="1" s="1"/>
  <c r="S938" i="1"/>
  <c r="W937" i="1"/>
  <c r="Z937" i="1" s="1"/>
  <c r="S937" i="1"/>
  <c r="W936" i="1"/>
  <c r="S936" i="1"/>
  <c r="Q935" i="1"/>
  <c r="Z935" i="1" s="1"/>
  <c r="Q934" i="1"/>
  <c r="Z934" i="1" s="1"/>
  <c r="Q933" i="1"/>
  <c r="Z933" i="1" s="1"/>
  <c r="Q932" i="1"/>
  <c r="Z932" i="1" s="1"/>
  <c r="Q931" i="1"/>
  <c r="Z931" i="1" s="1"/>
  <c r="Q930" i="1"/>
  <c r="Z930" i="1" s="1"/>
  <c r="Q929" i="1"/>
  <c r="Z929" i="1" s="1"/>
  <c r="Z928" i="1"/>
  <c r="Q928" i="1"/>
  <c r="S927" i="1"/>
  <c r="Z927" i="1" s="1"/>
  <c r="W926" i="1"/>
  <c r="Z926" i="1" s="1"/>
  <c r="S926" i="1"/>
  <c r="W925" i="1"/>
  <c r="S925" i="1"/>
  <c r="W924" i="1"/>
  <c r="Z924" i="1" s="1"/>
  <c r="S924" i="1"/>
  <c r="W923" i="1"/>
  <c r="S923" i="1"/>
  <c r="Z923" i="1" s="1"/>
  <c r="W922" i="1"/>
  <c r="Z922" i="1" s="1"/>
  <c r="S922" i="1"/>
  <c r="W921" i="1"/>
  <c r="S921" i="1"/>
  <c r="W920" i="1"/>
  <c r="S920" i="1"/>
  <c r="Z919" i="1"/>
  <c r="S919" i="1"/>
  <c r="Z918" i="1"/>
  <c r="W918" i="1"/>
  <c r="S918" i="1"/>
  <c r="W917" i="1"/>
  <c r="Z917" i="1" s="1"/>
  <c r="S917" i="1"/>
  <c r="W916" i="1"/>
  <c r="S916" i="1"/>
  <c r="Z915" i="1"/>
  <c r="W915" i="1"/>
  <c r="S915" i="1"/>
  <c r="Z914" i="1"/>
  <c r="Q914" i="1"/>
  <c r="Z913" i="1"/>
  <c r="S913" i="1"/>
  <c r="S912" i="1"/>
  <c r="Z912" i="1" s="1"/>
  <c r="Z911" i="1"/>
  <c r="S911" i="1"/>
  <c r="Z910" i="1"/>
  <c r="S910" i="1"/>
  <c r="Z909" i="1"/>
  <c r="S909" i="1"/>
  <c r="W908" i="1"/>
  <c r="Z908" i="1" s="1"/>
  <c r="S908" i="1"/>
  <c r="S907" i="1"/>
  <c r="Z907" i="1" s="1"/>
  <c r="S906" i="1"/>
  <c r="Z906" i="1" s="1"/>
  <c r="S905" i="1"/>
  <c r="Z905" i="1" s="1"/>
  <c r="Z904" i="1"/>
  <c r="Q904" i="1"/>
  <c r="Z903" i="1"/>
  <c r="Z902" i="1"/>
  <c r="W901" i="1"/>
  <c r="Z901" i="1" s="1"/>
  <c r="S900" i="1"/>
  <c r="Z900" i="1" s="1"/>
  <c r="S899" i="1"/>
  <c r="Z899" i="1" s="1"/>
  <c r="W898" i="1"/>
  <c r="Z898" i="1" s="1"/>
  <c r="S898" i="1"/>
  <c r="Z897" i="1"/>
  <c r="W897" i="1"/>
  <c r="S897" i="1"/>
  <c r="T897" i="1" s="1"/>
  <c r="U897" i="1" s="1"/>
  <c r="U1186" i="1" s="1"/>
  <c r="S896" i="1"/>
  <c r="Z896" i="1" s="1"/>
  <c r="S895" i="1"/>
  <c r="Z895" i="1" s="1"/>
  <c r="S894" i="1"/>
  <c r="Z894" i="1" s="1"/>
  <c r="S893" i="1"/>
  <c r="Z893" i="1" s="1"/>
  <c r="S892" i="1"/>
  <c r="Z892" i="1" s="1"/>
  <c r="S891" i="1"/>
  <c r="Z891" i="1" s="1"/>
  <c r="S890" i="1"/>
  <c r="Z890" i="1" s="1"/>
  <c r="S889" i="1"/>
  <c r="Z889" i="1" s="1"/>
  <c r="S888" i="1"/>
  <c r="Z888" i="1" s="1"/>
  <c r="S887" i="1"/>
  <c r="Z887" i="1" s="1"/>
  <c r="W886" i="1"/>
  <c r="Z886" i="1" s="1"/>
  <c r="S886" i="1"/>
  <c r="W885" i="1"/>
  <c r="S885" i="1"/>
  <c r="W884" i="1"/>
  <c r="Z884" i="1" s="1"/>
  <c r="S884" i="1"/>
  <c r="W883" i="1"/>
  <c r="Z883" i="1" s="1"/>
  <c r="S883" i="1"/>
  <c r="W882" i="1"/>
  <c r="Z882" i="1" s="1"/>
  <c r="S882" i="1"/>
  <c r="W881" i="1"/>
  <c r="S881" i="1"/>
  <c r="W880" i="1"/>
  <c r="Z880" i="1" s="1"/>
  <c r="S880" i="1"/>
  <c r="W879" i="1"/>
  <c r="Z879" i="1" s="1"/>
  <c r="S879" i="1"/>
  <c r="W878" i="1"/>
  <c r="S878" i="1"/>
  <c r="W877" i="1"/>
  <c r="Z877" i="1" s="1"/>
  <c r="S877" i="1"/>
  <c r="W876" i="1"/>
  <c r="S876" i="1"/>
  <c r="Z875" i="1"/>
  <c r="W875" i="1"/>
  <c r="S875" i="1"/>
  <c r="W874" i="1"/>
  <c r="S874" i="1"/>
  <c r="W873" i="1"/>
  <c r="S873" i="1"/>
  <c r="W872" i="1"/>
  <c r="Z872" i="1" s="1"/>
  <c r="S872" i="1"/>
  <c r="W871" i="1"/>
  <c r="S871" i="1"/>
  <c r="Z871" i="1" s="1"/>
  <c r="W870" i="1"/>
  <c r="Z870" i="1" s="1"/>
  <c r="S870" i="1"/>
  <c r="W869" i="1"/>
  <c r="Z869" i="1" s="1"/>
  <c r="S869" i="1"/>
  <c r="W868" i="1"/>
  <c r="Z868" i="1" s="1"/>
  <c r="S868" i="1"/>
  <c r="W867" i="1"/>
  <c r="Z867" i="1" s="1"/>
  <c r="S867" i="1"/>
  <c r="W866" i="1"/>
  <c r="Z866" i="1" s="1"/>
  <c r="S866" i="1"/>
  <c r="W865" i="1"/>
  <c r="S865" i="1"/>
  <c r="W864" i="1"/>
  <c r="Z864" i="1" s="1"/>
  <c r="S864" i="1"/>
  <c r="W863" i="1"/>
  <c r="Z863" i="1" s="1"/>
  <c r="S863" i="1"/>
  <c r="W862" i="1"/>
  <c r="S862" i="1"/>
  <c r="W861" i="1"/>
  <c r="Z861" i="1" s="1"/>
  <c r="S861" i="1"/>
  <c r="W860" i="1"/>
  <c r="S860" i="1"/>
  <c r="Z859" i="1"/>
  <c r="W859" i="1"/>
  <c r="S859" i="1"/>
  <c r="W858" i="1"/>
  <c r="S858" i="1"/>
  <c r="W857" i="1"/>
  <c r="S857" i="1"/>
  <c r="W856" i="1"/>
  <c r="Z856" i="1" s="1"/>
  <c r="S856" i="1"/>
  <c r="W855" i="1"/>
  <c r="S855" i="1"/>
  <c r="Z855" i="1" s="1"/>
  <c r="W854" i="1"/>
  <c r="Z854" i="1" s="1"/>
  <c r="S854" i="1"/>
  <c r="W853" i="1"/>
  <c r="Z853" i="1" s="1"/>
  <c r="S853" i="1"/>
  <c r="W852" i="1"/>
  <c r="Z852" i="1" s="1"/>
  <c r="S852" i="1"/>
  <c r="W851" i="1"/>
  <c r="Z851" i="1" s="1"/>
  <c r="S851" i="1"/>
  <c r="W850" i="1"/>
  <c r="Z850" i="1" s="1"/>
  <c r="S850" i="1"/>
  <c r="W849" i="1"/>
  <c r="S849" i="1"/>
  <c r="Q848" i="1"/>
  <c r="Z848" i="1" s="1"/>
  <c r="Q847" i="1"/>
  <c r="Z847" i="1" s="1"/>
  <c r="Q846" i="1"/>
  <c r="Z846" i="1" s="1"/>
  <c r="Q845" i="1"/>
  <c r="Z845" i="1" s="1"/>
  <c r="Q844" i="1"/>
  <c r="Z844" i="1" s="1"/>
  <c r="S843" i="1"/>
  <c r="Z843" i="1" s="1"/>
  <c r="S842" i="1"/>
  <c r="Z842" i="1" s="1"/>
  <c r="S841" i="1"/>
  <c r="Z841" i="1" s="1"/>
  <c r="S840" i="1"/>
  <c r="Z840" i="1" s="1"/>
  <c r="S839" i="1"/>
  <c r="Z839" i="1" s="1"/>
  <c r="Z838" i="1"/>
  <c r="S838" i="1"/>
  <c r="W837" i="1"/>
  <c r="Z837" i="1" s="1"/>
  <c r="S837" i="1"/>
  <c r="W836" i="1"/>
  <c r="S836" i="1"/>
  <c r="Z836" i="1" s="1"/>
  <c r="Z835" i="1"/>
  <c r="S835" i="1"/>
  <c r="S834" i="1"/>
  <c r="Z834" i="1" s="1"/>
  <c r="S833" i="1"/>
  <c r="Z833" i="1" s="1"/>
  <c r="Q832" i="1"/>
  <c r="Z832" i="1" s="1"/>
  <c r="Q831" i="1"/>
  <c r="Z831" i="1" s="1"/>
  <c r="Q830" i="1"/>
  <c r="Z830" i="1" s="1"/>
  <c r="Z829" i="1"/>
  <c r="S829" i="1"/>
  <c r="S828" i="1"/>
  <c r="Z828" i="1" s="1"/>
  <c r="Z827" i="1"/>
  <c r="S827" i="1"/>
  <c r="S826" i="1"/>
  <c r="Z826" i="1" s="1"/>
  <c r="S825" i="1"/>
  <c r="Z825" i="1" s="1"/>
  <c r="S824" i="1"/>
  <c r="Z824" i="1" s="1"/>
  <c r="Z823" i="1"/>
  <c r="S823" i="1"/>
  <c r="S822" i="1"/>
  <c r="Z822" i="1" s="1"/>
  <c r="S821" i="1"/>
  <c r="Z821" i="1" s="1"/>
  <c r="S820" i="1"/>
  <c r="Z820" i="1" s="1"/>
  <c r="S819" i="1"/>
  <c r="Z819" i="1" s="1"/>
  <c r="S818" i="1"/>
  <c r="Z818" i="1" s="1"/>
  <c r="Z817" i="1"/>
  <c r="S817" i="1"/>
  <c r="S816" i="1"/>
  <c r="Z816" i="1" s="1"/>
  <c r="S815" i="1"/>
  <c r="Z815" i="1" s="1"/>
  <c r="S814" i="1"/>
  <c r="Z814" i="1" s="1"/>
  <c r="Z813" i="1"/>
  <c r="Z812" i="1"/>
  <c r="S811" i="1"/>
  <c r="Z811" i="1" s="1"/>
  <c r="W810" i="1"/>
  <c r="S810" i="1"/>
  <c r="Z810" i="1" s="1"/>
  <c r="Z809" i="1"/>
  <c r="W809" i="1"/>
  <c r="S809" i="1"/>
  <c r="W808" i="1"/>
  <c r="S808" i="1"/>
  <c r="W807" i="1"/>
  <c r="S807" i="1"/>
  <c r="W806" i="1"/>
  <c r="Z806" i="1" s="1"/>
  <c r="Q805" i="1"/>
  <c r="Z805" i="1" s="1"/>
  <c r="Q804" i="1"/>
  <c r="Z804" i="1" s="1"/>
  <c r="Q803" i="1"/>
  <c r="Z803" i="1" s="1"/>
  <c r="W802" i="1"/>
  <c r="Z802" i="1" s="1"/>
  <c r="S802" i="1"/>
  <c r="V801" i="1"/>
  <c r="W801" i="1" s="1"/>
  <c r="R801" i="1"/>
  <c r="S801" i="1" s="1"/>
  <c r="W800" i="1"/>
  <c r="V800" i="1"/>
  <c r="R800" i="1"/>
  <c r="S800" i="1" s="1"/>
  <c r="Z800" i="1" s="1"/>
  <c r="V799" i="1"/>
  <c r="W799" i="1" s="1"/>
  <c r="R799" i="1"/>
  <c r="S799" i="1" s="1"/>
  <c r="W798" i="1"/>
  <c r="Z798" i="1" s="1"/>
  <c r="S798" i="1"/>
  <c r="Q797" i="1"/>
  <c r="Z797" i="1" s="1"/>
  <c r="S796" i="1"/>
  <c r="Z796" i="1" s="1"/>
  <c r="Z795" i="1"/>
  <c r="S795" i="1"/>
  <c r="Z794" i="1"/>
  <c r="S794" i="1"/>
  <c r="Z793" i="1"/>
  <c r="S793" i="1"/>
  <c r="S792" i="1"/>
  <c r="Z792" i="1" s="1"/>
  <c r="S791" i="1"/>
  <c r="Z791" i="1" s="1"/>
  <c r="S790" i="1"/>
  <c r="Z790" i="1" s="1"/>
  <c r="S789" i="1"/>
  <c r="Z789" i="1" s="1"/>
  <c r="Z788" i="1"/>
  <c r="S788" i="1"/>
  <c r="Z787" i="1"/>
  <c r="S787" i="1"/>
  <c r="Z786" i="1"/>
  <c r="S786" i="1"/>
  <c r="W785" i="1"/>
  <c r="S785" i="1"/>
  <c r="W784" i="1"/>
  <c r="Z784" i="1" s="1"/>
  <c r="S784" i="1"/>
  <c r="Q783" i="1"/>
  <c r="Z783" i="1" s="1"/>
  <c r="Z782" i="1"/>
  <c r="Q782" i="1"/>
  <c r="W781" i="1"/>
  <c r="W780" i="1"/>
  <c r="S779" i="1"/>
  <c r="S778" i="1"/>
  <c r="S777" i="1"/>
  <c r="S776" i="1"/>
  <c r="W775" i="1"/>
  <c r="S775" i="1"/>
  <c r="W774" i="1"/>
  <c r="S774" i="1"/>
  <c r="W773" i="1"/>
  <c r="S773" i="1"/>
  <c r="W772" i="1"/>
  <c r="S772" i="1"/>
  <c r="Z772" i="1" s="1"/>
  <c r="W771" i="1"/>
  <c r="Z771" i="1" s="1"/>
  <c r="S771" i="1"/>
  <c r="W770" i="1"/>
  <c r="S770" i="1"/>
  <c r="Z770" i="1" s="1"/>
  <c r="W769" i="1"/>
  <c r="Z769" i="1" s="1"/>
  <c r="S769" i="1"/>
  <c r="Z768" i="1"/>
  <c r="W768" i="1"/>
  <c r="S768" i="1"/>
  <c r="W767" i="1"/>
  <c r="S767" i="1"/>
  <c r="W766" i="1"/>
  <c r="S766" i="1"/>
  <c r="W765" i="1"/>
  <c r="Z765" i="1" s="1"/>
  <c r="S765" i="1"/>
  <c r="W764" i="1"/>
  <c r="Z764" i="1" s="1"/>
  <c r="S764" i="1"/>
  <c r="W763" i="1"/>
  <c r="Z763" i="1" s="1"/>
  <c r="S763" i="1"/>
  <c r="W762" i="1"/>
  <c r="S762" i="1"/>
  <c r="Z762" i="1" s="1"/>
  <c r="W761" i="1"/>
  <c r="Z761" i="1" s="1"/>
  <c r="S761" i="1"/>
  <c r="Z760" i="1"/>
  <c r="W760" i="1"/>
  <c r="S760" i="1"/>
  <c r="W759" i="1"/>
  <c r="S759" i="1"/>
  <c r="W758" i="1"/>
  <c r="S758" i="1"/>
  <c r="W757" i="1"/>
  <c r="Z757" i="1" s="1"/>
  <c r="S757" i="1"/>
  <c r="W756" i="1"/>
  <c r="Z756" i="1" s="1"/>
  <c r="S756" i="1"/>
  <c r="W755" i="1"/>
  <c r="Z755" i="1" s="1"/>
  <c r="S755" i="1"/>
  <c r="W754" i="1"/>
  <c r="S754" i="1"/>
  <c r="Z754" i="1" s="1"/>
  <c r="Z753" i="1"/>
  <c r="W753" i="1"/>
  <c r="S753" i="1"/>
  <c r="Z752" i="1"/>
  <c r="W752" i="1"/>
  <c r="S752" i="1"/>
  <c r="W751" i="1"/>
  <c r="S751" i="1"/>
  <c r="W750" i="1"/>
  <c r="S750" i="1"/>
  <c r="S748" i="1"/>
  <c r="Z747" i="1"/>
  <c r="S747" i="1"/>
  <c r="Z746" i="1"/>
  <c r="S746" i="1"/>
  <c r="Z745" i="1"/>
  <c r="S745" i="1"/>
  <c r="S744" i="1"/>
  <c r="Z744" i="1" s="1"/>
  <c r="Q743" i="1"/>
  <c r="Z743" i="1" s="1"/>
  <c r="S742" i="1"/>
  <c r="Z742" i="1" s="1"/>
  <c r="S741" i="1"/>
  <c r="Z741" i="1" s="1"/>
  <c r="Z740" i="1"/>
  <c r="S740" i="1"/>
  <c r="W739" i="1"/>
  <c r="Z739" i="1" s="1"/>
  <c r="W738" i="1"/>
  <c r="S738" i="1"/>
  <c r="W737" i="1"/>
  <c r="S737" i="1"/>
  <c r="W736" i="1"/>
  <c r="S736" i="1"/>
  <c r="Z736" i="1" s="1"/>
  <c r="W735" i="1"/>
  <c r="Z735" i="1" s="1"/>
  <c r="S735" i="1"/>
  <c r="W734" i="1"/>
  <c r="Z734" i="1" s="1"/>
  <c r="S734" i="1"/>
  <c r="W733" i="1"/>
  <c r="Z733" i="1" s="1"/>
  <c r="S733" i="1"/>
  <c r="W732" i="1"/>
  <c r="Z732" i="1" s="1"/>
  <c r="S732" i="1"/>
  <c r="Q731" i="1"/>
  <c r="Z731" i="1" s="1"/>
  <c r="W730" i="1"/>
  <c r="S730" i="1"/>
  <c r="Z729" i="1"/>
  <c r="S729" i="1"/>
  <c r="Z728" i="1"/>
  <c r="S728" i="1"/>
  <c r="Z727" i="1"/>
  <c r="S727" i="1"/>
  <c r="Q726" i="1"/>
  <c r="Z726" i="1" s="1"/>
  <c r="Z725" i="1"/>
  <c r="Q725" i="1"/>
  <c r="S724" i="1"/>
  <c r="Z724" i="1" s="1"/>
  <c r="S723" i="1"/>
  <c r="Z723" i="1" s="1"/>
  <c r="Z722" i="1"/>
  <c r="S722" i="1"/>
  <c r="S721" i="1"/>
  <c r="Z721" i="1" s="1"/>
  <c r="Z720" i="1"/>
  <c r="S720" i="1"/>
  <c r="S719" i="1"/>
  <c r="Z719" i="1" s="1"/>
  <c r="S718" i="1"/>
  <c r="Z718" i="1" s="1"/>
  <c r="S717" i="1"/>
  <c r="Z717" i="1" s="1"/>
  <c r="Z716" i="1"/>
  <c r="S716" i="1"/>
  <c r="Z715" i="1"/>
  <c r="S715" i="1"/>
  <c r="Z714" i="1"/>
  <c r="S714" i="1"/>
  <c r="S713" i="1"/>
  <c r="Z713" i="1" s="1"/>
  <c r="S712" i="1"/>
  <c r="Z712" i="1" s="1"/>
  <c r="W711" i="1"/>
  <c r="S711" i="1"/>
  <c r="Z711" i="1" s="1"/>
  <c r="W710" i="1"/>
  <c r="Z710" i="1" s="1"/>
  <c r="S710" i="1"/>
  <c r="Z709" i="1"/>
  <c r="S709" i="1"/>
  <c r="W708" i="1"/>
  <c r="S708" i="1"/>
  <c r="W707" i="1"/>
  <c r="S707" i="1"/>
  <c r="Z706" i="1"/>
  <c r="W706" i="1"/>
  <c r="S706" i="1"/>
  <c r="W705" i="1"/>
  <c r="S705" i="1"/>
  <c r="Z704" i="1"/>
  <c r="W704" i="1"/>
  <c r="Q703" i="1"/>
  <c r="Z703" i="1" s="1"/>
  <c r="Z702" i="1"/>
  <c r="S702" i="1"/>
  <c r="W701" i="1"/>
  <c r="Z701" i="1" s="1"/>
  <c r="S701" i="1"/>
  <c r="W700" i="1"/>
  <c r="Z700" i="1" s="1"/>
  <c r="S700" i="1"/>
  <c r="W699" i="1"/>
  <c r="S699" i="1"/>
  <c r="Z699" i="1" s="1"/>
  <c r="W698" i="1"/>
  <c r="Z698" i="1" s="1"/>
  <c r="S698" i="1"/>
  <c r="W697" i="1"/>
  <c r="Z697" i="1" s="1"/>
  <c r="S697" i="1"/>
  <c r="W696" i="1"/>
  <c r="S696" i="1"/>
  <c r="W695" i="1"/>
  <c r="S695" i="1"/>
  <c r="W694" i="1"/>
  <c r="S694" i="1"/>
  <c r="Z693" i="1"/>
  <c r="Q693" i="1"/>
  <c r="Z692" i="1"/>
  <c r="Q692" i="1"/>
  <c r="Z691" i="1"/>
  <c r="S691" i="1"/>
  <c r="S690" i="1"/>
  <c r="Z690" i="1" s="1"/>
  <c r="S689" i="1"/>
  <c r="Z689" i="1" s="1"/>
  <c r="Z688" i="1"/>
  <c r="S688" i="1"/>
  <c r="S687" i="1"/>
  <c r="Z687" i="1" s="1"/>
  <c r="Z686" i="1"/>
  <c r="W686" i="1"/>
  <c r="W685" i="1"/>
  <c r="Z685" i="1" s="1"/>
  <c r="W684" i="1"/>
  <c r="Z684" i="1" s="1"/>
  <c r="W683" i="1"/>
  <c r="Z683" i="1" s="1"/>
  <c r="Z682" i="1"/>
  <c r="W682" i="1"/>
  <c r="W681" i="1"/>
  <c r="Z681" i="1" s="1"/>
  <c r="Z680" i="1"/>
  <c r="W680" i="1"/>
  <c r="Z679" i="1"/>
  <c r="W679" i="1"/>
  <c r="Z678" i="1"/>
  <c r="S677" i="1"/>
  <c r="Z677" i="1" s="1"/>
  <c r="S676" i="1"/>
  <c r="Z676" i="1" s="1"/>
  <c r="S675" i="1"/>
  <c r="Z675" i="1" s="1"/>
  <c r="Z674" i="1"/>
  <c r="S674" i="1"/>
  <c r="S673" i="1"/>
  <c r="Z673" i="1" s="1"/>
  <c r="S672" i="1"/>
  <c r="Z672" i="1" s="1"/>
  <c r="S671" i="1"/>
  <c r="Z671" i="1" s="1"/>
  <c r="S670" i="1"/>
  <c r="Z670" i="1" s="1"/>
  <c r="S669" i="1"/>
  <c r="Z669" i="1" s="1"/>
  <c r="S668" i="1"/>
  <c r="Z668" i="1" s="1"/>
  <c r="S667" i="1"/>
  <c r="Z667" i="1" s="1"/>
  <c r="S666" i="1"/>
  <c r="Z666" i="1" s="1"/>
  <c r="Z665" i="1"/>
  <c r="W664" i="1"/>
  <c r="S664" i="1"/>
  <c r="W663" i="1"/>
  <c r="S663" i="1"/>
  <c r="Z662" i="1"/>
  <c r="W662" i="1"/>
  <c r="S662" i="1"/>
  <c r="W661" i="1"/>
  <c r="S661" i="1"/>
  <c r="W660" i="1"/>
  <c r="S660" i="1"/>
  <c r="Z660" i="1" s="1"/>
  <c r="W659" i="1"/>
  <c r="S659" i="1"/>
  <c r="W658" i="1"/>
  <c r="Z658" i="1" s="1"/>
  <c r="S658" i="1"/>
  <c r="W657" i="1"/>
  <c r="Z657" i="1" s="1"/>
  <c r="S657" i="1"/>
  <c r="W656" i="1"/>
  <c r="Z656" i="1" s="1"/>
  <c r="S656" i="1"/>
  <c r="W655" i="1"/>
  <c r="Z655" i="1" s="1"/>
  <c r="S655" i="1"/>
  <c r="W654" i="1"/>
  <c r="Z654" i="1" s="1"/>
  <c r="S654" i="1"/>
  <c r="W653" i="1"/>
  <c r="S653" i="1"/>
  <c r="W652" i="1"/>
  <c r="S652" i="1"/>
  <c r="W651" i="1"/>
  <c r="Z651" i="1" s="1"/>
  <c r="S651" i="1"/>
  <c r="W650" i="1"/>
  <c r="Z650" i="1" s="1"/>
  <c r="S650" i="1"/>
  <c r="W649" i="1"/>
  <c r="S649" i="1"/>
  <c r="S648" i="1"/>
  <c r="Z648" i="1" s="1"/>
  <c r="S647" i="1"/>
  <c r="Z647" i="1" s="1"/>
  <c r="S646" i="1"/>
  <c r="Z646" i="1" s="1"/>
  <c r="Z645" i="1"/>
  <c r="S645" i="1"/>
  <c r="Q644" i="1"/>
  <c r="Z644" i="1" s="1"/>
  <c r="S643" i="1"/>
  <c r="Z643" i="1" s="1"/>
  <c r="S642" i="1"/>
  <c r="Z642" i="1" s="1"/>
  <c r="Z641" i="1"/>
  <c r="S641" i="1"/>
  <c r="S640" i="1"/>
  <c r="Z640" i="1" s="1"/>
  <c r="Z639" i="1"/>
  <c r="S639" i="1"/>
  <c r="Z638" i="1"/>
  <c r="S638" i="1"/>
  <c r="Z637" i="1"/>
  <c r="S637" i="1"/>
  <c r="Q636" i="1"/>
  <c r="Z636" i="1" s="1"/>
  <c r="S635" i="1"/>
  <c r="Z635" i="1" s="1"/>
  <c r="S634" i="1"/>
  <c r="Z634" i="1" s="1"/>
  <c r="S633" i="1"/>
  <c r="Z633" i="1" s="1"/>
  <c r="Z632" i="1"/>
  <c r="S632" i="1"/>
  <c r="S631" i="1"/>
  <c r="Z631" i="1" s="1"/>
  <c r="S630" i="1"/>
  <c r="Z630" i="1" s="1"/>
  <c r="W629" i="1"/>
  <c r="S629" i="1"/>
  <c r="Z629" i="1" s="1"/>
  <c r="Z628" i="1"/>
  <c r="W628" i="1"/>
  <c r="S628" i="1"/>
  <c r="W627" i="1"/>
  <c r="Z627" i="1" s="1"/>
  <c r="S627" i="1"/>
  <c r="Q626" i="1"/>
  <c r="Z626" i="1" s="1"/>
  <c r="Q625" i="1"/>
  <c r="Z625" i="1" s="1"/>
  <c r="Q624" i="1"/>
  <c r="Z624" i="1" s="1"/>
  <c r="Q623" i="1"/>
  <c r="Z623" i="1" s="1"/>
  <c r="Q622" i="1"/>
  <c r="Z622" i="1" s="1"/>
  <c r="Q621" i="1"/>
  <c r="Z621" i="1" s="1"/>
  <c r="S620" i="1"/>
  <c r="Z620" i="1" s="1"/>
  <c r="W619" i="1"/>
  <c r="S619" i="1"/>
  <c r="Z618" i="1"/>
  <c r="W618" i="1"/>
  <c r="S618" i="1"/>
  <c r="W617" i="1"/>
  <c r="S617" i="1"/>
  <c r="W616" i="1"/>
  <c r="Z616" i="1" s="1"/>
  <c r="S616" i="1"/>
  <c r="W615" i="1"/>
  <c r="S615" i="1"/>
  <c r="Z614" i="1"/>
  <c r="Q614" i="1"/>
  <c r="Q613" i="1"/>
  <c r="Z613" i="1" s="1"/>
  <c r="Z612" i="1"/>
  <c r="Q612" i="1"/>
  <c r="Q611" i="1"/>
  <c r="Z611" i="1" s="1"/>
  <c r="S610" i="1"/>
  <c r="Z610" i="1" s="1"/>
  <c r="Z609" i="1"/>
  <c r="S609" i="1"/>
  <c r="Z608" i="1"/>
  <c r="Q608" i="1"/>
  <c r="Z607" i="1"/>
  <c r="S607" i="1"/>
  <c r="S606" i="1"/>
  <c r="Z606" i="1" s="1"/>
  <c r="S605" i="1"/>
  <c r="Z605" i="1" s="1"/>
  <c r="W604" i="1"/>
  <c r="Z604" i="1" s="1"/>
  <c r="Z603" i="1"/>
  <c r="S602" i="1"/>
  <c r="Z602" i="1" s="1"/>
  <c r="Z601" i="1"/>
  <c r="W601" i="1"/>
  <c r="S600" i="1"/>
  <c r="Z600" i="1" s="1"/>
  <c r="S599" i="1"/>
  <c r="Z599" i="1" s="1"/>
  <c r="S598" i="1"/>
  <c r="Z598" i="1" s="1"/>
  <c r="S597" i="1"/>
  <c r="Z597" i="1" s="1"/>
  <c r="S596" i="1"/>
  <c r="Z596" i="1" s="1"/>
  <c r="Z595" i="1"/>
  <c r="Z594" i="1"/>
  <c r="W594" i="1"/>
  <c r="S594" i="1"/>
  <c r="W593" i="1"/>
  <c r="Z593" i="1" s="1"/>
  <c r="S593" i="1"/>
  <c r="W592" i="1"/>
  <c r="S592" i="1"/>
  <c r="Z592" i="1" s="1"/>
  <c r="W591" i="1"/>
  <c r="Z591" i="1" s="1"/>
  <c r="S591" i="1"/>
  <c r="W590" i="1"/>
  <c r="Z590" i="1" s="1"/>
  <c r="S590" i="1"/>
  <c r="W589" i="1"/>
  <c r="Z589" i="1" s="1"/>
  <c r="S589" i="1"/>
  <c r="W588" i="1"/>
  <c r="S588" i="1"/>
  <c r="Z588" i="1" s="1"/>
  <c r="W587" i="1"/>
  <c r="Z587" i="1" s="1"/>
  <c r="S587" i="1"/>
  <c r="Z586" i="1"/>
  <c r="W586" i="1"/>
  <c r="S586" i="1"/>
  <c r="W585" i="1"/>
  <c r="S585" i="1"/>
  <c r="W584" i="1"/>
  <c r="Z584" i="1" s="1"/>
  <c r="S584" i="1"/>
  <c r="S583" i="1"/>
  <c r="Z583" i="1" s="1"/>
  <c r="S582" i="1"/>
  <c r="Z582" i="1" s="1"/>
  <c r="S581" i="1"/>
  <c r="Z581" i="1" s="1"/>
  <c r="Q580" i="1"/>
  <c r="Z580" i="1" s="1"/>
  <c r="S579" i="1"/>
  <c r="Z579" i="1" s="1"/>
  <c r="S578" i="1"/>
  <c r="Z578" i="1" s="1"/>
  <c r="W577" i="1"/>
  <c r="Z577" i="1" s="1"/>
  <c r="W576" i="1"/>
  <c r="Z576" i="1" s="1"/>
  <c r="W575" i="1"/>
  <c r="Z575" i="1" s="1"/>
  <c r="W574" i="1"/>
  <c r="Z574" i="1" s="1"/>
  <c r="Z573" i="1"/>
  <c r="W572" i="1"/>
  <c r="S572" i="1"/>
  <c r="Z572" i="1" s="1"/>
  <c r="W571" i="1"/>
  <c r="Z571" i="1" s="1"/>
  <c r="S571" i="1"/>
  <c r="Z570" i="1"/>
  <c r="W570" i="1"/>
  <c r="W569" i="1"/>
  <c r="S569" i="1"/>
  <c r="Z569" i="1" s="1"/>
  <c r="Q568" i="1"/>
  <c r="Z568" i="1" s="1"/>
  <c r="Q567" i="1"/>
  <c r="Z567" i="1" s="1"/>
  <c r="Z566" i="1"/>
  <c r="Z565" i="1"/>
  <c r="Z564" i="1"/>
  <c r="W564" i="1"/>
  <c r="S564" i="1"/>
  <c r="Z563" i="1"/>
  <c r="W563" i="1"/>
  <c r="S563" i="1"/>
  <c r="W562" i="1"/>
  <c r="S562" i="1"/>
  <c r="W561" i="1"/>
  <c r="S561" i="1"/>
  <c r="W560" i="1"/>
  <c r="S560" i="1"/>
  <c r="Z560" i="1" s="1"/>
  <c r="W559" i="1"/>
  <c r="S559" i="1"/>
  <c r="Z559" i="1" s="1"/>
  <c r="W558" i="1"/>
  <c r="Z558" i="1" s="1"/>
  <c r="S558" i="1"/>
  <c r="W557" i="1"/>
  <c r="S557" i="1"/>
  <c r="Z557" i="1" s="1"/>
  <c r="Z556" i="1"/>
  <c r="W556" i="1"/>
  <c r="S556" i="1"/>
  <c r="Z555" i="1"/>
  <c r="Z554" i="1"/>
  <c r="Z553" i="1"/>
  <c r="S552" i="1"/>
  <c r="Z552" i="1" s="1"/>
  <c r="S551" i="1"/>
  <c r="Z551" i="1" s="1"/>
  <c r="S550" i="1"/>
  <c r="Z550" i="1" s="1"/>
  <c r="Z549" i="1"/>
  <c r="S549" i="1"/>
  <c r="Q548" i="1"/>
  <c r="Z548" i="1" s="1"/>
  <c r="Z547" i="1"/>
  <c r="Z546" i="1"/>
  <c r="W546" i="1"/>
  <c r="Z545" i="1"/>
  <c r="Z544" i="1"/>
  <c r="S543" i="1"/>
  <c r="Z543" i="1" s="1"/>
  <c r="Z542" i="1"/>
  <c r="S542" i="1"/>
  <c r="Z541" i="1"/>
  <c r="S541" i="1"/>
  <c r="S540" i="1"/>
  <c r="Z540" i="1" s="1"/>
  <c r="Z539" i="1"/>
  <c r="S539" i="1"/>
  <c r="S538" i="1"/>
  <c r="Z538" i="1" s="1"/>
  <c r="Z537" i="1"/>
  <c r="Z536" i="1"/>
  <c r="Z535" i="1"/>
  <c r="Z534" i="1"/>
  <c r="W534" i="1"/>
  <c r="S534" i="1"/>
  <c r="W533" i="1"/>
  <c r="Z533" i="1" s="1"/>
  <c r="S533" i="1"/>
  <c r="W532" i="1"/>
  <c r="Z532" i="1" s="1"/>
  <c r="S532" i="1"/>
  <c r="W531" i="1"/>
  <c r="S531" i="1"/>
  <c r="W530" i="1"/>
  <c r="Z530" i="1" s="1"/>
  <c r="S530" i="1"/>
  <c r="W529" i="1"/>
  <c r="Z529" i="1" s="1"/>
  <c r="S529" i="1"/>
  <c r="W528" i="1"/>
  <c r="Z528" i="1" s="1"/>
  <c r="S528" i="1"/>
  <c r="W527" i="1"/>
  <c r="S527" i="1"/>
  <c r="Z526" i="1"/>
  <c r="W526" i="1"/>
  <c r="S526" i="1"/>
  <c r="Z525" i="1"/>
  <c r="W525" i="1"/>
  <c r="S525" i="1"/>
  <c r="W524" i="1"/>
  <c r="S524" i="1"/>
  <c r="W523" i="1"/>
  <c r="S523" i="1"/>
  <c r="W522" i="1"/>
  <c r="S522" i="1"/>
  <c r="Z522" i="1" s="1"/>
  <c r="W521" i="1"/>
  <c r="Z521" i="1" s="1"/>
  <c r="S521" i="1"/>
  <c r="W520" i="1"/>
  <c r="Z520" i="1" s="1"/>
  <c r="S520" i="1"/>
  <c r="W519" i="1"/>
  <c r="S519" i="1"/>
  <c r="Z519" i="1" s="1"/>
  <c r="Z518" i="1"/>
  <c r="W518" i="1"/>
  <c r="S518" i="1"/>
  <c r="S517" i="1"/>
  <c r="Z517" i="1" s="1"/>
  <c r="S516" i="1"/>
  <c r="Z516" i="1" s="1"/>
  <c r="Z515" i="1"/>
  <c r="S515" i="1"/>
  <c r="S514" i="1"/>
  <c r="Z514" i="1" s="1"/>
  <c r="S513" i="1"/>
  <c r="Z513" i="1" s="1"/>
  <c r="Z512" i="1"/>
  <c r="S512" i="1"/>
  <c r="S511" i="1"/>
  <c r="Z511" i="1" s="1"/>
  <c r="S510" i="1"/>
  <c r="Z510" i="1" s="1"/>
  <c r="Z509" i="1"/>
  <c r="W509" i="1"/>
  <c r="W508" i="1"/>
  <c r="Z508" i="1" s="1"/>
  <c r="S507" i="1"/>
  <c r="Z507" i="1" s="1"/>
  <c r="Z506" i="1"/>
  <c r="W506" i="1"/>
  <c r="S506" i="1"/>
  <c r="S505" i="1"/>
  <c r="Z505" i="1" s="1"/>
  <c r="S504" i="1"/>
  <c r="Z504" i="1" s="1"/>
  <c r="S503" i="1"/>
  <c r="Z503" i="1" s="1"/>
  <c r="W502" i="1"/>
  <c r="Z502" i="1" s="1"/>
  <c r="Z501" i="1"/>
  <c r="Q501" i="1"/>
  <c r="Q500" i="1"/>
  <c r="Z500" i="1" s="1"/>
  <c r="S499" i="1"/>
  <c r="Z499" i="1" s="1"/>
  <c r="S498" i="1"/>
  <c r="Z498" i="1" s="1"/>
  <c r="S497" i="1"/>
  <c r="Z497" i="1" s="1"/>
  <c r="S496" i="1"/>
  <c r="Z496" i="1" s="1"/>
  <c r="S495" i="1"/>
  <c r="Z495" i="1" s="1"/>
  <c r="S494" i="1"/>
  <c r="Z494" i="1" s="1"/>
  <c r="S493" i="1"/>
  <c r="Z493" i="1" s="1"/>
  <c r="S492" i="1"/>
  <c r="Z492" i="1" s="1"/>
  <c r="S491" i="1"/>
  <c r="Z491" i="1" s="1"/>
  <c r="S490" i="1"/>
  <c r="Z490" i="1" s="1"/>
  <c r="S489" i="1"/>
  <c r="Z489" i="1" s="1"/>
  <c r="S488" i="1"/>
  <c r="Z488" i="1" s="1"/>
  <c r="W487" i="1"/>
  <c r="Z487" i="1" s="1"/>
  <c r="S487" i="1"/>
  <c r="W486" i="1"/>
  <c r="S486" i="1"/>
  <c r="Z486" i="1" s="1"/>
  <c r="W485" i="1"/>
  <c r="S485" i="1"/>
  <c r="Z484" i="1"/>
  <c r="W484" i="1"/>
  <c r="S484" i="1"/>
  <c r="Z483" i="1"/>
  <c r="Z482" i="1"/>
  <c r="Z481" i="1"/>
  <c r="W480" i="1"/>
  <c r="S480" i="1"/>
  <c r="W479" i="1"/>
  <c r="S479" i="1"/>
  <c r="W478" i="1"/>
  <c r="Z478" i="1" s="1"/>
  <c r="S478" i="1"/>
  <c r="W477" i="1"/>
  <c r="Z477" i="1" s="1"/>
  <c r="S477" i="1"/>
  <c r="W476" i="1"/>
  <c r="S476" i="1"/>
  <c r="W475" i="1"/>
  <c r="Z475" i="1" s="1"/>
  <c r="S475" i="1"/>
  <c r="Z474" i="1"/>
  <c r="P474" i="1"/>
  <c r="Z473" i="1"/>
  <c r="S473" i="1"/>
  <c r="W472" i="1"/>
  <c r="S472" i="1"/>
  <c r="Z472" i="1" s="1"/>
  <c r="W471" i="1"/>
  <c r="Z471" i="1" s="1"/>
  <c r="S471" i="1"/>
  <c r="W470" i="1"/>
  <c r="Z470" i="1" s="1"/>
  <c r="S470" i="1"/>
  <c r="W469" i="1"/>
  <c r="Z469" i="1" s="1"/>
  <c r="S468" i="1"/>
  <c r="Z468" i="1" s="1"/>
  <c r="W467" i="1"/>
  <c r="S467" i="1"/>
  <c r="S466" i="1"/>
  <c r="Z466" i="1" s="1"/>
  <c r="Z465" i="1"/>
  <c r="W465" i="1"/>
  <c r="S465" i="1"/>
  <c r="W464" i="1"/>
  <c r="S464" i="1"/>
  <c r="Z463" i="1"/>
  <c r="Q463" i="1"/>
  <c r="Z462" i="1"/>
  <c r="Q462" i="1"/>
  <c r="W461" i="1"/>
  <c r="S461" i="1"/>
  <c r="S460" i="1"/>
  <c r="Z460" i="1" s="1"/>
  <c r="S459" i="1"/>
  <c r="Z459" i="1" s="1"/>
  <c r="S458" i="1"/>
  <c r="Z458" i="1" s="1"/>
  <c r="S457" i="1"/>
  <c r="Z457" i="1" s="1"/>
  <c r="S456" i="1"/>
  <c r="Z456" i="1" s="1"/>
  <c r="S455" i="1"/>
  <c r="Z455" i="1" s="1"/>
  <c r="Z454" i="1"/>
  <c r="S454" i="1"/>
  <c r="W453" i="1"/>
  <c r="Z453" i="1" s="1"/>
  <c r="W452" i="1"/>
  <c r="Z452" i="1" s="1"/>
  <c r="Z451" i="1"/>
  <c r="W450" i="1"/>
  <c r="Z450" i="1" s="1"/>
  <c r="Z449" i="1"/>
  <c r="S449" i="1"/>
  <c r="S448" i="1"/>
  <c r="Z448" i="1" s="1"/>
  <c r="Z447" i="1"/>
  <c r="S447" i="1"/>
  <c r="Z446" i="1"/>
  <c r="S446" i="1"/>
  <c r="Z445" i="1"/>
  <c r="S445" i="1"/>
  <c r="S444" i="1"/>
  <c r="Z444" i="1" s="1"/>
  <c r="Z443" i="1"/>
  <c r="S443" i="1"/>
  <c r="S442" i="1"/>
  <c r="Z442" i="1" s="1"/>
  <c r="Z441" i="1"/>
  <c r="S441" i="1"/>
  <c r="Z440" i="1"/>
  <c r="Z439" i="1"/>
  <c r="W438" i="1"/>
  <c r="S438" i="1"/>
  <c r="W437" i="1"/>
  <c r="S437" i="1"/>
  <c r="Z436" i="1"/>
  <c r="W436" i="1"/>
  <c r="S436" i="1"/>
  <c r="W435" i="1"/>
  <c r="S435" i="1"/>
  <c r="W434" i="1"/>
  <c r="S434" i="1"/>
  <c r="W433" i="1"/>
  <c r="S433" i="1"/>
  <c r="W432" i="1"/>
  <c r="Z432" i="1" s="1"/>
  <c r="S432" i="1"/>
  <c r="W431" i="1"/>
  <c r="Z431" i="1" s="1"/>
  <c r="S431" i="1"/>
  <c r="W430" i="1"/>
  <c r="S430" i="1"/>
  <c r="Z430" i="1" s="1"/>
  <c r="W429" i="1"/>
  <c r="Z429" i="1" s="1"/>
  <c r="S429" i="1"/>
  <c r="W428" i="1"/>
  <c r="S428" i="1"/>
  <c r="Z428" i="1" s="1"/>
  <c r="W427" i="1"/>
  <c r="Z427" i="1" s="1"/>
  <c r="S427" i="1"/>
  <c r="W426" i="1"/>
  <c r="S426" i="1"/>
  <c r="Z426" i="1" s="1"/>
  <c r="W425" i="1"/>
  <c r="S425" i="1"/>
  <c r="W424" i="1"/>
  <c r="Z424" i="1" s="1"/>
  <c r="S424" i="1"/>
  <c r="W423" i="1"/>
  <c r="Z423" i="1" s="1"/>
  <c r="S423" i="1"/>
  <c r="W422" i="1"/>
  <c r="S422" i="1"/>
  <c r="W421" i="1"/>
  <c r="S421" i="1"/>
  <c r="Z420" i="1"/>
  <c r="W420" i="1"/>
  <c r="S420" i="1"/>
  <c r="W419" i="1"/>
  <c r="S419" i="1"/>
  <c r="W418" i="1"/>
  <c r="S418" i="1"/>
  <c r="S417" i="1"/>
  <c r="Z417" i="1" s="1"/>
  <c r="S416" i="1"/>
  <c r="Z416" i="1" s="1"/>
  <c r="Z415" i="1"/>
  <c r="S415" i="1"/>
  <c r="Z414" i="1"/>
  <c r="Z413" i="1"/>
  <c r="Z412" i="1"/>
  <c r="Z411" i="1"/>
  <c r="S410" i="1"/>
  <c r="Z410" i="1" s="1"/>
  <c r="S409" i="1"/>
  <c r="Z409" i="1" s="1"/>
  <c r="S408" i="1"/>
  <c r="Z408" i="1" s="1"/>
  <c r="Z407" i="1"/>
  <c r="S407" i="1"/>
  <c r="S406" i="1"/>
  <c r="Z406" i="1" s="1"/>
  <c r="S405" i="1"/>
  <c r="Z405" i="1" s="1"/>
  <c r="S404" i="1"/>
  <c r="Z404" i="1" s="1"/>
  <c r="Q403" i="1"/>
  <c r="Z403" i="1" s="1"/>
  <c r="W402" i="1"/>
  <c r="Z402" i="1" s="1"/>
  <c r="S402" i="1"/>
  <c r="W401" i="1"/>
  <c r="Z401" i="1" s="1"/>
  <c r="S401" i="1"/>
  <c r="Q400" i="1"/>
  <c r="Z400" i="1" s="1"/>
  <c r="S399" i="1"/>
  <c r="Z399" i="1" s="1"/>
  <c r="S398" i="1"/>
  <c r="Z398" i="1" s="1"/>
  <c r="S397" i="1"/>
  <c r="Z397" i="1" s="1"/>
  <c r="Z396" i="1"/>
  <c r="S396" i="1"/>
  <c r="S395" i="1"/>
  <c r="Z395" i="1" s="1"/>
  <c r="S394" i="1"/>
  <c r="Z394" i="1" s="1"/>
  <c r="S393" i="1"/>
  <c r="Z393" i="1" s="1"/>
  <c r="S392" i="1"/>
  <c r="Z392" i="1" s="1"/>
  <c r="S391" i="1"/>
  <c r="Z391" i="1" s="1"/>
  <c r="Z390" i="1"/>
  <c r="S390" i="1"/>
  <c r="W389" i="1"/>
  <c r="Z389" i="1" s="1"/>
  <c r="S389" i="1"/>
  <c r="W388" i="1"/>
  <c r="S388" i="1"/>
  <c r="W387" i="1"/>
  <c r="S387" i="1"/>
  <c r="Z386" i="1"/>
  <c r="S386" i="1"/>
  <c r="W385" i="1"/>
  <c r="Z385" i="1" s="1"/>
  <c r="S385" i="1"/>
  <c r="W384" i="1"/>
  <c r="Z384" i="1" s="1"/>
  <c r="S384" i="1"/>
  <c r="Z383" i="1"/>
  <c r="S382" i="1"/>
  <c r="Z382" i="1" s="1"/>
  <c r="W381" i="1"/>
  <c r="Z381" i="1" s="1"/>
  <c r="S381" i="1"/>
  <c r="Z380" i="1"/>
  <c r="W379" i="1"/>
  <c r="Z379" i="1" s="1"/>
  <c r="S379" i="1"/>
  <c r="W378" i="1"/>
  <c r="S378" i="1"/>
  <c r="Z378" i="1" s="1"/>
  <c r="W377" i="1"/>
  <c r="Z377" i="1" s="1"/>
  <c r="S377" i="1"/>
  <c r="S376" i="1"/>
  <c r="Z376" i="1" s="1"/>
  <c r="S375" i="1"/>
  <c r="Z375" i="1" s="1"/>
  <c r="Z374" i="1"/>
  <c r="S374" i="1"/>
  <c r="Q373" i="1"/>
  <c r="Z373" i="1" s="1"/>
  <c r="S372" i="1"/>
  <c r="Z372" i="1" s="1"/>
  <c r="W371" i="1"/>
  <c r="Z371" i="1" s="1"/>
  <c r="Z370" i="1"/>
  <c r="Z369" i="1"/>
  <c r="S369" i="1"/>
  <c r="Z368" i="1"/>
  <c r="Z367" i="1"/>
  <c r="S366" i="1"/>
  <c r="Z366" i="1" s="1"/>
  <c r="S365" i="1"/>
  <c r="Z365" i="1" s="1"/>
  <c r="S364" i="1"/>
  <c r="Z364" i="1" s="1"/>
  <c r="S363" i="1"/>
  <c r="Z363" i="1" s="1"/>
  <c r="S362" i="1"/>
  <c r="Z362" i="1" s="1"/>
  <c r="S361" i="1"/>
  <c r="Z361" i="1" s="1"/>
  <c r="W360" i="1"/>
  <c r="Z360" i="1" s="1"/>
  <c r="S360" i="1"/>
  <c r="W359" i="1"/>
  <c r="S359" i="1"/>
  <c r="W358" i="1"/>
  <c r="S358" i="1"/>
  <c r="W357" i="1"/>
  <c r="Z357" i="1" s="1"/>
  <c r="S357" i="1"/>
  <c r="W356" i="1"/>
  <c r="Z356" i="1" s="1"/>
  <c r="S356" i="1"/>
  <c r="W355" i="1"/>
  <c r="S355" i="1"/>
  <c r="Z355" i="1" s="1"/>
  <c r="W354" i="1"/>
  <c r="S354" i="1"/>
  <c r="W353" i="1"/>
  <c r="Z353" i="1" s="1"/>
  <c r="S353" i="1"/>
  <c r="W352" i="1"/>
  <c r="S352" i="1"/>
  <c r="W351" i="1"/>
  <c r="S351" i="1"/>
  <c r="W350" i="1"/>
  <c r="S350" i="1"/>
  <c r="Z349" i="1"/>
  <c r="W349" i="1"/>
  <c r="S349" i="1"/>
  <c r="W348" i="1"/>
  <c r="S348" i="1"/>
  <c r="W347" i="1"/>
  <c r="S347" i="1"/>
  <c r="Z347" i="1" s="1"/>
  <c r="W346" i="1"/>
  <c r="S346" i="1"/>
  <c r="W345" i="1"/>
  <c r="S345" i="1"/>
  <c r="Z345" i="1" s="1"/>
  <c r="W344" i="1"/>
  <c r="Z344" i="1" s="1"/>
  <c r="S344" i="1"/>
  <c r="W343" i="1"/>
  <c r="S343" i="1"/>
  <c r="W342" i="1"/>
  <c r="S342" i="1"/>
  <c r="W341" i="1"/>
  <c r="Z341" i="1" s="1"/>
  <c r="S341" i="1"/>
  <c r="W340" i="1"/>
  <c r="Z340" i="1" s="1"/>
  <c r="S340" i="1"/>
  <c r="W339" i="1"/>
  <c r="S339" i="1"/>
  <c r="Z339" i="1" s="1"/>
  <c r="W338" i="1"/>
  <c r="Z338" i="1" s="1"/>
  <c r="S338" i="1"/>
  <c r="W337" i="1"/>
  <c r="Z337" i="1" s="1"/>
  <c r="S337" i="1"/>
  <c r="W336" i="1"/>
  <c r="S336" i="1"/>
  <c r="W335" i="1"/>
  <c r="S335" i="1"/>
  <c r="W334" i="1"/>
  <c r="S334" i="1"/>
  <c r="Z333" i="1"/>
  <c r="W333" i="1"/>
  <c r="S333" i="1"/>
  <c r="W332" i="1"/>
  <c r="S332" i="1"/>
  <c r="W331" i="1"/>
  <c r="S331" i="1"/>
  <c r="Z331" i="1" s="1"/>
  <c r="Q330" i="1"/>
  <c r="Z330" i="1" s="1"/>
  <c r="Q329" i="1"/>
  <c r="Z329" i="1" s="1"/>
  <c r="Q328" i="1"/>
  <c r="Z328" i="1" s="1"/>
  <c r="S327" i="1"/>
  <c r="Z327" i="1" s="1"/>
  <c r="S326" i="1"/>
  <c r="Z326" i="1" s="1"/>
  <c r="Q325" i="1"/>
  <c r="Z325" i="1" s="1"/>
  <c r="S324" i="1"/>
  <c r="Z324" i="1" s="1"/>
  <c r="Z323" i="1"/>
  <c r="S323" i="1"/>
  <c r="S322" i="1"/>
  <c r="Z322" i="1" s="1"/>
  <c r="S321" i="1"/>
  <c r="Z321" i="1" s="1"/>
  <c r="S320" i="1"/>
  <c r="Z320" i="1" s="1"/>
  <c r="Z319" i="1"/>
  <c r="W318" i="1"/>
  <c r="S318" i="1"/>
  <c r="W317" i="1"/>
  <c r="Z317" i="1" s="1"/>
  <c r="S317" i="1"/>
  <c r="Z316" i="1"/>
  <c r="W316" i="1"/>
  <c r="S316" i="1"/>
  <c r="W315" i="1"/>
  <c r="Z315" i="1" s="1"/>
  <c r="S315" i="1"/>
  <c r="S314" i="1"/>
  <c r="Z314" i="1" s="1"/>
  <c r="S313" i="1"/>
  <c r="Z313" i="1" s="1"/>
  <c r="Z312" i="1"/>
  <c r="S312" i="1"/>
  <c r="S311" i="1"/>
  <c r="Z311" i="1" s="1"/>
  <c r="Z310" i="1"/>
  <c r="S310" i="1"/>
  <c r="S309" i="1"/>
  <c r="Z309" i="1" s="1"/>
  <c r="S308" i="1"/>
  <c r="Z308" i="1" s="1"/>
  <c r="W307" i="1"/>
  <c r="Z307" i="1" s="1"/>
  <c r="Z306" i="1"/>
  <c r="W306" i="1"/>
  <c r="W305" i="1"/>
  <c r="Z305" i="1" s="1"/>
  <c r="S305" i="1"/>
  <c r="W304" i="1"/>
  <c r="Z304" i="1" s="1"/>
  <c r="S304" i="1"/>
  <c r="W303" i="1"/>
  <c r="S303" i="1"/>
  <c r="Z303" i="1" s="1"/>
  <c r="W302" i="1"/>
  <c r="S302" i="1"/>
  <c r="W301" i="1"/>
  <c r="Z301" i="1" s="1"/>
  <c r="S301" i="1"/>
  <c r="W300" i="1"/>
  <c r="S300" i="1"/>
  <c r="W299" i="1"/>
  <c r="S299" i="1"/>
  <c r="W298" i="1"/>
  <c r="S298" i="1"/>
  <c r="Z298" i="1" s="1"/>
  <c r="W297" i="1"/>
  <c r="Z297" i="1" s="1"/>
  <c r="S297" i="1"/>
  <c r="W296" i="1"/>
  <c r="Z296" i="1" s="1"/>
  <c r="S296" i="1"/>
  <c r="Z295" i="1"/>
  <c r="W294" i="1"/>
  <c r="S294" i="1"/>
  <c r="Z293" i="1"/>
  <c r="W293" i="1"/>
  <c r="S293" i="1"/>
  <c r="Q292" i="1"/>
  <c r="Z292" i="1" s="1"/>
  <c r="S291" i="1"/>
  <c r="Z291" i="1" s="1"/>
  <c r="S290" i="1"/>
  <c r="Z290" i="1" s="1"/>
  <c r="S289" i="1"/>
  <c r="Z289" i="1" s="1"/>
  <c r="W288" i="1"/>
  <c r="Z288" i="1" s="1"/>
  <c r="S288" i="1"/>
  <c r="W287" i="1"/>
  <c r="Z287" i="1" s="1"/>
  <c r="S287" i="1"/>
  <c r="W286" i="1"/>
  <c r="Z286" i="1" s="1"/>
  <c r="S286" i="1"/>
  <c r="W285" i="1"/>
  <c r="S285" i="1"/>
  <c r="Z285" i="1" s="1"/>
  <c r="W284" i="1"/>
  <c r="Z284" i="1" s="1"/>
  <c r="S284" i="1"/>
  <c r="Z283" i="1"/>
  <c r="S283" i="1"/>
  <c r="W282" i="1"/>
  <c r="S282" i="1"/>
  <c r="W281" i="1"/>
  <c r="Z281" i="1" s="1"/>
  <c r="S281" i="1"/>
  <c r="W280" i="1"/>
  <c r="Z280" i="1" s="1"/>
  <c r="S280" i="1"/>
  <c r="W279" i="1"/>
  <c r="Z279" i="1" s="1"/>
  <c r="W278" i="1"/>
  <c r="Z278" i="1" s="1"/>
  <c r="S278" i="1"/>
  <c r="W277" i="1"/>
  <c r="S277" i="1"/>
  <c r="Z277" i="1" s="1"/>
  <c r="Z276" i="1"/>
  <c r="Z275" i="1"/>
  <c r="S274" i="1"/>
  <c r="Z274" i="1" s="1"/>
  <c r="S273" i="1"/>
  <c r="Z273" i="1" s="1"/>
  <c r="W272" i="1"/>
  <c r="Z272" i="1" s="1"/>
  <c r="S272" i="1"/>
  <c r="W271" i="1"/>
  <c r="Z271" i="1" s="1"/>
  <c r="S271" i="1"/>
  <c r="W270" i="1"/>
  <c r="S270" i="1"/>
  <c r="W269" i="1"/>
  <c r="S269" i="1"/>
  <c r="W268" i="1"/>
  <c r="S268" i="1"/>
  <c r="S267" i="1"/>
  <c r="Z267" i="1" s="1"/>
  <c r="Z266" i="1"/>
  <c r="S266" i="1"/>
  <c r="S265" i="1"/>
  <c r="Z265" i="1" s="1"/>
  <c r="Z264" i="1"/>
  <c r="S264" i="1"/>
  <c r="S263" i="1"/>
  <c r="Z263" i="1" s="1"/>
  <c r="S262" i="1"/>
  <c r="Z262" i="1" s="1"/>
  <c r="Q261" i="1"/>
  <c r="Z261" i="1" s="1"/>
  <c r="Z260" i="1"/>
  <c r="Z259" i="1"/>
  <c r="S258" i="1"/>
  <c r="Z258" i="1" s="1"/>
  <c r="Z257" i="1"/>
  <c r="S256" i="1"/>
  <c r="Z256" i="1" s="1"/>
  <c r="S255" i="1"/>
  <c r="Z255" i="1" s="1"/>
  <c r="S254" i="1"/>
  <c r="Z254" i="1" s="1"/>
  <c r="S253" i="1"/>
  <c r="Z253" i="1" s="1"/>
  <c r="S252" i="1"/>
  <c r="Z252" i="1" s="1"/>
  <c r="S251" i="1"/>
  <c r="Z251" i="1" s="1"/>
  <c r="S250" i="1"/>
  <c r="Z250" i="1" s="1"/>
  <c r="S249" i="1"/>
  <c r="Z249" i="1" s="1"/>
  <c r="S248" i="1"/>
  <c r="Z248" i="1" s="1"/>
  <c r="S247" i="1"/>
  <c r="Z247" i="1" s="1"/>
  <c r="S246" i="1"/>
  <c r="Z246" i="1" s="1"/>
  <c r="Z245" i="1"/>
  <c r="S245" i="1"/>
  <c r="S244" i="1"/>
  <c r="Z244" i="1" s="1"/>
  <c r="Z243" i="1"/>
  <c r="W242" i="1"/>
  <c r="S242" i="1"/>
  <c r="W241" i="1"/>
  <c r="Z241" i="1" s="1"/>
  <c r="S241" i="1"/>
  <c r="W240" i="1"/>
  <c r="S240" i="1"/>
  <c r="W239" i="1"/>
  <c r="S239" i="1"/>
  <c r="W238" i="1"/>
  <c r="Z238" i="1" s="1"/>
  <c r="S238" i="1"/>
  <c r="W237" i="1"/>
  <c r="Z237" i="1" s="1"/>
  <c r="S237" i="1"/>
  <c r="W236" i="1"/>
  <c r="S236" i="1"/>
  <c r="W235" i="1"/>
  <c r="Z235" i="1" s="1"/>
  <c r="S235" i="1"/>
  <c r="W234" i="1"/>
  <c r="S234" i="1"/>
  <c r="W233" i="1"/>
  <c r="S233" i="1"/>
  <c r="W232" i="1"/>
  <c r="S232" i="1"/>
  <c r="Z232" i="1" s="1"/>
  <c r="W231" i="1"/>
  <c r="Z231" i="1" s="1"/>
  <c r="S231" i="1"/>
  <c r="W230" i="1"/>
  <c r="S230" i="1"/>
  <c r="W229" i="1"/>
  <c r="S229" i="1"/>
  <c r="W228" i="1"/>
  <c r="Z228" i="1" s="1"/>
  <c r="S228" i="1"/>
  <c r="W227" i="1"/>
  <c r="Z227" i="1" s="1"/>
  <c r="S227" i="1"/>
  <c r="W226" i="1"/>
  <c r="Z226" i="1" s="1"/>
  <c r="S226" i="1"/>
  <c r="W225" i="1"/>
  <c r="S225" i="1"/>
  <c r="W224" i="1"/>
  <c r="Z224" i="1" s="1"/>
  <c r="S224" i="1"/>
  <c r="S223" i="1"/>
  <c r="Z223" i="1" s="1"/>
  <c r="S222" i="1"/>
  <c r="Z222" i="1" s="1"/>
  <c r="S221" i="1"/>
  <c r="Z221" i="1" s="1"/>
  <c r="S220" i="1"/>
  <c r="Z220" i="1" s="1"/>
  <c r="S219" i="1"/>
  <c r="Z219" i="1" s="1"/>
  <c r="S218" i="1"/>
  <c r="Z218" i="1" s="1"/>
  <c r="Z217" i="1"/>
  <c r="S217" i="1"/>
  <c r="S216" i="1"/>
  <c r="Z216" i="1" s="1"/>
  <c r="Q215" i="1"/>
  <c r="Z215" i="1" s="1"/>
  <c r="W214" i="1"/>
  <c r="S214" i="1"/>
  <c r="W213" i="1"/>
  <c r="S213" i="1"/>
  <c r="Z213" i="1" s="1"/>
  <c r="W212" i="1"/>
  <c r="Z212" i="1" s="1"/>
  <c r="S212" i="1"/>
  <c r="S211" i="1"/>
  <c r="Z211" i="1" s="1"/>
  <c r="Z210" i="1"/>
  <c r="S210" i="1"/>
  <c r="S209" i="1"/>
  <c r="Z209" i="1" s="1"/>
  <c r="Z208" i="1"/>
  <c r="S208" i="1"/>
  <c r="S207" i="1"/>
  <c r="Z207" i="1" s="1"/>
  <c r="S206" i="1"/>
  <c r="Z206" i="1" s="1"/>
  <c r="S205" i="1"/>
  <c r="Z205" i="1" s="1"/>
  <c r="Z204" i="1"/>
  <c r="S204" i="1"/>
  <c r="Z203" i="1"/>
  <c r="S203" i="1"/>
  <c r="W202" i="1"/>
  <c r="S202" i="1"/>
  <c r="W201" i="1"/>
  <c r="Z201" i="1" s="1"/>
  <c r="S201" i="1"/>
  <c r="S200" i="1"/>
  <c r="Z200" i="1" s="1"/>
  <c r="W199" i="1"/>
  <c r="S199" i="1"/>
  <c r="W198" i="1"/>
  <c r="S198" i="1"/>
  <c r="W197" i="1"/>
  <c r="S197" i="1"/>
  <c r="Z196" i="1"/>
  <c r="Z195" i="1"/>
  <c r="Z194" i="1"/>
  <c r="W193" i="1"/>
  <c r="S193" i="1"/>
  <c r="S192" i="1"/>
  <c r="Z192" i="1" s="1"/>
  <c r="W191" i="1"/>
  <c r="S191" i="1"/>
  <c r="Z190" i="1"/>
  <c r="S190" i="1"/>
  <c r="W189" i="1"/>
  <c r="S189" i="1"/>
  <c r="W188" i="1"/>
  <c r="Z188" i="1" s="1"/>
  <c r="S188" i="1"/>
  <c r="W187" i="1"/>
  <c r="Z187" i="1" s="1"/>
  <c r="W186" i="1"/>
  <c r="Z186" i="1" s="1"/>
  <c r="W185" i="1"/>
  <c r="Z185" i="1" s="1"/>
  <c r="S185" i="1"/>
  <c r="S184" i="1"/>
  <c r="Z184" i="1" s="1"/>
  <c r="Z183" i="1"/>
  <c r="S183" i="1"/>
  <c r="W182" i="1"/>
  <c r="Z182" i="1" s="1"/>
  <c r="S182" i="1"/>
  <c r="S181" i="1"/>
  <c r="Z181" i="1" s="1"/>
  <c r="Z180" i="1"/>
  <c r="S180" i="1"/>
  <c r="S179" i="1"/>
  <c r="Z179" i="1" s="1"/>
  <c r="S178" i="1"/>
  <c r="Z178" i="1" s="1"/>
  <c r="S177" i="1"/>
  <c r="Z177" i="1" s="1"/>
  <c r="S176" i="1"/>
  <c r="Z176" i="1" s="1"/>
  <c r="S175" i="1"/>
  <c r="Z175" i="1" s="1"/>
  <c r="Z174" i="1"/>
  <c r="S174" i="1"/>
  <c r="S173" i="1"/>
  <c r="Z173" i="1" s="1"/>
  <c r="S172" i="1"/>
  <c r="Z172" i="1" s="1"/>
  <c r="S171" i="1"/>
  <c r="Z171" i="1" s="1"/>
  <c r="W170" i="1"/>
  <c r="Z170" i="1" s="1"/>
  <c r="W169" i="1"/>
  <c r="Z169" i="1" s="1"/>
  <c r="W168" i="1"/>
  <c r="Z168" i="1" s="1"/>
  <c r="W167" i="1"/>
  <c r="Z167" i="1" s="1"/>
  <c r="W166" i="1"/>
  <c r="Z166" i="1" s="1"/>
  <c r="S165" i="1"/>
  <c r="Z165" i="1" s="1"/>
  <c r="S164" i="1"/>
  <c r="Z164" i="1" s="1"/>
  <c r="S163" i="1"/>
  <c r="Z163" i="1" s="1"/>
  <c r="Z162" i="1"/>
  <c r="S162" i="1"/>
  <c r="S161" i="1"/>
  <c r="Z161" i="1" s="1"/>
  <c r="S160" i="1"/>
  <c r="Z160" i="1" s="1"/>
  <c r="S159" i="1"/>
  <c r="Z159" i="1" s="1"/>
  <c r="W158" i="1"/>
  <c r="Z158" i="1" s="1"/>
  <c r="S158" i="1"/>
  <c r="Z157" i="1"/>
  <c r="W157" i="1"/>
  <c r="S157" i="1"/>
  <c r="W156" i="1"/>
  <c r="S156" i="1"/>
  <c r="W155" i="1"/>
  <c r="S155" i="1"/>
  <c r="Z155" i="1" s="1"/>
  <c r="W154" i="1"/>
  <c r="S154" i="1"/>
  <c r="Z153" i="1"/>
  <c r="W153" i="1"/>
  <c r="S153" i="1"/>
  <c r="W152" i="1"/>
  <c r="Z152" i="1" s="1"/>
  <c r="S152" i="1"/>
  <c r="W151" i="1"/>
  <c r="S151" i="1"/>
  <c r="Z151" i="1" s="1"/>
  <c r="W150" i="1"/>
  <c r="Z150" i="1" s="1"/>
  <c r="S150" i="1"/>
  <c r="W149" i="1"/>
  <c r="Z149" i="1" s="1"/>
  <c r="S149" i="1"/>
  <c r="W148" i="1"/>
  <c r="Z148" i="1" s="1"/>
  <c r="S148" i="1"/>
  <c r="W147" i="1"/>
  <c r="S147" i="1"/>
  <c r="Z147" i="1" s="1"/>
  <c r="W146" i="1"/>
  <c r="Z146" i="1" s="1"/>
  <c r="S146" i="1"/>
  <c r="W145" i="1"/>
  <c r="Z145" i="1" s="1"/>
  <c r="S145" i="1"/>
  <c r="W144" i="1"/>
  <c r="S144" i="1"/>
  <c r="W143" i="1"/>
  <c r="S143" i="1"/>
  <c r="Z143" i="1" s="1"/>
  <c r="W142" i="1"/>
  <c r="Z142" i="1" s="1"/>
  <c r="S142" i="1"/>
  <c r="Z141" i="1"/>
  <c r="W141" i="1"/>
  <c r="S141" i="1"/>
  <c r="W140" i="1"/>
  <c r="S140" i="1"/>
  <c r="W139" i="1"/>
  <c r="S139" i="1"/>
  <c r="Z139" i="1" s="1"/>
  <c r="S138" i="1"/>
  <c r="Z138" i="1" s="1"/>
  <c r="S137" i="1"/>
  <c r="Z137" i="1" s="1"/>
  <c r="Z136" i="1"/>
  <c r="Q136" i="1"/>
  <c r="S135" i="1"/>
  <c r="Z135" i="1" s="1"/>
  <c r="Z134" i="1"/>
  <c r="S134" i="1"/>
  <c r="S133" i="1"/>
  <c r="Z133" i="1" s="1"/>
  <c r="W132" i="1"/>
  <c r="Z132" i="1" s="1"/>
  <c r="S132" i="1"/>
  <c r="W131" i="1"/>
  <c r="Z131" i="1" s="1"/>
  <c r="S131" i="1"/>
  <c r="S130" i="1"/>
  <c r="Z130" i="1" s="1"/>
  <c r="Z129" i="1"/>
  <c r="S129" i="1"/>
  <c r="S128" i="1"/>
  <c r="Z128" i="1" s="1"/>
  <c r="S127" i="1"/>
  <c r="Z127" i="1" s="1"/>
  <c r="W126" i="1"/>
  <c r="Z126" i="1" s="1"/>
  <c r="W125" i="1"/>
  <c r="Z125" i="1" s="1"/>
  <c r="S125" i="1"/>
  <c r="W124" i="1"/>
  <c r="S124" i="1"/>
  <c r="W123" i="1"/>
  <c r="S123" i="1"/>
  <c r="W122" i="1"/>
  <c r="S122" i="1"/>
  <c r="W121" i="1"/>
  <c r="Z121" i="1" s="1"/>
  <c r="S121" i="1"/>
  <c r="W120" i="1"/>
  <c r="S120" i="1"/>
  <c r="S119" i="1"/>
  <c r="Z119" i="1" s="1"/>
  <c r="S118" i="1"/>
  <c r="Z118" i="1" s="1"/>
  <c r="S117" i="1"/>
  <c r="Z117" i="1" s="1"/>
  <c r="S116" i="1"/>
  <c r="Z116" i="1" s="1"/>
  <c r="W115" i="1"/>
  <c r="Z115" i="1" s="1"/>
  <c r="S115" i="1"/>
  <c r="W114" i="1"/>
  <c r="S114" i="1"/>
  <c r="Z114" i="1" s="1"/>
  <c r="W113" i="1"/>
  <c r="Z113" i="1" s="1"/>
  <c r="S113" i="1"/>
  <c r="Z112" i="1"/>
  <c r="W112" i="1"/>
  <c r="S112" i="1"/>
  <c r="W111" i="1"/>
  <c r="S111" i="1"/>
  <c r="S110" i="1"/>
  <c r="Z110" i="1" s="1"/>
  <c r="Z109" i="1"/>
  <c r="S109" i="1"/>
  <c r="Z108" i="1"/>
  <c r="S108" i="1"/>
  <c r="S107" i="1"/>
  <c r="Z107" i="1" s="1"/>
  <c r="S106" i="1"/>
  <c r="Z106" i="1" s="1"/>
  <c r="S105" i="1"/>
  <c r="Z105" i="1" s="1"/>
  <c r="S104" i="1"/>
  <c r="Z104" i="1" s="1"/>
  <c r="S103" i="1"/>
  <c r="Z103" i="1" s="1"/>
  <c r="Z102" i="1"/>
  <c r="S102" i="1"/>
  <c r="Z101" i="1"/>
  <c r="S101" i="1"/>
  <c r="S100" i="1"/>
  <c r="Z100" i="1" s="1"/>
  <c r="Q99" i="1"/>
  <c r="Z99" i="1" s="1"/>
  <c r="Z98" i="1"/>
  <c r="W98" i="1"/>
  <c r="Q97" i="1"/>
  <c r="Z97" i="1" s="1"/>
  <c r="Z96" i="1"/>
  <c r="Z95" i="1"/>
  <c r="Z94" i="1"/>
  <c r="S93" i="1"/>
  <c r="Z93" i="1" s="1"/>
  <c r="W92" i="1"/>
  <c r="Z92" i="1" s="1"/>
  <c r="S92" i="1"/>
  <c r="W91" i="1"/>
  <c r="S91" i="1"/>
  <c r="Z91" i="1" s="1"/>
  <c r="W90" i="1"/>
  <c r="S90" i="1"/>
  <c r="W89" i="1"/>
  <c r="Z89" i="1" s="1"/>
  <c r="S89" i="1"/>
  <c r="W88" i="1"/>
  <c r="Z88" i="1" s="1"/>
  <c r="S88" i="1"/>
  <c r="W87" i="1"/>
  <c r="S87" i="1"/>
  <c r="W86" i="1"/>
  <c r="S86" i="1"/>
  <c r="Z85" i="1"/>
  <c r="W85" i="1"/>
  <c r="S85" i="1"/>
  <c r="W84" i="1"/>
  <c r="S84" i="1"/>
  <c r="W83" i="1"/>
  <c r="S83" i="1"/>
  <c r="S82" i="1"/>
  <c r="Z82" i="1" s="1"/>
  <c r="S81" i="1"/>
  <c r="Z81" i="1" s="1"/>
  <c r="Z80" i="1"/>
  <c r="S80" i="1"/>
  <c r="S79" i="1"/>
  <c r="Z79" i="1" s="1"/>
  <c r="Z78" i="1"/>
  <c r="S78" i="1"/>
  <c r="S77" i="1"/>
  <c r="Z77" i="1" s="1"/>
  <c r="S76" i="1"/>
  <c r="Z76" i="1" s="1"/>
  <c r="W75" i="1"/>
  <c r="S75" i="1"/>
  <c r="W74" i="1"/>
  <c r="Z74" i="1" s="1"/>
  <c r="S74" i="1"/>
  <c r="Z73" i="1"/>
  <c r="W73" i="1"/>
  <c r="S73" i="1"/>
  <c r="W72" i="1"/>
  <c r="Z72" i="1" s="1"/>
  <c r="S72" i="1"/>
  <c r="W71" i="1"/>
  <c r="Z71" i="1" s="1"/>
  <c r="S71" i="1"/>
  <c r="W70" i="1"/>
  <c r="S70" i="1"/>
  <c r="W69" i="1"/>
  <c r="S69" i="1"/>
  <c r="Z69" i="1" s="1"/>
  <c r="W68" i="1"/>
  <c r="S68" i="1"/>
  <c r="Z68" i="1" s="1"/>
  <c r="W67" i="1"/>
  <c r="Z67" i="1" s="1"/>
  <c r="S67" i="1"/>
  <c r="W66" i="1"/>
  <c r="Z66" i="1" s="1"/>
  <c r="S66" i="1"/>
  <c r="W65" i="1"/>
  <c r="Z65" i="1" s="1"/>
  <c r="S65" i="1"/>
  <c r="W64" i="1"/>
  <c r="Z64" i="1" s="1"/>
  <c r="S64" i="1"/>
  <c r="W63" i="1"/>
  <c r="S63" i="1"/>
  <c r="W62" i="1"/>
  <c r="Z62" i="1" s="1"/>
  <c r="S62" i="1"/>
  <c r="W61" i="1"/>
  <c r="S61" i="1"/>
  <c r="Z61" i="1" s="1"/>
  <c r="Z60" i="1"/>
  <c r="S59" i="1"/>
  <c r="Z59" i="1" s="1"/>
  <c r="S58" i="1"/>
  <c r="Z58" i="1" s="1"/>
  <c r="Z57" i="1"/>
  <c r="S57" i="1"/>
  <c r="S56" i="1"/>
  <c r="Z56" i="1" s="1"/>
  <c r="S55" i="1"/>
  <c r="Z55" i="1" s="1"/>
  <c r="S54" i="1"/>
  <c r="Z54" i="1" s="1"/>
  <c r="S53" i="1"/>
  <c r="Z53" i="1" s="1"/>
  <c r="W52" i="1"/>
  <c r="S52" i="1"/>
  <c r="Z51" i="1"/>
  <c r="W51" i="1"/>
  <c r="W50" i="1"/>
  <c r="S50" i="1"/>
  <c r="W49" i="1"/>
  <c r="Z49" i="1" s="1"/>
  <c r="W48" i="1"/>
  <c r="S48" i="1"/>
  <c r="Z47" i="1"/>
  <c r="W47" i="1"/>
  <c r="S47" i="1"/>
  <c r="W46" i="1"/>
  <c r="S46" i="1"/>
  <c r="W45" i="1"/>
  <c r="S45" i="1"/>
  <c r="W44" i="1"/>
  <c r="S44" i="1"/>
  <c r="Z43" i="1"/>
  <c r="S43" i="1"/>
  <c r="S42" i="1"/>
  <c r="Z42" i="1" s="1"/>
  <c r="S41" i="1"/>
  <c r="Z41" i="1" s="1"/>
  <c r="Z40" i="1"/>
  <c r="S40" i="1"/>
  <c r="S39" i="1"/>
  <c r="Z39" i="1" s="1"/>
  <c r="Z38" i="1"/>
  <c r="S38" i="1"/>
  <c r="Z37" i="1"/>
  <c r="S37" i="1"/>
  <c r="S36" i="1"/>
  <c r="Z36" i="1" s="1"/>
  <c r="Q35" i="1"/>
  <c r="Z35" i="1" s="1"/>
  <c r="Q34" i="1"/>
  <c r="Z34" i="1" s="1"/>
  <c r="Q33" i="1"/>
  <c r="Z33" i="1" s="1"/>
  <c r="Z32" i="1"/>
  <c r="Q32" i="1"/>
  <c r="Z31" i="1"/>
  <c r="Z30" i="1"/>
  <c r="W30" i="1"/>
  <c r="S30" i="1"/>
  <c r="W29" i="1"/>
  <c r="S29" i="1"/>
  <c r="W28" i="1"/>
  <c r="S28" i="1"/>
  <c r="W27" i="1"/>
  <c r="S27" i="1"/>
  <c r="Z27" i="1" s="1"/>
  <c r="Z26" i="1"/>
  <c r="W26" i="1"/>
  <c r="S26" i="1"/>
  <c r="W25" i="1"/>
  <c r="Z25" i="1" s="1"/>
  <c r="S25" i="1"/>
  <c r="W24" i="1"/>
  <c r="Z24" i="1" s="1"/>
  <c r="W23" i="1"/>
  <c r="Z23" i="1" s="1"/>
  <c r="W22" i="1"/>
  <c r="Z22" i="1" s="1"/>
  <c r="W21" i="1"/>
  <c r="Z21" i="1" s="1"/>
  <c r="W20" i="1"/>
  <c r="Z20" i="1" s="1"/>
  <c r="W19" i="1"/>
  <c r="Z19" i="1" s="1"/>
  <c r="S19" i="1"/>
  <c r="S18" i="1"/>
  <c r="Z18" i="1" s="1"/>
  <c r="S17" i="1"/>
  <c r="Z17" i="1" s="1"/>
  <c r="S16" i="1"/>
  <c r="Z16" i="1" s="1"/>
  <c r="S15" i="1"/>
  <c r="Z15" i="1" s="1"/>
  <c r="S14" i="1"/>
  <c r="Z14" i="1" s="1"/>
  <c r="Z13" i="1"/>
  <c r="Z12" i="1"/>
  <c r="Z11" i="1"/>
  <c r="Z10" i="1"/>
  <c r="Z9" i="1"/>
  <c r="S9" i="1"/>
  <c r="S8" i="1"/>
  <c r="Z8" i="1" s="1"/>
  <c r="Z7" i="1"/>
  <c r="S7" i="1"/>
  <c r="S6" i="1"/>
  <c r="Z6" i="1" s="1"/>
  <c r="S5" i="1"/>
  <c r="Z5" i="1" s="1"/>
  <c r="Z4" i="1"/>
  <c r="Q4" i="1"/>
  <c r="Q3" i="1"/>
  <c r="Z3" i="1" s="1"/>
  <c r="Z2" i="1"/>
  <c r="Q2" i="1"/>
  <c r="Z44" i="1" l="1"/>
  <c r="Z50" i="1"/>
  <c r="Z197" i="1"/>
  <c r="Z332" i="1"/>
  <c r="Z343" i="1"/>
  <c r="Z348" i="1"/>
  <c r="Z359" i="1"/>
  <c r="Z433" i="1"/>
  <c r="Z467" i="1"/>
  <c r="Z479" i="1"/>
  <c r="Z527" i="1"/>
  <c r="Z617" i="1"/>
  <c r="Z661" i="1"/>
  <c r="Z767" i="1"/>
  <c r="Z858" i="1"/>
  <c r="Z874" i="1"/>
  <c r="Z885" i="1"/>
  <c r="Z916" i="1"/>
  <c r="Z921" i="1"/>
  <c r="Z936" i="1"/>
  <c r="Z1000" i="1"/>
  <c r="Z1095" i="1"/>
  <c r="Z1129" i="1"/>
  <c r="Z1142" i="1"/>
  <c r="Z1147" i="1"/>
  <c r="Z45" i="1"/>
  <c r="Z83" i="1"/>
  <c r="Z122" i="1"/>
  <c r="Z418" i="1"/>
  <c r="Z434" i="1"/>
  <c r="Z480" i="1"/>
  <c r="Z758" i="1"/>
  <c r="Z807" i="1"/>
  <c r="Z299" i="1"/>
  <c r="Z354" i="1"/>
  <c r="Z523" i="1"/>
  <c r="Z561" i="1"/>
  <c r="Z801" i="1"/>
  <c r="Z70" i="1"/>
  <c r="Z75" i="1"/>
  <c r="Z233" i="1"/>
  <c r="Z239" i="1"/>
  <c r="Z1143" i="1"/>
  <c r="Z46" i="1"/>
  <c r="Z52" i="1"/>
  <c r="Z84" i="1"/>
  <c r="Z123" i="1"/>
  <c r="Z154" i="1"/>
  <c r="Z191" i="1"/>
  <c r="Z199" i="1"/>
  <c r="Z294" i="1"/>
  <c r="Z419" i="1"/>
  <c r="Z435" i="1"/>
  <c r="Z652" i="1"/>
  <c r="Z705" i="1"/>
  <c r="Z759" i="1"/>
  <c r="Z808" i="1"/>
  <c r="Z849" i="1"/>
  <c r="Z865" i="1"/>
  <c r="Z881" i="1"/>
  <c r="Z943" i="1"/>
  <c r="Z991" i="1"/>
  <c r="Z1007" i="1"/>
  <c r="Z1064" i="1"/>
  <c r="Z1087" i="1"/>
  <c r="Z111" i="1"/>
  <c r="Z144" i="1"/>
  <c r="Z234" i="1"/>
  <c r="Z240" i="1"/>
  <c r="Z268" i="1"/>
  <c r="Z282" i="1"/>
  <c r="Z300" i="1"/>
  <c r="Z334" i="1"/>
  <c r="Z350" i="1"/>
  <c r="Z464" i="1"/>
  <c r="Z476" i="1"/>
  <c r="Z524" i="1"/>
  <c r="Z562" i="1"/>
  <c r="Z585" i="1"/>
  <c r="Z619" i="1"/>
  <c r="Z663" i="1"/>
  <c r="Z694" i="1"/>
  <c r="Z730" i="1"/>
  <c r="Z750" i="1"/>
  <c r="Z860" i="1"/>
  <c r="Z876" i="1"/>
  <c r="Z28" i="1"/>
  <c r="Z90" i="1"/>
  <c r="Z124" i="1"/>
  <c r="Z193" i="1"/>
  <c r="Z214" i="1"/>
  <c r="Z229" i="1"/>
  <c r="Z269" i="1"/>
  <c r="Z318" i="1"/>
  <c r="Z335" i="1"/>
  <c r="Z351" i="1"/>
  <c r="Z425" i="1"/>
  <c r="Z653" i="1"/>
  <c r="Z664" i="1"/>
  <c r="Z695" i="1"/>
  <c r="Z1150" i="1"/>
  <c r="Z1133" i="1"/>
  <c r="Z29" i="1"/>
  <c r="Z140" i="1"/>
  <c r="Z156" i="1"/>
  <c r="Z230" i="1"/>
  <c r="Z615" i="1"/>
  <c r="Z659" i="1"/>
  <c r="Z737" i="1"/>
  <c r="Z751" i="1"/>
  <c r="Z1009" i="1"/>
  <c r="Z48" i="1"/>
  <c r="Z63" i="1"/>
  <c r="Z86" i="1"/>
  <c r="Z120" i="1"/>
  <c r="Z202" i="1"/>
  <c r="Z225" i="1"/>
  <c r="Z236" i="1"/>
  <c r="Z242" i="1"/>
  <c r="Z336" i="1"/>
  <c r="Z352" i="1"/>
  <c r="Z387" i="1"/>
  <c r="Z421" i="1"/>
  <c r="Z437" i="1"/>
  <c r="Z649" i="1"/>
  <c r="Z696" i="1"/>
  <c r="Z707" i="1"/>
  <c r="Z766" i="1"/>
  <c r="Z785" i="1"/>
  <c r="Z862" i="1"/>
  <c r="Z878" i="1"/>
  <c r="Z925" i="1"/>
  <c r="Z940" i="1"/>
  <c r="Z988" i="1"/>
  <c r="Z1004" i="1"/>
  <c r="Z1040" i="1"/>
  <c r="Z1061" i="1"/>
  <c r="Z87" i="1"/>
  <c r="Z302" i="1"/>
  <c r="Z388" i="1"/>
  <c r="Z422" i="1"/>
  <c r="Z438" i="1"/>
  <c r="Z461" i="1"/>
  <c r="Z485" i="1"/>
  <c r="Z531" i="1"/>
  <c r="Z708" i="1"/>
  <c r="Z738" i="1"/>
  <c r="Z799" i="1"/>
  <c r="Z857" i="1"/>
  <c r="Z873" i="1"/>
  <c r="Z920" i="1"/>
  <c r="Z999" i="1"/>
  <c r="Z1113" i="1"/>
  <c r="Z1175" i="1" s="1"/>
  <c r="Z1128" i="1"/>
  <c r="Z1134" i="1"/>
  <c r="Z189" i="1"/>
  <c r="Z270" i="1"/>
  <c r="Z1090" i="1"/>
  <c r="Z1086" i="1"/>
  <c r="Z976" i="1"/>
  <c r="Z1082" i="1"/>
  <c r="Z198" i="1"/>
  <c r="Z346" i="1"/>
  <c r="Z1078" i="1"/>
  <c r="S1175" i="1"/>
  <c r="Z342" i="1"/>
  <c r="Z358" i="1"/>
  <c r="Z1094" i="1"/>
  <c r="Q1175" i="1"/>
  <c r="W1175" i="1"/>
  <c r="X1175" i="1" l="1"/>
</calcChain>
</file>

<file path=xl/sharedStrings.xml><?xml version="1.0" encoding="utf-8"?>
<sst xmlns="http://schemas.openxmlformats.org/spreadsheetml/2006/main" count="5852" uniqueCount="626">
  <si>
    <t>강일섬유</t>
    <phoneticPr fontId="3" type="noConversion"/>
  </si>
  <si>
    <t>실론</t>
    <phoneticPr fontId="3" type="noConversion"/>
  </si>
  <si>
    <t>HPK3042-SJ</t>
    <phoneticPr fontId="3" type="noConversion"/>
  </si>
  <si>
    <t>풍아산업</t>
    <phoneticPr fontId="3" type="noConversion"/>
  </si>
  <si>
    <t>대한실업</t>
    <phoneticPr fontId="3" type="noConversion"/>
  </si>
  <si>
    <t>오아시스</t>
    <phoneticPr fontId="3" type="noConversion"/>
  </si>
  <si>
    <t>HPW3200-SWD</t>
    <phoneticPr fontId="3" type="noConversion"/>
  </si>
  <si>
    <t>#604 라이트브라운</t>
    <phoneticPr fontId="3" type="noConversion"/>
  </si>
  <si>
    <t>#600 라이트스카이블루</t>
    <phoneticPr fontId="3" type="noConversion"/>
  </si>
  <si>
    <t>#610 본</t>
    <phoneticPr fontId="3" type="noConversion"/>
  </si>
  <si>
    <t>득금티앤씨</t>
    <phoneticPr fontId="3" type="noConversion"/>
  </si>
  <si>
    <t>HPK3042-SKIN</t>
    <phoneticPr fontId="3" type="noConversion"/>
  </si>
  <si>
    <t>BLACK/BLACK</t>
    <phoneticPr fontId="3" type="noConversion"/>
  </si>
  <si>
    <t>TITANIUM/CLEAR</t>
    <phoneticPr fontId="3" type="noConversion"/>
  </si>
  <si>
    <t>QUITE SHADE/WHITE</t>
    <phoneticPr fontId="3" type="noConversion"/>
  </si>
  <si>
    <t>EF313P</t>
    <phoneticPr fontId="3" type="noConversion"/>
  </si>
  <si>
    <t>GREY/WHITE</t>
    <phoneticPr fontId="3" type="noConversion"/>
  </si>
  <si>
    <t>유진폴리테크</t>
    <phoneticPr fontId="3" type="noConversion"/>
  </si>
  <si>
    <t>BLACK/CLEAR</t>
    <phoneticPr fontId="3" type="noConversion"/>
  </si>
  <si>
    <t>하이멜</t>
    <phoneticPr fontId="3" type="noConversion"/>
  </si>
  <si>
    <t>20D PTR-SKIN</t>
    <phoneticPr fontId="3" type="noConversion"/>
  </si>
  <si>
    <t>BLACK/WHITE</t>
    <phoneticPr fontId="3" type="noConversion"/>
  </si>
  <si>
    <t>라임기모</t>
    <phoneticPr fontId="3" type="noConversion"/>
  </si>
  <si>
    <t>#611 다크그레이</t>
    <phoneticPr fontId="3" type="noConversion"/>
  </si>
  <si>
    <t>#003 에이핑크</t>
    <phoneticPr fontId="3" type="noConversion"/>
  </si>
  <si>
    <t>#604 라이트브라운</t>
  </si>
  <si>
    <t>에스얀</t>
    <phoneticPr fontId="3" type="noConversion"/>
  </si>
  <si>
    <t>에프에스</t>
    <phoneticPr fontId="3" type="noConversion"/>
  </si>
  <si>
    <t>티에이케이</t>
    <phoneticPr fontId="3" type="noConversion"/>
  </si>
  <si>
    <t>분할사 DTY 480</t>
    <phoneticPr fontId="3" type="noConversion"/>
  </si>
  <si>
    <t>에스티</t>
    <phoneticPr fontId="3" type="noConversion"/>
  </si>
  <si>
    <t>한국윈텍</t>
    <phoneticPr fontId="3" type="noConversion"/>
  </si>
  <si>
    <t>Q851</t>
    <phoneticPr fontId="3" type="noConversion"/>
  </si>
  <si>
    <t>ZIG MOP</t>
    <phoneticPr fontId="3" type="noConversion"/>
  </si>
  <si>
    <t>WHITE</t>
    <phoneticPr fontId="3" type="noConversion"/>
  </si>
  <si>
    <t>유진트레이딩</t>
    <phoneticPr fontId="3" type="noConversion"/>
  </si>
  <si>
    <t>GREY</t>
    <phoneticPr fontId="3" type="noConversion"/>
  </si>
  <si>
    <t>은호섬유</t>
    <phoneticPr fontId="3" type="noConversion"/>
  </si>
  <si>
    <t>HYGEN TWIST 540</t>
    <phoneticPr fontId="3" type="noConversion"/>
  </si>
  <si>
    <t>BLUE</t>
    <phoneticPr fontId="3" type="noConversion"/>
  </si>
  <si>
    <t>001</t>
    <phoneticPr fontId="3" type="noConversion"/>
  </si>
  <si>
    <t>002</t>
    <phoneticPr fontId="3" type="noConversion"/>
  </si>
  <si>
    <t>003</t>
    <phoneticPr fontId="3" type="noConversion"/>
  </si>
  <si>
    <t>004</t>
    <phoneticPr fontId="3" type="noConversion"/>
  </si>
  <si>
    <t>005</t>
    <phoneticPr fontId="3" type="noConversion"/>
  </si>
  <si>
    <t>006</t>
    <phoneticPr fontId="3" type="noConversion"/>
  </si>
  <si>
    <t>007</t>
    <phoneticPr fontId="3" type="noConversion"/>
  </si>
  <si>
    <t>GREEN</t>
    <phoneticPr fontId="3" type="noConversion"/>
  </si>
  <si>
    <t>008</t>
    <phoneticPr fontId="3" type="noConversion"/>
  </si>
  <si>
    <t>009</t>
    <phoneticPr fontId="3" type="noConversion"/>
  </si>
  <si>
    <t>010</t>
    <phoneticPr fontId="3" type="noConversion"/>
  </si>
  <si>
    <t>011</t>
    <phoneticPr fontId="3" type="noConversion"/>
  </si>
  <si>
    <t>피아이피</t>
    <phoneticPr fontId="3" type="noConversion"/>
  </si>
  <si>
    <t>BLACK</t>
    <phoneticPr fontId="3" type="noConversion"/>
  </si>
  <si>
    <t>GRAPHITE</t>
    <phoneticPr fontId="3" type="noConversion"/>
  </si>
  <si>
    <t>TITANIUM</t>
    <phoneticPr fontId="3" type="noConversion"/>
  </si>
  <si>
    <t>QUITE SHADE</t>
    <phoneticPr fontId="3" type="noConversion"/>
  </si>
  <si>
    <t>1</t>
    <phoneticPr fontId="3" type="noConversion"/>
  </si>
  <si>
    <t>2</t>
    <phoneticPr fontId="3" type="noConversion"/>
  </si>
  <si>
    <t>실론</t>
  </si>
  <si>
    <t xml:space="preserve"> </t>
    <phoneticPr fontId="3" type="noConversion"/>
  </si>
  <si>
    <t>유남부직포</t>
    <phoneticPr fontId="3" type="noConversion"/>
  </si>
  <si>
    <t>GRAPHITE/CLEAR</t>
    <phoneticPr fontId="3" type="noConversion"/>
  </si>
  <si>
    <t>QUITE SHADE/CLEAR</t>
    <phoneticPr fontId="3" type="noConversion"/>
  </si>
  <si>
    <t>HPW3030-SKIN</t>
    <phoneticPr fontId="3" type="noConversion"/>
  </si>
  <si>
    <t>OLIVE/OLIVE</t>
    <phoneticPr fontId="3" type="noConversion"/>
  </si>
  <si>
    <t>미래심지</t>
    <phoneticPr fontId="3" type="noConversion"/>
  </si>
  <si>
    <t>보현섬유</t>
    <phoneticPr fontId="3" type="noConversion"/>
  </si>
  <si>
    <t>HP-WPST70N</t>
    <phoneticPr fontId="3" type="noConversion"/>
  </si>
  <si>
    <t>olive</t>
    <phoneticPr fontId="3" type="noConversion"/>
  </si>
  <si>
    <t>진코퍼레이션</t>
    <phoneticPr fontId="3" type="noConversion"/>
  </si>
  <si>
    <t>015</t>
    <phoneticPr fontId="3" type="noConversion"/>
  </si>
  <si>
    <t>016</t>
    <phoneticPr fontId="3" type="noConversion"/>
  </si>
  <si>
    <t>017</t>
    <phoneticPr fontId="3" type="noConversion"/>
  </si>
  <si>
    <t>L/GREY</t>
    <phoneticPr fontId="3" type="noConversion"/>
  </si>
  <si>
    <t>디케이티</t>
    <phoneticPr fontId="3" type="noConversion"/>
  </si>
  <si>
    <t>VIEWTY DELUXE</t>
    <phoneticPr fontId="3" type="noConversion"/>
  </si>
  <si>
    <t>WHITE/WHITE</t>
    <phoneticPr fontId="3" type="noConversion"/>
  </si>
  <si>
    <t>50D PTR</t>
    <phoneticPr fontId="3" type="noConversion"/>
  </si>
  <si>
    <t>NTR20-18</t>
    <phoneticPr fontId="3" type="noConversion"/>
  </si>
  <si>
    <t>삼덕섬유</t>
    <phoneticPr fontId="3" type="noConversion"/>
  </si>
  <si>
    <t>450/144 DTY</t>
    <phoneticPr fontId="3" type="noConversion"/>
  </si>
  <si>
    <t>20D NTR</t>
    <phoneticPr fontId="3" type="noConversion"/>
  </si>
  <si>
    <t>012</t>
    <phoneticPr fontId="3" type="noConversion"/>
  </si>
  <si>
    <t>013</t>
    <phoneticPr fontId="3" type="noConversion"/>
  </si>
  <si>
    <t>014</t>
    <phoneticPr fontId="3" type="noConversion"/>
  </si>
  <si>
    <t>HYGEN TWIST 540</t>
  </si>
  <si>
    <t>BLUE</t>
  </si>
  <si>
    <t>N/TAFFETA 210T</t>
    <phoneticPr fontId="3" type="noConversion"/>
  </si>
  <si>
    <t>L.GREY</t>
    <phoneticPr fontId="3" type="noConversion"/>
  </si>
  <si>
    <t>3</t>
    <phoneticPr fontId="3" type="noConversion"/>
  </si>
  <si>
    <t>SAMPLE</t>
    <phoneticPr fontId="3" type="noConversion"/>
  </si>
  <si>
    <t>하이멜</t>
  </si>
  <si>
    <t>안국섬유</t>
    <phoneticPr fontId="3" type="noConversion"/>
  </si>
  <si>
    <t>NP150/3</t>
    <phoneticPr fontId="3" type="noConversion"/>
  </si>
  <si>
    <t>PP</t>
    <phoneticPr fontId="3" type="noConversion"/>
  </si>
  <si>
    <t>HPV3-TETRIS 450D</t>
    <phoneticPr fontId="3" type="noConversion"/>
  </si>
  <si>
    <t>HPV3-DLX</t>
    <phoneticPr fontId="3" type="noConversion"/>
  </si>
  <si>
    <t>우전섬유</t>
    <phoneticPr fontId="3" type="noConversion"/>
  </si>
  <si>
    <t>B/O</t>
    <phoneticPr fontId="3" type="noConversion"/>
  </si>
  <si>
    <t>DTY 450/144</t>
    <phoneticPr fontId="3" type="noConversion"/>
  </si>
  <si>
    <t>NP</t>
    <phoneticPr fontId="3" type="noConversion"/>
  </si>
  <si>
    <t>POLY</t>
    <phoneticPr fontId="3" type="noConversion"/>
  </si>
  <si>
    <t>HPV3-TETRIS 300D</t>
    <phoneticPr fontId="3" type="noConversion"/>
  </si>
  <si>
    <t>20D PTR</t>
    <phoneticPr fontId="3" type="noConversion"/>
  </si>
  <si>
    <t>OLIVE</t>
    <phoneticPr fontId="3" type="noConversion"/>
  </si>
  <si>
    <t>018</t>
    <phoneticPr fontId="3" type="noConversion"/>
  </si>
  <si>
    <t>020</t>
    <phoneticPr fontId="3" type="noConversion"/>
  </si>
  <si>
    <t>025</t>
    <phoneticPr fontId="3" type="noConversion"/>
  </si>
  <si>
    <t>홉</t>
    <phoneticPr fontId="3" type="noConversion"/>
  </si>
  <si>
    <t>HPW320-SWD</t>
    <phoneticPr fontId="3" type="noConversion"/>
  </si>
  <si>
    <t>MAT 210T</t>
    <phoneticPr fontId="3" type="noConversion"/>
  </si>
  <si>
    <t>zig mop</t>
    <phoneticPr fontId="3" type="noConversion"/>
  </si>
  <si>
    <t>VIEWTY 600</t>
    <phoneticPr fontId="3" type="noConversion"/>
  </si>
  <si>
    <t>홉아이엔씨</t>
    <phoneticPr fontId="3" type="noConversion"/>
  </si>
  <si>
    <t>SURCHARGE</t>
    <phoneticPr fontId="3" type="noConversion"/>
  </si>
  <si>
    <t>SAND/CLEAR</t>
    <phoneticPr fontId="3" type="noConversion"/>
  </si>
  <si>
    <t>에스제이인터내셔널</t>
    <phoneticPr fontId="3" type="noConversion"/>
  </si>
  <si>
    <t>SAND</t>
    <phoneticPr fontId="3" type="noConversion"/>
  </si>
  <si>
    <t>BEIGE</t>
    <phoneticPr fontId="3" type="noConversion"/>
  </si>
  <si>
    <t>남청3206</t>
    <phoneticPr fontId="3" type="noConversion"/>
  </si>
  <si>
    <t>#600 스카이블루</t>
    <phoneticPr fontId="3" type="noConversion"/>
  </si>
  <si>
    <t>grey</t>
    <phoneticPr fontId="3" type="noConversion"/>
  </si>
  <si>
    <t>희현</t>
    <phoneticPr fontId="3" type="noConversion"/>
  </si>
  <si>
    <t>#413 갈색</t>
    <phoneticPr fontId="3" type="noConversion"/>
  </si>
  <si>
    <t>#808 녹색</t>
    <phoneticPr fontId="3" type="noConversion"/>
  </si>
  <si>
    <t>INDIGO/CLEAR</t>
    <phoneticPr fontId="3" type="noConversion"/>
  </si>
  <si>
    <t>30D 심지</t>
    <phoneticPr fontId="3" type="noConversion"/>
  </si>
  <si>
    <t>DTY</t>
    <phoneticPr fontId="3" type="noConversion"/>
  </si>
  <si>
    <t>밑지</t>
    <phoneticPr fontId="3" type="noConversion"/>
  </si>
  <si>
    <t>INDIGO</t>
    <phoneticPr fontId="3" type="noConversion"/>
  </si>
  <si>
    <t>DTY 75/144</t>
    <phoneticPr fontId="3" type="noConversion"/>
  </si>
  <si>
    <t>GREY2</t>
    <phoneticPr fontId="3" type="noConversion"/>
  </si>
  <si>
    <t>HPV3-XO</t>
    <phoneticPr fontId="3" type="noConversion"/>
  </si>
  <si>
    <t>HPK3042-SKIN</t>
  </si>
  <si>
    <t>남청 3206</t>
    <phoneticPr fontId="3" type="noConversion"/>
  </si>
  <si>
    <t>019</t>
    <phoneticPr fontId="3" type="noConversion"/>
  </si>
  <si>
    <t>ZINC/CLEAR</t>
    <phoneticPr fontId="3" type="noConversion"/>
  </si>
  <si>
    <t>BLACK/WHITE</t>
  </si>
  <si>
    <t>021</t>
    <phoneticPr fontId="3" type="noConversion"/>
  </si>
  <si>
    <t>ZINC</t>
    <phoneticPr fontId="3" type="noConversion"/>
  </si>
  <si>
    <t>75/144 DTY</t>
    <phoneticPr fontId="3" type="noConversion"/>
  </si>
  <si>
    <t>ICE GREY/WHITE</t>
    <phoneticPr fontId="3" type="noConversion"/>
  </si>
  <si>
    <t>DTY 300/96</t>
    <phoneticPr fontId="3" type="noConversion"/>
  </si>
  <si>
    <t>022</t>
    <phoneticPr fontId="3" type="noConversion"/>
  </si>
  <si>
    <t>023</t>
    <phoneticPr fontId="3" type="noConversion"/>
  </si>
  <si>
    <t>024</t>
    <phoneticPr fontId="3" type="noConversion"/>
  </si>
  <si>
    <t>ICE GREY</t>
    <phoneticPr fontId="3" type="noConversion"/>
  </si>
  <si>
    <t>티에이케이</t>
    <phoneticPr fontId="3" type="noConversion"/>
  </si>
  <si>
    <t>DARK GREEN/CLEAR</t>
    <phoneticPr fontId="3" type="noConversion"/>
  </si>
  <si>
    <t>claim</t>
    <phoneticPr fontId="3" type="noConversion"/>
  </si>
  <si>
    <t>GREY1</t>
    <phoneticPr fontId="3" type="noConversion"/>
  </si>
  <si>
    <t>026</t>
    <phoneticPr fontId="3" type="noConversion"/>
  </si>
  <si>
    <t>028</t>
    <phoneticPr fontId="3" type="noConversion"/>
  </si>
  <si>
    <t>029</t>
    <phoneticPr fontId="3" type="noConversion"/>
  </si>
  <si>
    <t>030</t>
    <phoneticPr fontId="3" type="noConversion"/>
  </si>
  <si>
    <t>031</t>
    <phoneticPr fontId="3" type="noConversion"/>
  </si>
  <si>
    <t>032</t>
    <phoneticPr fontId="3" type="noConversion"/>
  </si>
  <si>
    <t>034</t>
    <phoneticPr fontId="3" type="noConversion"/>
  </si>
  <si>
    <t>팬시크린</t>
    <phoneticPr fontId="3" type="noConversion"/>
  </si>
  <si>
    <t>DARK GREEN</t>
    <phoneticPr fontId="3" type="noConversion"/>
  </si>
  <si>
    <t>MAT 300/300-210</t>
    <phoneticPr fontId="3" type="noConversion"/>
  </si>
  <si>
    <t>무상</t>
    <phoneticPr fontId="3" type="noConversion"/>
  </si>
  <si>
    <t>VIEWTY XO</t>
    <phoneticPr fontId="3" type="noConversion"/>
  </si>
  <si>
    <t>POLY NSY</t>
    <phoneticPr fontId="3" type="noConversion"/>
  </si>
  <si>
    <t>033</t>
    <phoneticPr fontId="3" type="noConversion"/>
  </si>
  <si>
    <t>035</t>
    <phoneticPr fontId="3" type="noConversion"/>
  </si>
  <si>
    <t>036</t>
    <phoneticPr fontId="3" type="noConversion"/>
  </si>
  <si>
    <t>038</t>
    <phoneticPr fontId="3" type="noConversion"/>
  </si>
  <si>
    <t>023</t>
  </si>
  <si>
    <t>024</t>
  </si>
  <si>
    <t>지수컴퍼니</t>
    <phoneticPr fontId="3" type="noConversion"/>
  </si>
  <si>
    <t>P30D WOVEN</t>
    <phoneticPr fontId="3" type="noConversion"/>
  </si>
  <si>
    <t>027</t>
    <phoneticPr fontId="3" type="noConversion"/>
  </si>
  <si>
    <t>037</t>
    <phoneticPr fontId="3" type="noConversion"/>
  </si>
  <si>
    <t>012</t>
  </si>
  <si>
    <t>50D PTR-SKIN</t>
    <phoneticPr fontId="3" type="noConversion"/>
  </si>
  <si>
    <t>L.OLIVE/WHITE</t>
    <phoneticPr fontId="3" type="noConversion"/>
  </si>
  <si>
    <t>재출고</t>
    <phoneticPr fontId="3" type="noConversion"/>
  </si>
  <si>
    <t>P30D WOVEN</t>
  </si>
  <si>
    <t>미래심지</t>
  </si>
  <si>
    <t>두성섬유</t>
    <phoneticPr fontId="3" type="noConversion"/>
  </si>
  <si>
    <t>POLY 150/48</t>
    <phoneticPr fontId="3" type="noConversion"/>
  </si>
  <si>
    <t>진영텍스코</t>
    <phoneticPr fontId="3" type="noConversion"/>
  </si>
  <si>
    <t>black</t>
    <phoneticPr fontId="3" type="noConversion"/>
  </si>
  <si>
    <t>아이온인더스트리</t>
    <phoneticPr fontId="3" type="noConversion"/>
  </si>
  <si>
    <t>011</t>
  </si>
  <si>
    <t>메타빈</t>
    <phoneticPr fontId="3" type="noConversion"/>
  </si>
  <si>
    <t>CLAIM</t>
    <phoneticPr fontId="3" type="noConversion"/>
  </si>
  <si>
    <t>HANDRING CHARGE</t>
    <phoneticPr fontId="3" type="noConversion"/>
  </si>
  <si>
    <t>ICE GREY/CLEAR</t>
    <phoneticPr fontId="3" type="noConversion"/>
  </si>
  <si>
    <t>A</t>
    <phoneticPr fontId="3" type="noConversion"/>
  </si>
  <si>
    <t>PP</t>
    <phoneticPr fontId="3" type="noConversion"/>
  </si>
  <si>
    <t>은호섬유</t>
    <phoneticPr fontId="3" type="noConversion"/>
  </si>
  <si>
    <t>HYGEN TWIST 540</t>
    <phoneticPr fontId="3" type="noConversion"/>
  </si>
  <si>
    <t>BLUE</t>
    <phoneticPr fontId="3" type="noConversion"/>
  </si>
  <si>
    <t>한국화섬</t>
    <phoneticPr fontId="3" type="noConversion"/>
  </si>
  <si>
    <t>아진티앤엘</t>
  </si>
  <si>
    <t>건승연사</t>
    <phoneticPr fontId="3" type="noConversion"/>
  </si>
  <si>
    <t>PP 450D</t>
    <phoneticPr fontId="3" type="noConversion"/>
  </si>
  <si>
    <t>AA</t>
    <phoneticPr fontId="3" type="noConversion"/>
  </si>
  <si>
    <t>poly NSY</t>
    <phoneticPr fontId="3" type="noConversion"/>
  </si>
  <si>
    <t>handring charge</t>
    <phoneticPr fontId="3" type="noConversion"/>
  </si>
  <si>
    <t>원창머티어리얼</t>
    <phoneticPr fontId="3" type="noConversion"/>
  </si>
  <si>
    <t>Suzhou Romrol</t>
    <phoneticPr fontId="3" type="noConversion"/>
  </si>
  <si>
    <t>PP450D</t>
    <phoneticPr fontId="3" type="noConversion"/>
  </si>
  <si>
    <t>#501 라이트옐로우</t>
    <phoneticPr fontId="3" type="noConversion"/>
  </si>
  <si>
    <t>MISTY GREY</t>
    <phoneticPr fontId="3" type="noConversion"/>
  </si>
  <si>
    <t>TS-ICE GREY</t>
    <phoneticPr fontId="3" type="noConversion"/>
  </si>
  <si>
    <t>I-ICE GREY</t>
    <phoneticPr fontId="3" type="noConversion"/>
  </si>
  <si>
    <t>GREY 1</t>
    <phoneticPr fontId="3" type="noConversion"/>
  </si>
  <si>
    <t>성일티앤씨</t>
    <phoneticPr fontId="3" type="noConversion"/>
  </si>
  <si>
    <t>운임비</t>
    <phoneticPr fontId="3" type="noConversion"/>
  </si>
  <si>
    <t>13</t>
    <phoneticPr fontId="3" type="noConversion"/>
  </si>
  <si>
    <t>11</t>
    <phoneticPr fontId="3" type="noConversion"/>
  </si>
  <si>
    <t>IVORY</t>
    <phoneticPr fontId="3" type="noConversion"/>
  </si>
  <si>
    <t>GREY/WHIT</t>
    <phoneticPr fontId="3" type="noConversion"/>
  </si>
  <si>
    <t>7월정산</t>
    <phoneticPr fontId="3" type="noConversion"/>
  </si>
  <si>
    <t>8월 정산</t>
    <phoneticPr fontId="3" type="noConversion"/>
  </si>
  <si>
    <t>아진티앤엘</t>
    <phoneticPr fontId="3" type="noConversion"/>
  </si>
  <si>
    <t>유정인더스트리</t>
    <phoneticPr fontId="3" type="noConversion"/>
  </si>
  <si>
    <t>진흥</t>
    <phoneticPr fontId="3" type="noConversion"/>
  </si>
  <si>
    <t>성원텍스</t>
    <phoneticPr fontId="3" type="noConversion"/>
  </si>
  <si>
    <t>한영니트</t>
    <phoneticPr fontId="3" type="noConversion"/>
  </si>
  <si>
    <t>P15D WOVEN</t>
    <phoneticPr fontId="3" type="noConversion"/>
  </si>
  <si>
    <t>RECYCLE P30D WOVEN</t>
    <phoneticPr fontId="3" type="noConversion"/>
  </si>
  <si>
    <t>건국니트</t>
    <phoneticPr fontId="3" type="noConversion"/>
  </si>
  <si>
    <t>HPK1029-KG</t>
    <phoneticPr fontId="3" type="noConversion"/>
  </si>
  <si>
    <t>9월 정산</t>
    <phoneticPr fontId="3" type="noConversion"/>
  </si>
  <si>
    <t>WS-3000</t>
    <phoneticPr fontId="3" type="noConversion"/>
  </si>
  <si>
    <t>덕산엔터프라이즈</t>
    <phoneticPr fontId="3" type="noConversion"/>
  </si>
  <si>
    <t>30D INTERLOCK</t>
    <phoneticPr fontId="3" type="noConversion"/>
  </si>
  <si>
    <t>정산제외</t>
    <phoneticPr fontId="3" type="noConversion"/>
  </si>
  <si>
    <t>11월 정산</t>
    <phoneticPr fontId="3" type="noConversion"/>
  </si>
  <si>
    <t>재고출고</t>
    <phoneticPr fontId="3" type="noConversion"/>
  </si>
  <si>
    <t>CN-2</t>
    <phoneticPr fontId="3" type="noConversion"/>
  </si>
  <si>
    <t>10월 정산</t>
    <phoneticPr fontId="3" type="noConversion"/>
  </si>
  <si>
    <t>KG-112</t>
    <phoneticPr fontId="3" type="noConversion"/>
  </si>
  <si>
    <t>HPK3042-SKIN(SI)</t>
    <phoneticPr fontId="3" type="noConversion"/>
  </si>
  <si>
    <t>18</t>
    <phoneticPr fontId="3" type="noConversion"/>
  </si>
  <si>
    <t>성일티앤씨</t>
  </si>
  <si>
    <t>BLACK/CLEAR</t>
  </si>
  <si>
    <t>12월 정산</t>
    <phoneticPr fontId="3" type="noConversion"/>
  </si>
  <si>
    <t>CLAIM 정산</t>
    <phoneticPr fontId="3" type="noConversion"/>
  </si>
  <si>
    <t>HPK0112-KG</t>
    <phoneticPr fontId="3" type="noConversion"/>
  </si>
  <si>
    <t>PP450</t>
    <phoneticPr fontId="3" type="noConversion"/>
  </si>
  <si>
    <t>LIGHT BROWN</t>
    <phoneticPr fontId="3" type="noConversion"/>
  </si>
  <si>
    <t>이월.발주일</t>
  </si>
  <si>
    <t>출고일</t>
  </si>
  <si>
    <t>입고일</t>
  </si>
  <si>
    <t>출고지</t>
  </si>
  <si>
    <t>입고지</t>
  </si>
  <si>
    <t>P/O</t>
  </si>
  <si>
    <t>end buyer</t>
  </si>
  <si>
    <t>ITEM</t>
  </si>
  <si>
    <t>COLOR</t>
  </si>
  <si>
    <t>특기 2</t>
  </si>
  <si>
    <t>LOT#</t>
  </si>
  <si>
    <t>절</t>
  </si>
  <si>
    <t>KG</t>
  </si>
  <si>
    <t>YD</t>
  </si>
  <si>
    <t>MT</t>
  </si>
  <si>
    <t>원료단가(kg,y,m/\)</t>
  </si>
  <si>
    <t>원료비(\)</t>
  </si>
  <si>
    <t>임가공비(\)  kg,y,m</t>
  </si>
  <si>
    <t>가공비금액 계(\)</t>
  </si>
  <si>
    <t>외화매출단가</t>
  </si>
  <si>
    <t>외화매출금액</t>
  </si>
  <si>
    <t>원화매출단가(\)</t>
  </si>
  <si>
    <t>원화매출금액
(\)</t>
  </si>
  <si>
    <t>기타</t>
  </si>
  <si>
    <t>매출이익</t>
  </si>
  <si>
    <t>2501</t>
    <phoneticPr fontId="12" type="noConversion"/>
  </si>
  <si>
    <t>PP 470D</t>
    <phoneticPr fontId="3" type="noConversion"/>
  </si>
  <si>
    <t>#02 STONE BEIGE</t>
    <phoneticPr fontId="3" type="noConversion"/>
  </si>
  <si>
    <t>#32 KHAKI</t>
    <phoneticPr fontId="3" type="noConversion"/>
  </si>
  <si>
    <t>#35 BROWN</t>
    <phoneticPr fontId="3" type="noConversion"/>
  </si>
  <si>
    <t>#69 NAVY</t>
    <phoneticPr fontId="3" type="noConversion"/>
  </si>
  <si>
    <t xml:space="preserve">ICE GREY </t>
    <phoneticPr fontId="3" type="noConversion"/>
  </si>
  <si>
    <t xml:space="preserve">BLACK </t>
    <phoneticPr fontId="3" type="noConversion"/>
  </si>
  <si>
    <t>23</t>
  </si>
  <si>
    <t>16~17</t>
    <phoneticPr fontId="3" type="noConversion"/>
  </si>
  <si>
    <t xml:space="preserve">성일티앤씨 </t>
    <phoneticPr fontId="3" type="noConversion"/>
  </si>
  <si>
    <t>20D INTERLOCK(항균)-SKIN</t>
    <phoneticPr fontId="3" type="noConversion"/>
  </si>
  <si>
    <t>ivory</t>
    <phoneticPr fontId="3" type="noConversion"/>
  </si>
  <si>
    <t>20D INTERLOCK(항균)</t>
    <phoneticPr fontId="3" type="noConversion"/>
  </si>
  <si>
    <t>DARK BROWN</t>
    <phoneticPr fontId="3" type="noConversion"/>
  </si>
  <si>
    <t>#25 BROWN</t>
    <phoneticPr fontId="3" type="noConversion"/>
  </si>
  <si>
    <t>241230A-09</t>
  </si>
  <si>
    <t>24</t>
    <phoneticPr fontId="3" type="noConversion"/>
  </si>
  <si>
    <t>250102A-06</t>
    <phoneticPr fontId="3" type="noConversion"/>
  </si>
  <si>
    <t>1~2</t>
    <phoneticPr fontId="3" type="noConversion"/>
  </si>
  <si>
    <t>항균제</t>
    <phoneticPr fontId="3" type="noConversion"/>
  </si>
  <si>
    <t>?</t>
    <phoneticPr fontId="3" type="noConversion"/>
  </si>
  <si>
    <t>PP470D</t>
    <phoneticPr fontId="3" type="noConversion"/>
  </si>
  <si>
    <t>DTY 150*3</t>
    <phoneticPr fontId="3" type="noConversion"/>
  </si>
  <si>
    <t>003 에이핑크</t>
    <phoneticPr fontId="3" type="noConversion"/>
  </si>
  <si>
    <t>611 다크그레이</t>
    <phoneticPr fontId="3" type="noConversion"/>
  </si>
  <si>
    <t>R-P30D WOVEN</t>
    <phoneticPr fontId="3" type="noConversion"/>
  </si>
  <si>
    <t>20241216(YS)</t>
    <phoneticPr fontId="3" type="noConversion"/>
  </si>
  <si>
    <t>20241210J</t>
    <phoneticPr fontId="3" type="noConversion"/>
  </si>
  <si>
    <t>stone grey/white</t>
    <phoneticPr fontId="3" type="noConversion"/>
  </si>
  <si>
    <t>태광텍스타일</t>
    <phoneticPr fontId="3" type="noConversion"/>
  </si>
  <si>
    <t>DT150/48</t>
    <phoneticPr fontId="3" type="noConversion"/>
  </si>
  <si>
    <t>viewty 600</t>
    <phoneticPr fontId="3" type="noConversion"/>
  </si>
  <si>
    <t>2월정산</t>
    <phoneticPr fontId="3" type="noConversion"/>
  </si>
  <si>
    <t>RE 20D SINGLE</t>
    <phoneticPr fontId="3" type="noConversion"/>
  </si>
  <si>
    <t>SL-GREY</t>
    <phoneticPr fontId="3" type="noConversion"/>
  </si>
  <si>
    <t>SUZHOU ROMROL</t>
    <phoneticPr fontId="3" type="noConversion"/>
  </si>
  <si>
    <t>30/48 SD DTY</t>
    <phoneticPr fontId="3" type="noConversion"/>
  </si>
  <si>
    <t>DTY 150/3</t>
    <phoneticPr fontId="3" type="noConversion"/>
  </si>
  <si>
    <t>250212A-02</t>
  </si>
  <si>
    <t>20250110J</t>
    <phoneticPr fontId="3" type="noConversion"/>
  </si>
  <si>
    <t>MISTY GREY/WHITE</t>
    <phoneticPr fontId="3" type="noConversion"/>
  </si>
  <si>
    <t>2025 0114-1</t>
    <phoneticPr fontId="3" type="noConversion"/>
  </si>
  <si>
    <t>TAKT-HOPE-25-001</t>
    <phoneticPr fontId="3" type="noConversion"/>
  </si>
  <si>
    <t>티에이케이단체</t>
    <phoneticPr fontId="3" type="noConversion"/>
  </si>
  <si>
    <t>대주무역</t>
    <phoneticPr fontId="3" type="noConversion"/>
  </si>
  <si>
    <t>ice GREY(TS)</t>
    <phoneticPr fontId="3" type="noConversion"/>
  </si>
  <si>
    <t>250107A-10</t>
    <phoneticPr fontId="3" type="noConversion"/>
  </si>
  <si>
    <t>250113A-07</t>
    <phoneticPr fontId="3" type="noConversion"/>
  </si>
  <si>
    <t>23</t>
    <phoneticPr fontId="3" type="noConversion"/>
  </si>
  <si>
    <t>250113A-07</t>
  </si>
  <si>
    <t>250204A-08</t>
    <phoneticPr fontId="3" type="noConversion"/>
  </si>
  <si>
    <t>250123A-07</t>
    <phoneticPr fontId="3" type="noConversion"/>
  </si>
  <si>
    <t>2~3</t>
    <phoneticPr fontId="3" type="noConversion"/>
  </si>
  <si>
    <t>250121A-03</t>
    <phoneticPr fontId="3" type="noConversion"/>
  </si>
  <si>
    <t>0~1</t>
    <phoneticPr fontId="3" type="noConversion"/>
  </si>
  <si>
    <t>250204A-12</t>
    <phoneticPr fontId="3" type="noConversion"/>
  </si>
  <si>
    <t>3월정산</t>
    <phoneticPr fontId="3" type="noConversion"/>
  </si>
  <si>
    <t>HPK342-SKIN</t>
    <phoneticPr fontId="3" type="noConversion"/>
  </si>
  <si>
    <t>RECYCLE 50D TRICOT</t>
    <phoneticPr fontId="3" type="noConversion"/>
  </si>
  <si>
    <t>0</t>
    <phoneticPr fontId="3" type="noConversion"/>
  </si>
  <si>
    <t>2월 정산</t>
    <phoneticPr fontId="3" type="noConversion"/>
  </si>
  <si>
    <t>E2408-002</t>
    <phoneticPr fontId="3" type="noConversion"/>
  </si>
  <si>
    <t>2월 정산</t>
  </si>
  <si>
    <t>OT-25-002</t>
    <phoneticPr fontId="3" type="noConversion"/>
  </si>
  <si>
    <t>20250211-1</t>
    <phoneticPr fontId="3" type="noConversion"/>
  </si>
  <si>
    <t>137</t>
    <phoneticPr fontId="3" type="noConversion"/>
  </si>
  <si>
    <t>승진섬유</t>
    <phoneticPr fontId="3" type="noConversion"/>
  </si>
  <si>
    <t>N15D WOVEN</t>
    <phoneticPr fontId="3" type="noConversion"/>
  </si>
  <si>
    <t>중국산PTFE</t>
    <phoneticPr fontId="3" type="noConversion"/>
  </si>
  <si>
    <t>영국산PTFE</t>
    <phoneticPr fontId="3" type="noConversion"/>
  </si>
  <si>
    <t>구름메쉬</t>
    <phoneticPr fontId="3" type="noConversion"/>
  </si>
  <si>
    <t>PINE GREEN/WHITE</t>
    <phoneticPr fontId="3" type="noConversion"/>
  </si>
  <si>
    <t>JH-GREY</t>
    <phoneticPr fontId="3" type="noConversion"/>
  </si>
  <si>
    <t>HI-BLACK</t>
    <phoneticPr fontId="3" type="noConversion"/>
  </si>
  <si>
    <t>300/300-210CM</t>
    <phoneticPr fontId="3" type="noConversion"/>
  </si>
  <si>
    <t>WHITE-워터제트</t>
    <phoneticPr fontId="3" type="noConversion"/>
  </si>
  <si>
    <t>600/600-210CM</t>
    <phoneticPr fontId="3" type="noConversion"/>
  </si>
  <si>
    <t>WHITE-에어제트</t>
    <phoneticPr fontId="3" type="noConversion"/>
  </si>
  <si>
    <t>250204A-12</t>
  </si>
  <si>
    <t>ZINC/CLEAR</t>
  </si>
  <si>
    <t>1</t>
  </si>
  <si>
    <t>250213A-04</t>
    <phoneticPr fontId="3" type="noConversion"/>
  </si>
  <si>
    <t>250213A-10</t>
    <phoneticPr fontId="3" type="noConversion"/>
  </si>
  <si>
    <t>P150*3</t>
    <phoneticPr fontId="3" type="noConversion"/>
  </si>
  <si>
    <t>P150/3</t>
    <phoneticPr fontId="3" type="noConversion"/>
  </si>
  <si>
    <t xml:space="preserve">PP BLUE </t>
    <phoneticPr fontId="3" type="noConversion"/>
  </si>
  <si>
    <t>ZIGMOP</t>
    <phoneticPr fontId="3" type="noConversion"/>
  </si>
  <si>
    <t>PINE GREEN</t>
    <phoneticPr fontId="3" type="noConversion"/>
  </si>
  <si>
    <t>LOT28</t>
    <phoneticPr fontId="3" type="noConversion"/>
  </si>
  <si>
    <t>lot27</t>
    <phoneticPr fontId="3" type="noConversion"/>
  </si>
  <si>
    <t>LOT4</t>
    <phoneticPr fontId="3" type="noConversion"/>
  </si>
  <si>
    <t>LOT#14</t>
    <phoneticPr fontId="3" type="noConversion"/>
  </si>
  <si>
    <t>DTY 150/48 dope</t>
    <phoneticPr fontId="3" type="noConversion"/>
  </si>
  <si>
    <t>RCY 20D SJ</t>
    <phoneticPr fontId="3" type="noConversion"/>
  </si>
  <si>
    <t>suzhou romrol</t>
    <phoneticPr fontId="3" type="noConversion"/>
  </si>
  <si>
    <t>경일합섬</t>
    <phoneticPr fontId="3" type="noConversion"/>
  </si>
  <si>
    <t>유림실업</t>
    <phoneticPr fontId="3" type="noConversion"/>
  </si>
  <si>
    <t>스미스지</t>
    <phoneticPr fontId="3" type="noConversion"/>
  </si>
  <si>
    <t>MTB-2250038B</t>
    <phoneticPr fontId="3" type="noConversion"/>
  </si>
  <si>
    <t>MTB-2250071B</t>
    <phoneticPr fontId="3" type="noConversion"/>
  </si>
  <si>
    <t>A-GREY</t>
    <phoneticPr fontId="3" type="noConversion"/>
  </si>
  <si>
    <t>6월 계산서</t>
    <phoneticPr fontId="3" type="noConversion"/>
  </si>
  <si>
    <t>R-30D WOVEN</t>
    <phoneticPr fontId="3" type="noConversion"/>
  </si>
  <si>
    <t>RECYCLE 30D WOVEN</t>
    <phoneticPr fontId="3" type="noConversion"/>
  </si>
  <si>
    <t>원착300/300-210CM</t>
    <phoneticPr fontId="3" type="noConversion"/>
  </si>
  <si>
    <t xml:space="preserve">성원텍스 </t>
    <phoneticPr fontId="3" type="noConversion"/>
  </si>
  <si>
    <t>단가수정</t>
    <phoneticPr fontId="3" type="noConversion"/>
  </si>
  <si>
    <t>GRAPHITE/CLE</t>
    <phoneticPr fontId="3" type="noConversion"/>
  </si>
  <si>
    <t>QUITE SHADE/CLE</t>
    <phoneticPr fontId="3" type="noConversion"/>
  </si>
  <si>
    <t>SEALON 811</t>
    <phoneticPr fontId="3" type="noConversion"/>
  </si>
  <si>
    <t>SEALON 633</t>
    <phoneticPr fontId="3" type="noConversion"/>
  </si>
  <si>
    <t>5월 정산</t>
    <phoneticPr fontId="3" type="noConversion"/>
  </si>
  <si>
    <t xml:space="preserve">실론 </t>
    <phoneticPr fontId="3" type="noConversion"/>
  </si>
  <si>
    <t>P150/3합</t>
    <phoneticPr fontId="3" type="noConversion"/>
  </si>
  <si>
    <t>50D PYR</t>
    <phoneticPr fontId="3" type="noConversion"/>
  </si>
  <si>
    <t>실론(김승현)</t>
    <phoneticPr fontId="3" type="noConversion"/>
  </si>
  <si>
    <t xml:space="preserve">스미스지 </t>
    <phoneticPr fontId="3" type="noConversion"/>
  </si>
  <si>
    <t>샘플</t>
    <phoneticPr fontId="3" type="noConversion"/>
  </si>
  <si>
    <t>2025 0509-3</t>
    <phoneticPr fontId="3" type="noConversion"/>
  </si>
  <si>
    <t>A-GREY</t>
  </si>
  <si>
    <t>4월 정산</t>
    <phoneticPr fontId="3" type="noConversion"/>
  </si>
  <si>
    <t>6월계산서</t>
    <phoneticPr fontId="3" type="noConversion"/>
  </si>
  <si>
    <t>L.GREY(GREY1)</t>
    <phoneticPr fontId="3" type="noConversion"/>
  </si>
  <si>
    <t>NP 150/3</t>
    <phoneticPr fontId="3" type="noConversion"/>
  </si>
  <si>
    <t>신광화섬</t>
    <phoneticPr fontId="3" type="noConversion"/>
  </si>
  <si>
    <t>DTY 150/48</t>
    <phoneticPr fontId="3" type="noConversion"/>
  </si>
  <si>
    <t>PP BL 3206</t>
    <phoneticPr fontId="3" type="noConversion"/>
  </si>
  <si>
    <t>ZI MOP</t>
    <phoneticPr fontId="3" type="noConversion"/>
  </si>
  <si>
    <t>50D INTERLOCK(리젠50136)</t>
    <phoneticPr fontId="3" type="noConversion"/>
  </si>
  <si>
    <t>리젠 50 경동택배</t>
    <phoneticPr fontId="3" type="noConversion"/>
  </si>
  <si>
    <t>리젠 50 분콘비</t>
    <phoneticPr fontId="3" type="noConversion"/>
  </si>
  <si>
    <t>ATY 750D</t>
    <phoneticPr fontId="3" type="noConversion"/>
  </si>
  <si>
    <t>L-2</t>
    <phoneticPr fontId="3" type="noConversion"/>
  </si>
  <si>
    <t>HPK-50L</t>
    <phoneticPr fontId="3" type="noConversion"/>
  </si>
  <si>
    <t>Suzhou Romrol Fashion</t>
    <phoneticPr fontId="3" type="noConversion"/>
  </si>
  <si>
    <t>CN_2/coating</t>
    <phoneticPr fontId="3" type="noConversion"/>
  </si>
  <si>
    <t>임시단가</t>
    <phoneticPr fontId="3" type="noConversion"/>
  </si>
  <si>
    <t>PP470</t>
    <phoneticPr fontId="3" type="noConversion"/>
  </si>
  <si>
    <t>염가공</t>
    <phoneticPr fontId="3" type="noConversion"/>
  </si>
  <si>
    <t>BLACK&amp;WHITE</t>
    <phoneticPr fontId="3" type="noConversion"/>
  </si>
  <si>
    <t>N15D/PTFE(UK)</t>
    <phoneticPr fontId="3" type="noConversion"/>
  </si>
  <si>
    <t>GREY/PTFE</t>
    <phoneticPr fontId="3" type="noConversion"/>
  </si>
  <si>
    <t>@1356.40*$8.5</t>
    <phoneticPr fontId="3" type="noConversion"/>
  </si>
  <si>
    <t>@1356.40*$12.5</t>
    <phoneticPr fontId="3" type="noConversion"/>
  </si>
  <si>
    <t>6/1 계산서</t>
    <phoneticPr fontId="3" type="noConversion"/>
  </si>
  <si>
    <t>RECYCLE P30/24 SD</t>
    <phoneticPr fontId="3" type="noConversion"/>
  </si>
  <si>
    <t>442yd 보관출고</t>
    <phoneticPr fontId="3" type="noConversion"/>
  </si>
  <si>
    <t>원착 300/300-210CM</t>
    <phoneticPr fontId="3" type="noConversion"/>
  </si>
  <si>
    <t>에어제트</t>
    <phoneticPr fontId="3" type="noConversion"/>
  </si>
  <si>
    <t>암막지 150/300-345cm</t>
    <phoneticPr fontId="3" type="noConversion"/>
  </si>
  <si>
    <t>디럭스콤비(디럭스6040)</t>
    <phoneticPr fontId="3" type="noConversion"/>
  </si>
  <si>
    <t>암막지 300/600</t>
    <phoneticPr fontId="3" type="noConversion"/>
  </si>
  <si>
    <t>샘플가격은 별도확인</t>
    <phoneticPr fontId="3" type="noConversion"/>
  </si>
  <si>
    <t>암막지 300/300</t>
    <phoneticPr fontId="3" type="noConversion"/>
  </si>
  <si>
    <t>134*암막지 장치비</t>
    <phoneticPr fontId="3" type="noConversion"/>
  </si>
  <si>
    <t>002.003</t>
    <phoneticPr fontId="3" type="noConversion"/>
  </si>
  <si>
    <t>COBALT/CLEAR</t>
    <phoneticPr fontId="3" type="noConversion"/>
  </si>
  <si>
    <t>아주피피얀</t>
    <phoneticPr fontId="3" type="noConversion"/>
  </si>
  <si>
    <t xml:space="preserve">PP450d </t>
    <phoneticPr fontId="3" type="noConversion"/>
  </si>
  <si>
    <t>리사이클 DTY 50/36 SD</t>
    <phoneticPr fontId="3" type="noConversion"/>
  </si>
  <si>
    <t>효성</t>
    <phoneticPr fontId="3" type="noConversion"/>
  </si>
  <si>
    <t>시직</t>
    <phoneticPr fontId="3" type="noConversion"/>
  </si>
  <si>
    <t>7월이월</t>
    <phoneticPr fontId="3" type="noConversion"/>
  </si>
  <si>
    <t>7월 이월</t>
    <phoneticPr fontId="3" type="noConversion"/>
  </si>
  <si>
    <t>추후공제</t>
    <phoneticPr fontId="3" type="noConversion"/>
  </si>
  <si>
    <t>불량정산</t>
    <phoneticPr fontId="3" type="noConversion"/>
  </si>
  <si>
    <t>Plly NSY</t>
    <phoneticPr fontId="3" type="noConversion"/>
  </si>
  <si>
    <t>RECYCLE 50D INTERLOCK</t>
    <phoneticPr fontId="3" type="noConversion"/>
  </si>
  <si>
    <t>FD(6P)</t>
    <phoneticPr fontId="3" type="noConversion"/>
  </si>
  <si>
    <t>COBALT</t>
    <phoneticPr fontId="3" type="noConversion"/>
  </si>
  <si>
    <t>진영덱스코</t>
    <phoneticPr fontId="3" type="noConversion"/>
  </si>
  <si>
    <t>스웨이드</t>
    <phoneticPr fontId="3" type="noConversion"/>
  </si>
  <si>
    <t>610 본</t>
    <phoneticPr fontId="3" type="noConversion"/>
  </si>
  <si>
    <t>501 옐로우</t>
    <phoneticPr fontId="3" type="noConversion"/>
  </si>
  <si>
    <t>808 녹색</t>
    <phoneticPr fontId="3" type="noConversion"/>
  </si>
  <si>
    <t>L.BLUE/WHITE</t>
    <phoneticPr fontId="3" type="noConversion"/>
  </si>
  <si>
    <t>AJT-GREY</t>
    <phoneticPr fontId="3" type="noConversion"/>
  </si>
  <si>
    <t>JIN-GREY</t>
    <phoneticPr fontId="3" type="noConversion"/>
  </si>
  <si>
    <t>워터제트</t>
    <phoneticPr fontId="3" type="noConversion"/>
  </si>
  <si>
    <t>VIEWTY-XO DOPE 1000</t>
    <phoneticPr fontId="3" type="noConversion"/>
  </si>
  <si>
    <t>sealon 633</t>
    <phoneticPr fontId="3" type="noConversion"/>
  </si>
  <si>
    <t>원사이송</t>
    <phoneticPr fontId="3" type="noConversion"/>
  </si>
  <si>
    <t>6월 정산</t>
    <phoneticPr fontId="3" type="noConversion"/>
  </si>
  <si>
    <t>Poly NSY</t>
    <phoneticPr fontId="3" type="noConversion"/>
  </si>
  <si>
    <t>진코퍼레이션</t>
  </si>
  <si>
    <t>N.TAFFETA 160T</t>
  </si>
  <si>
    <t>샘플</t>
  </si>
  <si>
    <t>8월 매출</t>
    <phoneticPr fontId="3" type="noConversion"/>
  </si>
  <si>
    <t xml:space="preserve">DTY 75/144  </t>
    <phoneticPr fontId="3" type="noConversion"/>
  </si>
  <si>
    <t>VIEWTY TETRIS 300</t>
    <phoneticPr fontId="3" type="noConversion"/>
  </si>
  <si>
    <t>동우섬유</t>
    <phoneticPr fontId="3" type="noConversion"/>
  </si>
  <si>
    <t>바닥원사</t>
    <phoneticPr fontId="3" type="noConversion"/>
  </si>
  <si>
    <t>N.TAFFETA 160T</t>
    <phoneticPr fontId="3" type="noConversion"/>
  </si>
  <si>
    <t>BLUE/CLEAR</t>
    <phoneticPr fontId="3" type="noConversion"/>
  </si>
  <si>
    <t>Recycle P30/24 SD</t>
    <phoneticPr fontId="3" type="noConversion"/>
  </si>
  <si>
    <t>Grey 1</t>
    <phoneticPr fontId="3" type="noConversion"/>
  </si>
  <si>
    <t>P30D WOVEN(RECY)</t>
    <phoneticPr fontId="3" type="noConversion"/>
  </si>
  <si>
    <t>holding</t>
    <phoneticPr fontId="3" type="noConversion"/>
  </si>
  <si>
    <t>빛나섬유</t>
    <phoneticPr fontId="3" type="noConversion"/>
  </si>
  <si>
    <t>N076외</t>
    <phoneticPr fontId="3" type="noConversion"/>
  </si>
  <si>
    <t>B701외</t>
    <phoneticPr fontId="3" type="noConversion"/>
  </si>
  <si>
    <t>B70B</t>
    <phoneticPr fontId="3" type="noConversion"/>
  </si>
  <si>
    <t>S801외</t>
    <phoneticPr fontId="3" type="noConversion"/>
  </si>
  <si>
    <t>V-DELUXE 123.83"</t>
    <phoneticPr fontId="3" type="noConversion"/>
  </si>
  <si>
    <t>SEALON633</t>
    <phoneticPr fontId="3" type="noConversion"/>
  </si>
  <si>
    <t>50D RECYCLE PTR</t>
    <phoneticPr fontId="3" type="noConversion"/>
  </si>
  <si>
    <t>목화</t>
    <phoneticPr fontId="3" type="noConversion"/>
  </si>
  <si>
    <t>Recycle 20d single</t>
    <phoneticPr fontId="3" type="noConversion"/>
  </si>
  <si>
    <t>보관분</t>
    <phoneticPr fontId="3" type="noConversion"/>
  </si>
  <si>
    <t>3칼라</t>
    <phoneticPr fontId="3" type="noConversion"/>
  </si>
  <si>
    <t>제직불량</t>
    <phoneticPr fontId="3" type="noConversion"/>
  </si>
  <si>
    <t>Poly 150/48</t>
    <phoneticPr fontId="3" type="noConversion"/>
  </si>
  <si>
    <t>PTR 7D</t>
    <phoneticPr fontId="3" type="noConversion"/>
  </si>
  <si>
    <t>대주산업</t>
    <phoneticPr fontId="3" type="noConversion"/>
  </si>
  <si>
    <t>ICE GTEY(TS)</t>
    <phoneticPr fontId="3" type="noConversion"/>
  </si>
  <si>
    <t>I ICE GTEY</t>
    <phoneticPr fontId="3" type="noConversion"/>
  </si>
  <si>
    <t>PO20250820-1</t>
    <phoneticPr fontId="3" type="noConversion"/>
  </si>
  <si>
    <t>POLY 30DENIER JERSEY 3042</t>
    <phoneticPr fontId="3" type="noConversion"/>
  </si>
  <si>
    <t>난연가공</t>
    <phoneticPr fontId="3" type="noConversion"/>
  </si>
  <si>
    <t>D.BEIGE/WHITE</t>
    <phoneticPr fontId="3" type="noConversion"/>
  </si>
  <si>
    <t>L.KHAKI/WHITE</t>
    <phoneticPr fontId="3" type="noConversion"/>
  </si>
  <si>
    <t xml:space="preserve">NP 150/3 </t>
    <phoneticPr fontId="3" type="noConversion"/>
  </si>
  <si>
    <t>NP 150/3합</t>
    <phoneticPr fontId="3" type="noConversion"/>
  </si>
  <si>
    <t xml:space="preserve">NP 150/2 </t>
    <phoneticPr fontId="3" type="noConversion"/>
  </si>
  <si>
    <t xml:space="preserve">NP 480/216 </t>
    <phoneticPr fontId="3" type="noConversion"/>
  </si>
  <si>
    <t>HPV XO  원착</t>
    <phoneticPr fontId="3" type="noConversion"/>
  </si>
  <si>
    <t>W-01</t>
    <phoneticPr fontId="3" type="noConversion"/>
  </si>
  <si>
    <t>C-1</t>
    <phoneticPr fontId="3" type="noConversion"/>
  </si>
  <si>
    <t>L-02</t>
    <phoneticPr fontId="3" type="noConversion"/>
  </si>
  <si>
    <t>원텍스</t>
    <phoneticPr fontId="3" type="noConversion"/>
  </si>
  <si>
    <t>ATY 900D</t>
    <phoneticPr fontId="3" type="noConversion"/>
  </si>
  <si>
    <t>C-01</t>
    <phoneticPr fontId="3" type="noConversion"/>
  </si>
  <si>
    <t>ATY 1050D</t>
    <phoneticPr fontId="3" type="noConversion"/>
  </si>
  <si>
    <t>BLACK 난연가공</t>
    <phoneticPr fontId="3" type="noConversion"/>
  </si>
  <si>
    <t>FS</t>
    <phoneticPr fontId="3" type="noConversion"/>
  </si>
  <si>
    <t>동우</t>
    <phoneticPr fontId="3" type="noConversion"/>
  </si>
  <si>
    <t>디케이티앤씨</t>
    <phoneticPr fontId="3" type="noConversion"/>
  </si>
  <si>
    <t>P30D SINGLE(3042)</t>
    <phoneticPr fontId="3" type="noConversion"/>
  </si>
  <si>
    <t>D.BEIGE</t>
    <phoneticPr fontId="3" type="noConversion"/>
  </si>
  <si>
    <t>L.KHAKI</t>
    <phoneticPr fontId="3" type="noConversion"/>
  </si>
  <si>
    <t>VIEWTY TETRIS</t>
    <phoneticPr fontId="3" type="noConversion"/>
  </si>
  <si>
    <t>30/48 SD DTY</t>
  </si>
  <si>
    <t>NP 70/30</t>
    <phoneticPr fontId="3" type="noConversion"/>
  </si>
  <si>
    <t>CN-2(고밀도.코팅)</t>
    <phoneticPr fontId="3" type="noConversion"/>
  </si>
  <si>
    <t>크리너 9G N/P</t>
    <phoneticPr fontId="3" type="noConversion"/>
  </si>
  <si>
    <t>GROUND 바닥원사</t>
    <phoneticPr fontId="3" type="noConversion"/>
  </si>
  <si>
    <t>7066.9*0.15=1060.04*2.2046*1200=2804344</t>
    <phoneticPr fontId="3" type="noConversion"/>
  </si>
  <si>
    <t>5% DISCOUNT</t>
    <phoneticPr fontId="3" type="noConversion"/>
  </si>
  <si>
    <t>50D PTR-PTFE</t>
    <phoneticPr fontId="3" type="noConversion"/>
  </si>
  <si>
    <t>u$10.90/m</t>
    <phoneticPr fontId="3" type="noConversion"/>
  </si>
  <si>
    <t>@1423.20</t>
    <phoneticPr fontId="3" type="noConversion"/>
  </si>
  <si>
    <t>PTR20-PTFE</t>
    <phoneticPr fontId="3" type="noConversion"/>
  </si>
  <si>
    <t>WHITE/PTFE</t>
    <phoneticPr fontId="3" type="noConversion"/>
  </si>
  <si>
    <t>u$11.05/m</t>
    <phoneticPr fontId="3" type="noConversion"/>
  </si>
  <si>
    <t>PTR20D-PTFE</t>
    <phoneticPr fontId="3" type="noConversion"/>
  </si>
  <si>
    <t>BLACK/PTFE</t>
    <phoneticPr fontId="3" type="noConversion"/>
  </si>
  <si>
    <t>미래지오</t>
    <phoneticPr fontId="3" type="noConversion"/>
  </si>
  <si>
    <t>유성니트</t>
    <phoneticPr fontId="3" type="noConversion"/>
  </si>
  <si>
    <t>NY PTY 15/5 SD (1556Z)</t>
    <phoneticPr fontId="3" type="noConversion"/>
  </si>
  <si>
    <t>NY PTY 15/5 SD (1556S)</t>
    <phoneticPr fontId="3" type="noConversion"/>
  </si>
  <si>
    <t>9월정산</t>
    <phoneticPr fontId="3" type="noConversion"/>
  </si>
  <si>
    <t>GRAPHITE/WHITE</t>
    <phoneticPr fontId="3" type="noConversion"/>
  </si>
  <si>
    <t>28.30</t>
    <phoneticPr fontId="3" type="noConversion"/>
  </si>
  <si>
    <t>OREGANO/CLEAR</t>
    <phoneticPr fontId="3" type="noConversion"/>
  </si>
  <si>
    <t>NP 70/30</t>
  </si>
  <si>
    <t>P 150/3</t>
    <phoneticPr fontId="3" type="noConversion"/>
  </si>
  <si>
    <t>승진연사</t>
    <phoneticPr fontId="3" type="noConversion"/>
  </si>
  <si>
    <t>3206남청</t>
    <phoneticPr fontId="3" type="noConversion"/>
  </si>
  <si>
    <t>POLY 150/3</t>
    <phoneticPr fontId="3" type="noConversion"/>
  </si>
  <si>
    <t>POLY  NSY</t>
    <phoneticPr fontId="3" type="noConversion"/>
  </si>
  <si>
    <t>279*2+710*2+701*2+801*1</t>
    <phoneticPr fontId="3" type="noConversion"/>
  </si>
  <si>
    <t>단가 조정할것   불량</t>
    <phoneticPr fontId="3" type="noConversion"/>
  </si>
  <si>
    <t>050</t>
    <phoneticPr fontId="3" type="noConversion"/>
  </si>
  <si>
    <t>051</t>
    <phoneticPr fontId="3" type="noConversion"/>
  </si>
  <si>
    <t>052</t>
    <phoneticPr fontId="3" type="noConversion"/>
  </si>
  <si>
    <t>053</t>
    <phoneticPr fontId="3" type="noConversion"/>
  </si>
  <si>
    <t>054</t>
    <phoneticPr fontId="3" type="noConversion"/>
  </si>
  <si>
    <t>055</t>
    <phoneticPr fontId="3" type="noConversion"/>
  </si>
  <si>
    <t>056</t>
    <phoneticPr fontId="3" type="noConversion"/>
  </si>
  <si>
    <t>057</t>
    <phoneticPr fontId="3" type="noConversion"/>
  </si>
  <si>
    <t>058</t>
    <phoneticPr fontId="3" type="noConversion"/>
  </si>
  <si>
    <t>059</t>
    <phoneticPr fontId="3" type="noConversion"/>
  </si>
  <si>
    <t>062</t>
    <phoneticPr fontId="3" type="noConversion"/>
  </si>
  <si>
    <t>060</t>
    <phoneticPr fontId="3" type="noConversion"/>
  </si>
  <si>
    <t>061</t>
    <phoneticPr fontId="3" type="noConversion"/>
  </si>
  <si>
    <t>063</t>
    <phoneticPr fontId="3" type="noConversion"/>
  </si>
  <si>
    <t>OREGANO</t>
    <phoneticPr fontId="3" type="noConversion"/>
  </si>
  <si>
    <t>DT-007(HPK0112-KG)</t>
    <phoneticPr fontId="3" type="noConversion"/>
  </si>
  <si>
    <t>DT-001</t>
    <phoneticPr fontId="3" type="noConversion"/>
  </si>
  <si>
    <t>1732-2</t>
    <phoneticPr fontId="3" type="noConversion"/>
  </si>
  <si>
    <t>정산할것</t>
    <phoneticPr fontId="3" type="noConversion"/>
  </si>
  <si>
    <t>Suzhou romrol</t>
    <phoneticPr fontId="3" type="noConversion"/>
  </si>
  <si>
    <t>PN 70/30</t>
    <phoneticPr fontId="3" type="noConversion"/>
  </si>
  <si>
    <t>11/</t>
    <phoneticPr fontId="3" type="noConversion"/>
  </si>
  <si>
    <t>N/스미스</t>
    <phoneticPr fontId="3" type="noConversion"/>
  </si>
  <si>
    <t>9G N/P</t>
    <phoneticPr fontId="3" type="noConversion"/>
  </si>
  <si>
    <t>GREUND 바닥원사</t>
    <phoneticPr fontId="3" type="noConversion"/>
  </si>
  <si>
    <t>GREEN/CLEAR</t>
    <phoneticPr fontId="3" type="noConversion"/>
  </si>
  <si>
    <t>태광섬유</t>
    <phoneticPr fontId="3" type="noConversion"/>
  </si>
  <si>
    <t>RADDICHIO/CLEAR</t>
    <phoneticPr fontId="3" type="noConversion"/>
  </si>
  <si>
    <t>27.29</t>
    <phoneticPr fontId="3" type="noConversion"/>
  </si>
  <si>
    <t>PILOT BLUE/CLEAR</t>
    <phoneticPr fontId="3" type="noConversion"/>
  </si>
  <si>
    <t>NP 150/72</t>
    <phoneticPr fontId="3" type="noConversion"/>
  </si>
  <si>
    <t>P 150/3합</t>
    <phoneticPr fontId="3" type="noConversion"/>
  </si>
  <si>
    <t>화이트</t>
    <phoneticPr fontId="3" type="noConversion"/>
  </si>
  <si>
    <t>색사테스트분</t>
    <phoneticPr fontId="3" type="noConversion"/>
  </si>
  <si>
    <t xml:space="preserve">L-02  </t>
  </si>
  <si>
    <t>C-01</t>
  </si>
  <si>
    <t>W-01</t>
  </si>
  <si>
    <t>064</t>
    <phoneticPr fontId="3" type="noConversion"/>
  </si>
  <si>
    <t>065</t>
    <phoneticPr fontId="3" type="noConversion"/>
  </si>
  <si>
    <t>066</t>
    <phoneticPr fontId="3" type="noConversion"/>
  </si>
  <si>
    <t>068</t>
    <phoneticPr fontId="3" type="noConversion"/>
  </si>
  <si>
    <t>069</t>
    <phoneticPr fontId="3" type="noConversion"/>
  </si>
  <si>
    <t>정산이월</t>
    <phoneticPr fontId="3" type="noConversion"/>
  </si>
  <si>
    <t>진코프레이션</t>
    <phoneticPr fontId="3" type="noConversion"/>
  </si>
  <si>
    <t>29</t>
    <phoneticPr fontId="3" type="noConversion"/>
  </si>
  <si>
    <t>27</t>
    <phoneticPr fontId="3" type="noConversion"/>
  </si>
  <si>
    <t>PILOT BLUE</t>
    <phoneticPr fontId="3" type="noConversion"/>
  </si>
  <si>
    <t>RADDICHIO</t>
    <phoneticPr fontId="3" type="noConversion"/>
  </si>
  <si>
    <t>5 color</t>
    <phoneticPr fontId="3" type="noConversion"/>
  </si>
  <si>
    <t>개발팀</t>
    <phoneticPr fontId="3" type="noConversion"/>
  </si>
  <si>
    <t>POLYESTER 20DENIER JERSEY,HPK3042</t>
    <phoneticPr fontId="3" type="noConversion"/>
  </si>
  <si>
    <t>BLACK,GREY</t>
    <phoneticPr fontId="3" type="noConversion"/>
  </si>
  <si>
    <t>선급금</t>
    <phoneticPr fontId="3" type="noConversion"/>
  </si>
  <si>
    <t>VIEWTY 외</t>
    <phoneticPr fontId="3" type="noConversion"/>
  </si>
  <si>
    <t>SNOW WHITE</t>
    <phoneticPr fontId="3" type="noConversion"/>
  </si>
  <si>
    <t>메타빈(동우섬유)</t>
    <phoneticPr fontId="3" type="noConversion"/>
  </si>
  <si>
    <t>NP 150/2</t>
    <phoneticPr fontId="3" type="noConversion"/>
  </si>
  <si>
    <t>DTY 150/2</t>
    <phoneticPr fontId="3" type="noConversion"/>
  </si>
  <si>
    <t>DTY POLY150/2</t>
    <phoneticPr fontId="3" type="noConversion"/>
  </si>
  <si>
    <t>경일섬유</t>
    <phoneticPr fontId="3" type="noConversion"/>
  </si>
  <si>
    <t>N15D NTR</t>
    <phoneticPr fontId="3" type="noConversion"/>
  </si>
  <si>
    <t>성일티앤시</t>
    <phoneticPr fontId="3" type="noConversion"/>
  </si>
  <si>
    <t>샘플정산</t>
    <phoneticPr fontId="3" type="noConversion"/>
  </si>
  <si>
    <t>NERO</t>
    <phoneticPr fontId="3" type="noConversion"/>
  </si>
  <si>
    <t>오어시스</t>
    <phoneticPr fontId="3" type="noConversion"/>
  </si>
  <si>
    <t>DTY75/144</t>
    <phoneticPr fontId="3" type="noConversion"/>
  </si>
  <si>
    <t>blue</t>
    <phoneticPr fontId="3" type="noConversion"/>
  </si>
  <si>
    <t>걍일섬유</t>
    <phoneticPr fontId="3" type="noConversion"/>
  </si>
  <si>
    <t>Handring Charge</t>
    <phoneticPr fontId="3" type="noConversion"/>
  </si>
  <si>
    <t>메타빈(에프에스)</t>
    <phoneticPr fontId="3" type="noConversion"/>
  </si>
  <si>
    <t>COTTON TRICOT</t>
    <phoneticPr fontId="3" type="noConversion"/>
  </si>
  <si>
    <t>31.32</t>
    <phoneticPr fontId="3" type="noConversion"/>
  </si>
  <si>
    <t>메타빈(동우)</t>
    <phoneticPr fontId="3" type="noConversion"/>
  </si>
  <si>
    <t>PP 450/1</t>
    <phoneticPr fontId="3" type="noConversion"/>
  </si>
  <si>
    <t>선적누락분</t>
    <phoneticPr fontId="3" type="noConversion"/>
  </si>
  <si>
    <t>43.44</t>
    <phoneticPr fontId="3" type="noConversion"/>
  </si>
  <si>
    <t>수주 및 발주</t>
    <phoneticPr fontId="3" type="noConversion"/>
  </si>
  <si>
    <t xml:space="preserve">실론-화이트스킨-개폭선으로 </t>
    <phoneticPr fontId="3" type="noConversion"/>
  </si>
  <si>
    <t>불량</t>
    <phoneticPr fontId="3" type="noConversion"/>
  </si>
  <si>
    <t>재고 SHEET 참조</t>
    <phoneticPr fontId="3" type="noConversion"/>
  </si>
  <si>
    <t>연번 잊지말것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</si>
</sst>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26" formatCode="\$#,##0.00_);[Red]\(\$#,##0.00\)"/>
    <numFmt numFmtId="176" formatCode="yyyy/mm/dd;@"/>
    <numFmt numFmtId="178" formatCode="0_ "/>
    <numFmt numFmtId="179" formatCode="0.00&quot;KG&quot;"/>
    <numFmt numFmtId="180" formatCode="0&quot;YDS&quot;"/>
    <numFmt numFmtId="181" formatCode="0&quot;MT&quot;"/>
    <numFmt numFmtId="182" formatCode="&quot;₩&quot;#,##0_);[Red]\(&quot;₩&quot;#,##0\)"/>
    <numFmt numFmtId="183" formatCode="#,##0_ ;[Red]\-#,##0\ "/>
    <numFmt numFmtId="194" formatCode="0.0&quot;MT&quot;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C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C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color theme="1"/>
      <name val="HY견명조"/>
      <family val="1"/>
      <charset val="129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3" fillId="0" borderId="0" applyFont="0" applyFill="0" applyBorder="0" applyAlignment="0" applyProtection="0">
      <alignment vertical="center"/>
    </xf>
  </cellStyleXfs>
  <cellXfs count="185">
    <xf numFmtId="0" fontId="0" fillId="0" borderId="0" xfId="0">
      <alignment vertical="center"/>
    </xf>
    <xf numFmtId="0" fontId="1" fillId="0" borderId="0" xfId="1" applyAlignment="1">
      <alignment horizontal="center" vertical="center"/>
    </xf>
    <xf numFmtId="176" fontId="1" fillId="0" borderId="0" xfId="1" applyNumberFormat="1" applyAlignment="1">
      <alignment horizontal="left" vertical="center"/>
    </xf>
    <xf numFmtId="176" fontId="1" fillId="0" borderId="0" xfId="1" applyNumberFormat="1">
      <alignment vertical="center"/>
    </xf>
    <xf numFmtId="14" fontId="1" fillId="0" borderId="0" xfId="1" applyNumberFormat="1" applyAlignment="1">
      <alignment horizontal="left" vertical="center"/>
    </xf>
    <xf numFmtId="0" fontId="1" fillId="0" borderId="1" xfId="1" applyBorder="1" applyAlignment="1">
      <alignment horizontal="left" vertical="center"/>
    </xf>
    <xf numFmtId="178" fontId="1" fillId="0" borderId="2" xfId="1" applyNumberFormat="1" applyBorder="1" applyAlignment="1" applyProtection="1">
      <alignment horizontal="right" vertical="center"/>
      <protection locked="0"/>
    </xf>
    <xf numFmtId="179" fontId="1" fillId="0" borderId="2" xfId="1" applyNumberFormat="1" applyBorder="1" applyAlignment="1">
      <alignment horizontal="center" vertical="center"/>
    </xf>
    <xf numFmtId="180" fontId="1" fillId="0" borderId="2" xfId="1" applyNumberFormat="1" applyBorder="1" applyAlignment="1">
      <alignment horizontal="right" vertical="center"/>
    </xf>
    <xf numFmtId="181" fontId="1" fillId="0" borderId="2" xfId="1" applyNumberFormat="1" applyBorder="1" applyAlignment="1">
      <alignment horizontal="right" vertical="center"/>
    </xf>
    <xf numFmtId="182" fontId="1" fillId="2" borderId="2" xfId="1" applyNumberFormat="1" applyFill="1" applyBorder="1" applyAlignment="1">
      <alignment horizontal="center" vertical="center"/>
    </xf>
    <xf numFmtId="182" fontId="1" fillId="2" borderId="2" xfId="1" applyNumberFormat="1" applyFill="1" applyBorder="1">
      <alignment vertical="center"/>
    </xf>
    <xf numFmtId="182" fontId="1" fillId="0" borderId="0" xfId="2" applyNumberFormat="1" applyFont="1" applyFill="1" applyAlignment="1">
      <alignment horizontal="right" vertical="center"/>
    </xf>
    <xf numFmtId="26" fontId="6" fillId="0" borderId="2" xfId="1" applyNumberFormat="1" applyFont="1" applyBorder="1" applyAlignment="1">
      <alignment horizontal="right" vertical="center"/>
    </xf>
    <xf numFmtId="26" fontId="6" fillId="0" borderId="2" xfId="2" applyNumberFormat="1" applyFont="1" applyBorder="1" applyAlignment="1">
      <alignment horizontal="right" vertical="center"/>
    </xf>
    <xf numFmtId="182" fontId="6" fillId="0" borderId="2" xfId="1" applyNumberFormat="1" applyFont="1" applyBorder="1" applyAlignment="1">
      <alignment horizontal="right" vertical="center"/>
    </xf>
    <xf numFmtId="182" fontId="6" fillId="0" borderId="2" xfId="1" applyNumberFormat="1" applyFont="1" applyBorder="1">
      <alignment vertical="center"/>
    </xf>
    <xf numFmtId="0" fontId="1" fillId="0" borderId="0" xfId="1">
      <alignment vertical="center"/>
    </xf>
    <xf numFmtId="183" fontId="1" fillId="0" borderId="0" xfId="1" applyNumberFormat="1">
      <alignment vertical="center"/>
    </xf>
    <xf numFmtId="0" fontId="1" fillId="0" borderId="2" xfId="1" applyBorder="1">
      <alignment vertical="center"/>
    </xf>
    <xf numFmtId="1" fontId="1" fillId="0" borderId="2" xfId="1" applyNumberFormat="1" applyBorder="1" applyAlignment="1">
      <alignment horizontal="left" vertical="center"/>
    </xf>
    <xf numFmtId="0" fontId="1" fillId="4" borderId="0" xfId="1" applyFill="1">
      <alignment vertical="center"/>
    </xf>
    <xf numFmtId="0" fontId="1" fillId="4" borderId="0" xfId="1" applyFill="1" applyAlignment="1">
      <alignment horizontal="center" vertical="center"/>
    </xf>
    <xf numFmtId="176" fontId="1" fillId="4" borderId="0" xfId="1" applyNumberFormat="1" applyFill="1" applyAlignment="1">
      <alignment horizontal="left" vertical="center"/>
    </xf>
    <xf numFmtId="176" fontId="1" fillId="4" borderId="0" xfId="1" applyNumberFormat="1" applyFill="1">
      <alignment vertical="center"/>
    </xf>
    <xf numFmtId="14" fontId="1" fillId="4" borderId="0" xfId="1" applyNumberFormat="1" applyFill="1" applyAlignment="1">
      <alignment horizontal="left" vertical="center"/>
    </xf>
    <xf numFmtId="0" fontId="1" fillId="4" borderId="1" xfId="1" applyFill="1" applyBorder="1" applyAlignment="1">
      <alignment horizontal="left" vertical="center"/>
    </xf>
    <xf numFmtId="0" fontId="1" fillId="4" borderId="2" xfId="1" applyFill="1" applyBorder="1">
      <alignment vertical="center"/>
    </xf>
    <xf numFmtId="1" fontId="1" fillId="4" borderId="2" xfId="1" applyNumberFormat="1" applyFill="1" applyBorder="1" applyAlignment="1">
      <alignment horizontal="left" vertical="center"/>
    </xf>
    <xf numFmtId="178" fontId="1" fillId="4" borderId="2" xfId="1" applyNumberFormat="1" applyFill="1" applyBorder="1" applyAlignment="1" applyProtection="1">
      <alignment horizontal="right" vertical="center"/>
      <protection locked="0"/>
    </xf>
    <xf numFmtId="179" fontId="1" fillId="4" borderId="2" xfId="1" applyNumberFormat="1" applyFill="1" applyBorder="1" applyAlignment="1">
      <alignment horizontal="center" vertical="center"/>
    </xf>
    <xf numFmtId="180" fontId="1" fillId="4" borderId="2" xfId="1" applyNumberFormat="1" applyFill="1" applyBorder="1" applyAlignment="1">
      <alignment horizontal="right" vertical="center"/>
    </xf>
    <xf numFmtId="181" fontId="1" fillId="4" borderId="2" xfId="1" applyNumberFormat="1" applyFill="1" applyBorder="1" applyAlignment="1">
      <alignment horizontal="right" vertical="center"/>
    </xf>
    <xf numFmtId="26" fontId="6" fillId="4" borderId="2" xfId="1" applyNumberFormat="1" applyFont="1" applyFill="1" applyBorder="1" applyAlignment="1">
      <alignment horizontal="right" vertical="center"/>
    </xf>
    <xf numFmtId="26" fontId="6" fillId="4" borderId="2" xfId="2" applyNumberFormat="1" applyFont="1" applyFill="1" applyBorder="1" applyAlignment="1">
      <alignment horizontal="right" vertical="center"/>
    </xf>
    <xf numFmtId="182" fontId="6" fillId="4" borderId="2" xfId="1" applyNumberFormat="1" applyFont="1" applyFill="1" applyBorder="1" applyAlignment="1">
      <alignment horizontal="right" vertical="center"/>
    </xf>
    <xf numFmtId="182" fontId="6" fillId="4" borderId="2" xfId="1" applyNumberFormat="1" applyFont="1" applyFill="1" applyBorder="1">
      <alignment vertical="center"/>
    </xf>
    <xf numFmtId="14" fontId="1" fillId="5" borderId="0" xfId="1" applyNumberFormat="1" applyFill="1" applyAlignment="1">
      <alignment horizontal="left" vertical="center"/>
    </xf>
    <xf numFmtId="1" fontId="1" fillId="4" borderId="2" xfId="1" quotePrefix="1" applyNumberFormat="1" applyFill="1" applyBorder="1" applyAlignment="1">
      <alignment horizontal="left" vertical="center"/>
    </xf>
    <xf numFmtId="0" fontId="1" fillId="5" borderId="0" xfId="1" applyFill="1">
      <alignment vertical="center"/>
    </xf>
    <xf numFmtId="176" fontId="1" fillId="5" borderId="0" xfId="1" applyNumberFormat="1" applyFill="1" applyAlignment="1">
      <alignment horizontal="left" vertical="center"/>
    </xf>
    <xf numFmtId="176" fontId="1" fillId="5" borderId="0" xfId="1" applyNumberFormat="1" applyFill="1">
      <alignment vertical="center"/>
    </xf>
    <xf numFmtId="0" fontId="1" fillId="5" borderId="1" xfId="1" applyFill="1" applyBorder="1" applyAlignment="1">
      <alignment horizontal="left" vertical="center"/>
    </xf>
    <xf numFmtId="0" fontId="1" fillId="5" borderId="2" xfId="1" applyFill="1" applyBorder="1">
      <alignment vertical="center"/>
    </xf>
    <xf numFmtId="1" fontId="1" fillId="5" borderId="2" xfId="1" applyNumberFormat="1" applyFill="1" applyBorder="1" applyAlignment="1">
      <alignment horizontal="left" vertical="center"/>
    </xf>
    <xf numFmtId="178" fontId="1" fillId="5" borderId="2" xfId="1" applyNumberFormat="1" applyFill="1" applyBorder="1" applyAlignment="1" applyProtection="1">
      <alignment horizontal="right" vertical="center"/>
      <protection locked="0"/>
    </xf>
    <xf numFmtId="179" fontId="1" fillId="5" borderId="2" xfId="1" applyNumberFormat="1" applyFill="1" applyBorder="1" applyAlignment="1">
      <alignment horizontal="center" vertical="center"/>
    </xf>
    <xf numFmtId="180" fontId="1" fillId="5" borderId="2" xfId="1" applyNumberFormat="1" applyFill="1" applyBorder="1" applyAlignment="1">
      <alignment horizontal="right" vertical="center"/>
    </xf>
    <xf numFmtId="181" fontId="1" fillId="5" borderId="2" xfId="1" applyNumberFormat="1" applyFill="1" applyBorder="1" applyAlignment="1">
      <alignment horizontal="right" vertical="center"/>
    </xf>
    <xf numFmtId="26" fontId="6" fillId="5" borderId="2" xfId="1" applyNumberFormat="1" applyFont="1" applyFill="1" applyBorder="1" applyAlignment="1">
      <alignment horizontal="right" vertical="center"/>
    </xf>
    <xf numFmtId="26" fontId="6" fillId="5" borderId="2" xfId="2" applyNumberFormat="1" applyFont="1" applyFill="1" applyBorder="1" applyAlignment="1">
      <alignment horizontal="right" vertical="center"/>
    </xf>
    <xf numFmtId="182" fontId="6" fillId="5" borderId="2" xfId="1" applyNumberFormat="1" applyFont="1" applyFill="1" applyBorder="1" applyAlignment="1">
      <alignment horizontal="right" vertical="center"/>
    </xf>
    <xf numFmtId="182" fontId="6" fillId="5" borderId="2" xfId="1" applyNumberFormat="1" applyFont="1" applyFill="1" applyBorder="1">
      <alignment vertical="center"/>
    </xf>
    <xf numFmtId="0" fontId="1" fillId="0" borderId="4" xfId="1" applyBorder="1" applyAlignment="1">
      <alignment horizontal="center" vertical="center"/>
    </xf>
    <xf numFmtId="176" fontId="1" fillId="0" borderId="3" xfId="1" applyNumberFormat="1" applyBorder="1" applyAlignment="1">
      <alignment horizontal="left" vertical="center"/>
    </xf>
    <xf numFmtId="176" fontId="1" fillId="0" borderId="3" xfId="1" applyNumberFormat="1" applyBorder="1">
      <alignment vertical="center"/>
    </xf>
    <xf numFmtId="14" fontId="1" fillId="0" borderId="3" xfId="1" applyNumberFormat="1" applyBorder="1" applyAlignment="1">
      <alignment horizontal="left" vertical="center"/>
    </xf>
    <xf numFmtId="0" fontId="1" fillId="0" borderId="5" xfId="1" applyBorder="1" applyAlignment="1">
      <alignment horizontal="left" vertical="center"/>
    </xf>
    <xf numFmtId="0" fontId="1" fillId="0" borderId="6" xfId="1" applyBorder="1">
      <alignment vertical="center"/>
    </xf>
    <xf numFmtId="1" fontId="1" fillId="0" borderId="6" xfId="1" applyNumberFormat="1" applyBorder="1" applyAlignment="1">
      <alignment horizontal="left" vertical="center"/>
    </xf>
    <xf numFmtId="178" fontId="1" fillId="0" borderId="6" xfId="1" applyNumberFormat="1" applyBorder="1" applyAlignment="1" applyProtection="1">
      <alignment horizontal="right" vertical="center"/>
      <protection locked="0"/>
    </xf>
    <xf numFmtId="179" fontId="1" fillId="0" borderId="6" xfId="1" applyNumberFormat="1" applyBorder="1" applyAlignment="1">
      <alignment horizontal="center" vertical="center"/>
    </xf>
    <xf numFmtId="180" fontId="1" fillId="0" borderId="6" xfId="1" applyNumberFormat="1" applyBorder="1" applyAlignment="1">
      <alignment horizontal="right" vertical="center"/>
    </xf>
    <xf numFmtId="181" fontId="1" fillId="0" borderId="6" xfId="1" applyNumberFormat="1" applyBorder="1" applyAlignment="1">
      <alignment horizontal="right" vertical="center"/>
    </xf>
    <xf numFmtId="182" fontId="1" fillId="2" borderId="6" xfId="1" applyNumberFormat="1" applyFill="1" applyBorder="1" applyAlignment="1">
      <alignment horizontal="center" vertical="center"/>
    </xf>
    <xf numFmtId="182" fontId="1" fillId="2" borderId="6" xfId="1" applyNumberFormat="1" applyFill="1" applyBorder="1">
      <alignment vertical="center"/>
    </xf>
    <xf numFmtId="182" fontId="1" fillId="0" borderId="3" xfId="2" applyNumberFormat="1" applyFont="1" applyFill="1" applyBorder="1" applyAlignment="1">
      <alignment horizontal="right" vertical="center"/>
    </xf>
    <xf numFmtId="26" fontId="6" fillId="0" borderId="6" xfId="1" applyNumberFormat="1" applyFont="1" applyBorder="1" applyAlignment="1">
      <alignment horizontal="right" vertical="center"/>
    </xf>
    <xf numFmtId="26" fontId="6" fillId="0" borderId="6" xfId="2" applyNumberFormat="1" applyFont="1" applyBorder="1" applyAlignment="1">
      <alignment horizontal="right" vertical="center"/>
    </xf>
    <xf numFmtId="182" fontId="6" fillId="0" borderId="6" xfId="1" applyNumberFormat="1" applyFont="1" applyBorder="1" applyAlignment="1">
      <alignment horizontal="right" vertical="center"/>
    </xf>
    <xf numFmtId="182" fontId="6" fillId="0" borderId="6" xfId="1" applyNumberFormat="1" applyFont="1" applyBorder="1">
      <alignment vertical="center"/>
    </xf>
    <xf numFmtId="0" fontId="1" fillId="0" borderId="3" xfId="1" applyBorder="1">
      <alignment vertical="center"/>
    </xf>
    <xf numFmtId="183" fontId="1" fillId="0" borderId="3" xfId="1" applyNumberFormat="1" applyBorder="1">
      <alignment vertical="center"/>
    </xf>
    <xf numFmtId="1" fontId="1" fillId="0" borderId="2" xfId="1" quotePrefix="1" applyNumberFormat="1" applyBorder="1" applyAlignment="1">
      <alignment horizontal="left" vertical="center"/>
    </xf>
    <xf numFmtId="178" fontId="1" fillId="0" borderId="2" xfId="1" quotePrefix="1" applyNumberFormat="1" applyBorder="1" applyAlignment="1" applyProtection="1">
      <alignment horizontal="right" vertical="center"/>
      <protection locked="0"/>
    </xf>
    <xf numFmtId="0" fontId="1" fillId="0" borderId="2" xfId="1" applyBorder="1" applyAlignment="1">
      <alignment horizontal="left" vertical="center"/>
    </xf>
    <xf numFmtId="0" fontId="1" fillId="0" borderId="0" xfId="1" applyAlignment="1">
      <alignment horizontal="left" vertical="center"/>
    </xf>
    <xf numFmtId="182" fontId="1" fillId="0" borderId="0" xfId="2" applyNumberFormat="1" applyFont="1" applyFill="1" applyBorder="1" applyAlignment="1">
      <alignment horizontal="right" vertical="center"/>
    </xf>
    <xf numFmtId="1" fontId="1" fillId="0" borderId="0" xfId="1" applyNumberFormat="1" applyAlignment="1">
      <alignment horizontal="left" vertical="center"/>
    </xf>
    <xf numFmtId="179" fontId="1" fillId="0" borderId="0" xfId="1" applyNumberFormat="1" applyAlignment="1">
      <alignment horizontal="center" vertical="center"/>
    </xf>
    <xf numFmtId="180" fontId="1" fillId="0" borderId="0" xfId="1" applyNumberFormat="1" applyAlignment="1">
      <alignment horizontal="right" vertical="center"/>
    </xf>
    <xf numFmtId="181" fontId="1" fillId="0" borderId="0" xfId="1" applyNumberFormat="1" applyAlignment="1">
      <alignment horizontal="right" vertical="center"/>
    </xf>
    <xf numFmtId="26" fontId="6" fillId="0" borderId="0" xfId="1" applyNumberFormat="1" applyFont="1" applyAlignment="1">
      <alignment horizontal="right" vertical="center"/>
    </xf>
    <xf numFmtId="26" fontId="6" fillId="0" borderId="0" xfId="2" applyNumberFormat="1" applyFont="1" applyBorder="1" applyAlignment="1">
      <alignment horizontal="right" vertical="center"/>
    </xf>
    <xf numFmtId="182" fontId="6" fillId="0" borderId="0" xfId="1" applyNumberFormat="1" applyFont="1" applyAlignment="1">
      <alignment horizontal="right" vertical="center"/>
    </xf>
    <xf numFmtId="182" fontId="6" fillId="0" borderId="0" xfId="1" applyNumberFormat="1" applyFont="1">
      <alignment vertical="center"/>
    </xf>
    <xf numFmtId="0" fontId="5" fillId="4" borderId="2" xfId="1" applyFont="1" applyFill="1" applyBorder="1">
      <alignment vertical="center"/>
    </xf>
    <xf numFmtId="182" fontId="1" fillId="0" borderId="0" xfId="1" applyNumberFormat="1">
      <alignment vertical="center"/>
    </xf>
    <xf numFmtId="0" fontId="5" fillId="0" borderId="0" xfId="1" applyFont="1" applyAlignment="1">
      <alignment horizontal="center" vertical="center"/>
    </xf>
    <xf numFmtId="0" fontId="1" fillId="4" borderId="0" xfId="1" applyFill="1" applyAlignment="1">
      <alignment horizontal="left" vertical="center"/>
    </xf>
    <xf numFmtId="182" fontId="1" fillId="5" borderId="0" xfId="2" applyNumberFormat="1" applyFont="1" applyFill="1" applyAlignment="1">
      <alignment horizontal="right" vertical="center"/>
    </xf>
    <xf numFmtId="182" fontId="1" fillId="4" borderId="2" xfId="1" applyNumberFormat="1" applyFill="1" applyBorder="1" applyAlignment="1">
      <alignment horizontal="center" vertical="center"/>
    </xf>
    <xf numFmtId="182" fontId="1" fillId="4" borderId="2" xfId="1" applyNumberFormat="1" applyFill="1" applyBorder="1">
      <alignment vertical="center"/>
    </xf>
    <xf numFmtId="182" fontId="1" fillId="4" borderId="0" xfId="2" applyNumberFormat="1" applyFont="1" applyFill="1" applyAlignment="1">
      <alignment horizontal="right" vertical="center"/>
    </xf>
    <xf numFmtId="26" fontId="6" fillId="4" borderId="0" xfId="1" applyNumberFormat="1" applyFont="1" applyFill="1" applyAlignment="1">
      <alignment horizontal="right" vertical="center"/>
    </xf>
    <xf numFmtId="182" fontId="1" fillId="0" borderId="2" xfId="1" applyNumberFormat="1" applyBorder="1">
      <alignment vertical="center"/>
    </xf>
    <xf numFmtId="182" fontId="4" fillId="4" borderId="0" xfId="2" applyNumberFormat="1" applyFont="1" applyFill="1" applyAlignment="1">
      <alignment horizontal="right" vertical="center"/>
    </xf>
    <xf numFmtId="0" fontId="1" fillId="4" borderId="2" xfId="1" applyFill="1" applyBorder="1" applyAlignment="1">
      <alignment horizontal="left" vertical="center"/>
    </xf>
    <xf numFmtId="179" fontId="1" fillId="4" borderId="0" xfId="1" applyNumberFormat="1" applyFill="1" applyAlignment="1">
      <alignment horizontal="center" vertical="center"/>
    </xf>
    <xf numFmtId="180" fontId="1" fillId="4" borderId="0" xfId="1" applyNumberFormat="1" applyFill="1" applyAlignment="1">
      <alignment horizontal="right" vertical="center"/>
    </xf>
    <xf numFmtId="181" fontId="1" fillId="4" borderId="0" xfId="1" applyNumberFormat="1" applyFill="1" applyAlignment="1">
      <alignment horizontal="right" vertical="center"/>
    </xf>
    <xf numFmtId="182" fontId="1" fillId="4" borderId="0" xfId="1" applyNumberFormat="1" applyFill="1">
      <alignment vertical="center"/>
    </xf>
    <xf numFmtId="26" fontId="6" fillId="4" borderId="0" xfId="2" applyNumberFormat="1" applyFont="1" applyFill="1" applyBorder="1" applyAlignment="1">
      <alignment horizontal="right" vertical="center"/>
    </xf>
    <xf numFmtId="182" fontId="6" fillId="4" borderId="0" xfId="1" applyNumberFormat="1" applyFont="1" applyFill="1" applyAlignment="1">
      <alignment horizontal="right" vertical="center"/>
    </xf>
    <xf numFmtId="182" fontId="1" fillId="2" borderId="0" xfId="1" applyNumberFormat="1" applyFill="1" applyAlignment="1">
      <alignment horizontal="center" vertical="center"/>
    </xf>
    <xf numFmtId="182" fontId="1" fillId="2" borderId="0" xfId="1" applyNumberFormat="1" applyFill="1">
      <alignment vertical="center"/>
    </xf>
    <xf numFmtId="182" fontId="1" fillId="5" borderId="2" xfId="1" applyNumberFormat="1" applyFill="1" applyBorder="1" applyAlignment="1">
      <alignment horizontal="center" vertical="center"/>
    </xf>
    <xf numFmtId="182" fontId="1" fillId="5" borderId="2" xfId="1" applyNumberFormat="1" applyFill="1" applyBorder="1">
      <alignment vertical="center"/>
    </xf>
    <xf numFmtId="0" fontId="1" fillId="0" borderId="7" xfId="1" applyBorder="1">
      <alignment vertical="center"/>
    </xf>
    <xf numFmtId="178" fontId="1" fillId="4" borderId="7" xfId="1" applyNumberFormat="1" applyFill="1" applyBorder="1" applyAlignment="1" applyProtection="1">
      <alignment horizontal="right" vertical="center"/>
      <protection locked="0"/>
    </xf>
    <xf numFmtId="1" fontId="1" fillId="0" borderId="7" xfId="1" applyNumberFormat="1" applyBorder="1" applyAlignment="1">
      <alignment horizontal="left" vertical="center"/>
    </xf>
    <xf numFmtId="178" fontId="1" fillId="0" borderId="7" xfId="1" applyNumberFormat="1" applyBorder="1" applyAlignment="1" applyProtection="1">
      <alignment horizontal="right" vertical="center"/>
      <protection locked="0"/>
    </xf>
    <xf numFmtId="179" fontId="1" fillId="0" borderId="7" xfId="1" applyNumberFormat="1" applyBorder="1" applyAlignment="1">
      <alignment horizontal="center" vertical="center"/>
    </xf>
    <xf numFmtId="1" fontId="1" fillId="0" borderId="0" xfId="1" quotePrefix="1" applyNumberFormat="1" applyAlignment="1">
      <alignment horizontal="left" vertical="center"/>
    </xf>
    <xf numFmtId="182" fontId="1" fillId="2" borderId="7" xfId="1" applyNumberFormat="1" applyFill="1" applyBorder="1" applyAlignment="1">
      <alignment horizontal="center" vertical="center"/>
    </xf>
    <xf numFmtId="182" fontId="1" fillId="4" borderId="7" xfId="1" applyNumberFormat="1" applyFill="1" applyBorder="1" applyAlignment="1">
      <alignment horizontal="center" vertical="center"/>
    </xf>
    <xf numFmtId="1" fontId="7" fillId="4" borderId="0" xfId="1" applyNumberFormat="1" applyFont="1" applyFill="1" applyAlignment="1">
      <alignment horizontal="left" vertical="center"/>
    </xf>
    <xf numFmtId="1" fontId="7" fillId="4" borderId="2" xfId="1" applyNumberFormat="1" applyFont="1" applyFill="1" applyBorder="1" applyAlignment="1">
      <alignment horizontal="left" vertical="center"/>
    </xf>
    <xf numFmtId="1" fontId="1" fillId="5" borderId="2" xfId="1" quotePrefix="1" applyNumberFormat="1" applyFill="1" applyBorder="1" applyAlignment="1">
      <alignment horizontal="left" vertical="center"/>
    </xf>
    <xf numFmtId="182" fontId="4" fillId="0" borderId="0" xfId="2" applyNumberFormat="1" applyFont="1" applyFill="1" applyAlignment="1">
      <alignment horizontal="right" vertical="center"/>
    </xf>
    <xf numFmtId="0" fontId="9" fillId="6" borderId="4" xfId="1" applyFont="1" applyFill="1" applyBorder="1" applyAlignment="1">
      <alignment horizontal="center" vertical="center"/>
    </xf>
    <xf numFmtId="176" fontId="9" fillId="6" borderId="3" xfId="1" applyNumberFormat="1" applyFont="1" applyFill="1" applyBorder="1" applyAlignment="1">
      <alignment horizontal="center" vertical="center"/>
    </xf>
    <xf numFmtId="14" fontId="9" fillId="6" borderId="3" xfId="1" applyNumberFormat="1" applyFont="1" applyFill="1" applyBorder="1" applyAlignment="1">
      <alignment horizontal="center" vertical="center"/>
    </xf>
    <xf numFmtId="0" fontId="9" fillId="6" borderId="5" xfId="1" applyFont="1" applyFill="1" applyBorder="1" applyAlignment="1">
      <alignment horizontal="center" vertical="center"/>
    </xf>
    <xf numFmtId="0" fontId="9" fillId="6" borderId="6" xfId="1" applyFont="1" applyFill="1" applyBorder="1" applyAlignment="1">
      <alignment horizontal="center" vertical="center"/>
    </xf>
    <xf numFmtId="1" fontId="9" fillId="6" borderId="6" xfId="1" applyNumberFormat="1" applyFont="1" applyFill="1" applyBorder="1" applyAlignment="1">
      <alignment horizontal="center" vertical="center"/>
    </xf>
    <xf numFmtId="178" fontId="9" fillId="6" borderId="6" xfId="1" applyNumberFormat="1" applyFont="1" applyFill="1" applyBorder="1" applyAlignment="1" applyProtection="1">
      <alignment horizontal="center" vertical="center"/>
      <protection locked="0"/>
    </xf>
    <xf numFmtId="179" fontId="9" fillId="6" borderId="6" xfId="1" applyNumberFormat="1" applyFont="1" applyFill="1" applyBorder="1" applyAlignment="1">
      <alignment horizontal="center" vertical="center"/>
    </xf>
    <xf numFmtId="180" fontId="9" fillId="6" borderId="6" xfId="1" applyNumberFormat="1" applyFont="1" applyFill="1" applyBorder="1" applyAlignment="1">
      <alignment horizontal="center" vertical="center"/>
    </xf>
    <xf numFmtId="181" fontId="9" fillId="6" borderId="6" xfId="1" applyNumberFormat="1" applyFont="1" applyFill="1" applyBorder="1" applyAlignment="1">
      <alignment horizontal="center" vertical="center"/>
    </xf>
    <xf numFmtId="182" fontId="9" fillId="6" borderId="6" xfId="1" applyNumberFormat="1" applyFont="1" applyFill="1" applyBorder="1" applyAlignment="1">
      <alignment horizontal="center" vertical="center"/>
    </xf>
    <xf numFmtId="182" fontId="9" fillId="6" borderId="3" xfId="2" applyNumberFormat="1" applyFont="1" applyFill="1" applyBorder="1" applyAlignment="1">
      <alignment horizontal="center" vertical="center"/>
    </xf>
    <xf numFmtId="26" fontId="10" fillId="6" borderId="6" xfId="1" applyNumberFormat="1" applyFont="1" applyFill="1" applyBorder="1" applyAlignment="1">
      <alignment horizontal="center" vertical="center"/>
    </xf>
    <xf numFmtId="26" fontId="10" fillId="6" borderId="6" xfId="2" applyNumberFormat="1" applyFont="1" applyFill="1" applyBorder="1" applyAlignment="1">
      <alignment horizontal="center" vertical="center"/>
    </xf>
    <xf numFmtId="182" fontId="10" fillId="6" borderId="6" xfId="1" applyNumberFormat="1" applyFont="1" applyFill="1" applyBorder="1" applyAlignment="1">
      <alignment horizontal="center" vertical="center"/>
    </xf>
    <xf numFmtId="182" fontId="11" fillId="6" borderId="3" xfId="2" applyNumberFormat="1" applyFont="1" applyFill="1" applyBorder="1" applyAlignment="1">
      <alignment horizontal="right" vertical="center"/>
    </xf>
    <xf numFmtId="0" fontId="9" fillId="6" borderId="3" xfId="1" applyFont="1" applyFill="1" applyBorder="1">
      <alignment vertical="center"/>
    </xf>
    <xf numFmtId="183" fontId="9" fillId="6" borderId="3" xfId="1" applyNumberFormat="1" applyFont="1" applyFill="1" applyBorder="1" applyAlignment="1">
      <alignment horizontal="center" vertical="center"/>
    </xf>
    <xf numFmtId="0" fontId="9" fillId="0" borderId="3" xfId="1" applyFont="1" applyBorder="1">
      <alignment vertical="center"/>
    </xf>
    <xf numFmtId="0" fontId="1" fillId="0" borderId="0" xfId="1" quotePrefix="1" applyAlignment="1">
      <alignment horizontal="center" vertical="center"/>
    </xf>
    <xf numFmtId="0" fontId="1" fillId="0" borderId="2" xfId="1" quotePrefix="1" applyBorder="1">
      <alignment vertical="center"/>
    </xf>
    <xf numFmtId="182" fontId="1" fillId="0" borderId="2" xfId="1" applyNumberFormat="1" applyBorder="1" applyAlignment="1">
      <alignment horizontal="center" vertical="center"/>
    </xf>
    <xf numFmtId="182" fontId="1" fillId="0" borderId="7" xfId="1" applyNumberFormat="1" applyBorder="1" applyAlignment="1">
      <alignment horizontal="center" vertical="center"/>
    </xf>
    <xf numFmtId="0" fontId="1" fillId="0" borderId="0" xfId="2" applyNumberFormat="1" applyFont="1" applyFill="1" applyAlignment="1">
      <alignment horizontal="right" vertical="center"/>
    </xf>
    <xf numFmtId="14" fontId="4" fillId="0" borderId="0" xfId="1" applyNumberFormat="1" applyFont="1" applyAlignment="1">
      <alignment horizontal="left" vertical="center"/>
    </xf>
    <xf numFmtId="176" fontId="4" fillId="4" borderId="0" xfId="1" applyNumberFormat="1" applyFont="1" applyFill="1" applyAlignment="1">
      <alignment horizontal="left" vertical="center"/>
    </xf>
    <xf numFmtId="194" fontId="1" fillId="4" borderId="2" xfId="1" applyNumberFormat="1" applyFill="1" applyBorder="1" applyAlignment="1">
      <alignment horizontal="right" vertical="center"/>
    </xf>
    <xf numFmtId="182" fontId="1" fillId="4" borderId="0" xfId="4" applyNumberFormat="1" applyFont="1" applyFill="1" applyAlignment="1">
      <alignment horizontal="right" vertical="center"/>
    </xf>
    <xf numFmtId="26" fontId="6" fillId="4" borderId="2" xfId="4" applyNumberFormat="1" applyFont="1" applyFill="1" applyBorder="1" applyAlignment="1">
      <alignment horizontal="right" vertical="center"/>
    </xf>
    <xf numFmtId="182" fontId="1" fillId="4" borderId="2" xfId="1" quotePrefix="1" applyNumberFormat="1" applyFill="1" applyBorder="1" applyAlignment="1">
      <alignment horizontal="center" vertical="center"/>
    </xf>
    <xf numFmtId="182" fontId="6" fillId="4" borderId="2" xfId="1" quotePrefix="1" applyNumberFormat="1" applyFont="1" applyFill="1" applyBorder="1" applyAlignment="1">
      <alignment horizontal="right" vertical="center"/>
    </xf>
    <xf numFmtId="26" fontId="1" fillId="4" borderId="2" xfId="1" applyNumberFormat="1" applyFill="1" applyBorder="1" applyAlignment="1">
      <alignment horizontal="center" vertical="center"/>
    </xf>
    <xf numFmtId="0" fontId="1" fillId="4" borderId="0" xfId="1" quotePrefix="1" applyFill="1">
      <alignment vertical="center"/>
    </xf>
    <xf numFmtId="182" fontId="1" fillId="4" borderId="2" xfId="2" applyNumberFormat="1" applyFont="1" applyFill="1" applyBorder="1" applyAlignment="1">
      <alignment horizontal="right" vertical="center"/>
    </xf>
    <xf numFmtId="183" fontId="1" fillId="4" borderId="0" xfId="1" applyNumberFormat="1" applyFill="1">
      <alignment vertical="center"/>
    </xf>
    <xf numFmtId="14" fontId="5" fillId="0" borderId="0" xfId="1" applyNumberFormat="1" applyFont="1" applyAlignment="1">
      <alignment horizontal="left" vertical="center"/>
    </xf>
    <xf numFmtId="183" fontId="1" fillId="5" borderId="0" xfId="1" applyNumberFormat="1" applyFill="1">
      <alignment vertical="center"/>
    </xf>
    <xf numFmtId="0" fontId="14" fillId="0" borderId="0" xfId="1" applyFont="1" applyAlignment="1">
      <alignment horizontal="center" vertical="center"/>
    </xf>
    <xf numFmtId="176" fontId="15" fillId="0" borderId="0" xfId="1" applyNumberFormat="1" applyFont="1" applyAlignment="1">
      <alignment horizontal="left" vertical="center"/>
    </xf>
    <xf numFmtId="180" fontId="1" fillId="0" borderId="7" xfId="1" applyNumberFormat="1" applyBorder="1" applyAlignment="1">
      <alignment horizontal="right" vertical="center"/>
    </xf>
    <xf numFmtId="182" fontId="1" fillId="2" borderId="1" xfId="1" applyNumberForma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1" fontId="7" fillId="0" borderId="2" xfId="1" applyNumberFormat="1" applyFont="1" applyBorder="1" applyAlignment="1">
      <alignment horizontal="left" vertical="center"/>
    </xf>
    <xf numFmtId="176" fontId="5" fillId="0" borderId="0" xfId="1" applyNumberFormat="1" applyFont="1" applyAlignment="1">
      <alignment horizontal="left" vertical="center"/>
    </xf>
    <xf numFmtId="0" fontId="7" fillId="3" borderId="4" xfId="1" applyFont="1" applyFill="1" applyBorder="1" applyAlignment="1">
      <alignment horizontal="center" vertical="center"/>
    </xf>
    <xf numFmtId="176" fontId="7" fillId="3" borderId="3" xfId="1" applyNumberFormat="1" applyFont="1" applyFill="1" applyBorder="1" applyAlignment="1">
      <alignment horizontal="left" vertical="center"/>
    </xf>
    <xf numFmtId="176" fontId="7" fillId="3" borderId="3" xfId="1" applyNumberFormat="1" applyFont="1" applyFill="1" applyBorder="1">
      <alignment vertical="center"/>
    </xf>
    <xf numFmtId="14" fontId="7" fillId="3" borderId="3" xfId="1" applyNumberFormat="1" applyFont="1" applyFill="1" applyBorder="1" applyAlignment="1">
      <alignment horizontal="left" vertical="center"/>
    </xf>
    <xf numFmtId="0" fontId="7" fillId="3" borderId="5" xfId="1" applyFont="1" applyFill="1" applyBorder="1" applyAlignment="1">
      <alignment horizontal="left" vertical="center"/>
    </xf>
    <xf numFmtId="0" fontId="7" fillId="3" borderId="6" xfId="1" applyFont="1" applyFill="1" applyBorder="1">
      <alignment vertical="center"/>
    </xf>
    <xf numFmtId="1" fontId="7" fillId="3" borderId="6" xfId="1" applyNumberFormat="1" applyFont="1" applyFill="1" applyBorder="1" applyAlignment="1">
      <alignment horizontal="left" vertical="center"/>
    </xf>
    <xf numFmtId="178" fontId="7" fillId="3" borderId="6" xfId="1" applyNumberFormat="1" applyFont="1" applyFill="1" applyBorder="1" applyAlignment="1" applyProtection="1">
      <alignment horizontal="right" vertical="center"/>
      <protection locked="0"/>
    </xf>
    <xf numFmtId="179" fontId="7" fillId="3" borderId="6" xfId="1" applyNumberFormat="1" applyFont="1" applyFill="1" applyBorder="1" applyAlignment="1">
      <alignment horizontal="center" vertical="center"/>
    </xf>
    <xf numFmtId="180" fontId="7" fillId="3" borderId="6" xfId="1" applyNumberFormat="1" applyFont="1" applyFill="1" applyBorder="1" applyAlignment="1">
      <alignment horizontal="right" vertical="center"/>
    </xf>
    <xf numFmtId="181" fontId="7" fillId="3" borderId="6" xfId="1" applyNumberFormat="1" applyFont="1" applyFill="1" applyBorder="1" applyAlignment="1">
      <alignment horizontal="right" vertical="center"/>
    </xf>
    <xf numFmtId="182" fontId="7" fillId="3" borderId="6" xfId="1" applyNumberFormat="1" applyFont="1" applyFill="1" applyBorder="1" applyAlignment="1">
      <alignment horizontal="center" vertical="center"/>
    </xf>
    <xf numFmtId="182" fontId="7" fillId="3" borderId="6" xfId="1" applyNumberFormat="1" applyFont="1" applyFill="1" applyBorder="1">
      <alignment vertical="center"/>
    </xf>
    <xf numFmtId="182" fontId="7" fillId="3" borderId="3" xfId="2" applyNumberFormat="1" applyFont="1" applyFill="1" applyBorder="1" applyAlignment="1">
      <alignment horizontal="right" vertical="center"/>
    </xf>
    <xf numFmtId="26" fontId="8" fillId="3" borderId="6" xfId="1" applyNumberFormat="1" applyFont="1" applyFill="1" applyBorder="1" applyAlignment="1">
      <alignment horizontal="right" vertical="center"/>
    </xf>
    <xf numFmtId="26" fontId="8" fillId="3" borderId="6" xfId="2" applyNumberFormat="1" applyFont="1" applyFill="1" applyBorder="1" applyAlignment="1">
      <alignment horizontal="right" vertical="center"/>
    </xf>
    <xf numFmtId="182" fontId="8" fillId="3" borderId="6" xfId="1" applyNumberFormat="1" applyFont="1" applyFill="1" applyBorder="1" applyAlignment="1">
      <alignment horizontal="right" vertical="center"/>
    </xf>
    <xf numFmtId="182" fontId="8" fillId="3" borderId="6" xfId="1" applyNumberFormat="1" applyFont="1" applyFill="1" applyBorder="1">
      <alignment vertical="center"/>
    </xf>
    <xf numFmtId="0" fontId="7" fillId="3" borderId="3" xfId="1" applyFont="1" applyFill="1" applyBorder="1">
      <alignment vertical="center"/>
    </xf>
    <xf numFmtId="183" fontId="7" fillId="0" borderId="3" xfId="1" applyNumberFormat="1" applyFont="1" applyBorder="1">
      <alignment vertical="center"/>
    </xf>
    <xf numFmtId="0" fontId="7" fillId="0" borderId="3" xfId="1" applyFont="1" applyBorder="1">
      <alignment vertical="center"/>
    </xf>
  </cellXfs>
  <cellStyles count="5">
    <cellStyle name="쉼표 [0] 11" xfId="2" xr:uid="{F9D90B94-5BCC-4CE0-BFDD-F96307252274}"/>
    <cellStyle name="쉼표 [0] 12 2" xfId="4" xr:uid="{C2490FD8-596F-4379-B2DE-41E1B7132967}"/>
    <cellStyle name="표준" xfId="0" builtinId="0"/>
    <cellStyle name="표준 10" xfId="1" xr:uid="{9D909115-29E5-4DAC-BFE4-2E86941290BD}"/>
    <cellStyle name="표준 9 4" xfId="3" xr:uid="{A310256A-27AD-47EC-A8C6-42835E1A6D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04C84-5E87-4E0F-98F5-DD32CADCC0C6}">
  <sheetPr>
    <tabColor rgb="FFFF0000"/>
    <pageSetUpPr fitToPage="1"/>
  </sheetPr>
  <dimension ref="A1:AE1186"/>
  <sheetViews>
    <sheetView tabSelected="1" zoomScale="80" zoomScaleNormal="80" workbookViewId="0">
      <selection activeCell="R1" sqref="R1"/>
    </sheetView>
  </sheetViews>
  <sheetFormatPr defaultColWidth="11.58203125" defaultRowHeight="16" customHeight="1" x14ac:dyDescent="0.45"/>
  <cols>
    <col min="1" max="1" width="12.08203125" style="1" customWidth="1"/>
    <col min="2" max="2" width="14.58203125" style="2" customWidth="1"/>
    <col min="3" max="3" width="14.58203125" style="3" hidden="1" customWidth="1"/>
    <col min="4" max="4" width="14.58203125" style="4" customWidth="1"/>
    <col min="5" max="7" width="14.58203125" style="5" customWidth="1"/>
    <col min="8" max="8" width="19.75" style="19" customWidth="1"/>
    <col min="9" max="9" width="15.6640625" style="19" customWidth="1"/>
    <col min="10" max="10" width="13.5" style="19" customWidth="1"/>
    <col min="11" max="11" width="14.58203125" style="20" customWidth="1"/>
    <col min="12" max="12" width="9.08203125" style="6" customWidth="1"/>
    <col min="13" max="13" width="12.5" style="7" customWidth="1"/>
    <col min="14" max="14" width="11.75" style="8" customWidth="1"/>
    <col min="15" max="15" width="14.25" style="9" customWidth="1"/>
    <col min="16" max="16" width="14.58203125" style="10" customWidth="1"/>
    <col min="17" max="17" width="14.58203125" style="11" customWidth="1"/>
    <col min="18" max="19" width="14.58203125" style="12" customWidth="1"/>
    <col min="20" max="20" width="14.58203125" style="13" hidden="1" customWidth="1"/>
    <col min="21" max="21" width="14.58203125" style="14" hidden="1" customWidth="1"/>
    <col min="22" max="22" width="14.58203125" style="15" customWidth="1"/>
    <col min="23" max="23" width="14.58203125" style="16" customWidth="1"/>
    <col min="24" max="24" width="14.58203125" style="12" customWidth="1"/>
    <col min="25" max="25" width="21.33203125" style="17" customWidth="1"/>
    <col min="26" max="26" width="13.33203125" style="18" bestFit="1" customWidth="1"/>
    <col min="27" max="256" width="11.58203125" style="17"/>
    <col min="257" max="257" width="12.08203125" style="17" customWidth="1"/>
    <col min="258" max="258" width="14.58203125" style="17" customWidth="1"/>
    <col min="259" max="259" width="0" style="17" hidden="1" customWidth="1"/>
    <col min="260" max="263" width="14.58203125" style="17" customWidth="1"/>
    <col min="264" max="264" width="19.75" style="17" customWidth="1"/>
    <col min="265" max="265" width="15.6640625" style="17" customWidth="1"/>
    <col min="266" max="266" width="13.5" style="17" customWidth="1"/>
    <col min="267" max="267" width="14.58203125" style="17" customWidth="1"/>
    <col min="268" max="268" width="9.08203125" style="17" customWidth="1"/>
    <col min="269" max="269" width="12.5" style="17" customWidth="1"/>
    <col min="270" max="270" width="11.75" style="17" customWidth="1"/>
    <col min="271" max="271" width="14.25" style="17" customWidth="1"/>
    <col min="272" max="275" width="14.58203125" style="17" customWidth="1"/>
    <col min="276" max="277" width="0" style="17" hidden="1" customWidth="1"/>
    <col min="278" max="280" width="14.58203125" style="17" customWidth="1"/>
    <col min="281" max="281" width="21.33203125" style="17" customWidth="1"/>
    <col min="282" max="282" width="13.33203125" style="17" bestFit="1" customWidth="1"/>
    <col min="283" max="512" width="11.58203125" style="17"/>
    <col min="513" max="513" width="12.08203125" style="17" customWidth="1"/>
    <col min="514" max="514" width="14.58203125" style="17" customWidth="1"/>
    <col min="515" max="515" width="0" style="17" hidden="1" customWidth="1"/>
    <col min="516" max="519" width="14.58203125" style="17" customWidth="1"/>
    <col min="520" max="520" width="19.75" style="17" customWidth="1"/>
    <col min="521" max="521" width="15.6640625" style="17" customWidth="1"/>
    <col min="522" max="522" width="13.5" style="17" customWidth="1"/>
    <col min="523" max="523" width="14.58203125" style="17" customWidth="1"/>
    <col min="524" max="524" width="9.08203125" style="17" customWidth="1"/>
    <col min="525" max="525" width="12.5" style="17" customWidth="1"/>
    <col min="526" max="526" width="11.75" style="17" customWidth="1"/>
    <col min="527" max="527" width="14.25" style="17" customWidth="1"/>
    <col min="528" max="531" width="14.58203125" style="17" customWidth="1"/>
    <col min="532" max="533" width="0" style="17" hidden="1" customWidth="1"/>
    <col min="534" max="536" width="14.58203125" style="17" customWidth="1"/>
    <col min="537" max="537" width="21.33203125" style="17" customWidth="1"/>
    <col min="538" max="538" width="13.33203125" style="17" bestFit="1" customWidth="1"/>
    <col min="539" max="768" width="11.58203125" style="17"/>
    <col min="769" max="769" width="12.08203125" style="17" customWidth="1"/>
    <col min="770" max="770" width="14.58203125" style="17" customWidth="1"/>
    <col min="771" max="771" width="0" style="17" hidden="1" customWidth="1"/>
    <col min="772" max="775" width="14.58203125" style="17" customWidth="1"/>
    <col min="776" max="776" width="19.75" style="17" customWidth="1"/>
    <col min="777" max="777" width="15.6640625" style="17" customWidth="1"/>
    <col min="778" max="778" width="13.5" style="17" customWidth="1"/>
    <col min="779" max="779" width="14.58203125" style="17" customWidth="1"/>
    <col min="780" max="780" width="9.08203125" style="17" customWidth="1"/>
    <col min="781" max="781" width="12.5" style="17" customWidth="1"/>
    <col min="782" max="782" width="11.75" style="17" customWidth="1"/>
    <col min="783" max="783" width="14.25" style="17" customWidth="1"/>
    <col min="784" max="787" width="14.58203125" style="17" customWidth="1"/>
    <col min="788" max="789" width="0" style="17" hidden="1" customWidth="1"/>
    <col min="790" max="792" width="14.58203125" style="17" customWidth="1"/>
    <col min="793" max="793" width="21.33203125" style="17" customWidth="1"/>
    <col min="794" max="794" width="13.33203125" style="17" bestFit="1" customWidth="1"/>
    <col min="795" max="1024" width="11.58203125" style="17"/>
    <col min="1025" max="1025" width="12.08203125" style="17" customWidth="1"/>
    <col min="1026" max="1026" width="14.58203125" style="17" customWidth="1"/>
    <col min="1027" max="1027" width="0" style="17" hidden="1" customWidth="1"/>
    <col min="1028" max="1031" width="14.58203125" style="17" customWidth="1"/>
    <col min="1032" max="1032" width="19.75" style="17" customWidth="1"/>
    <col min="1033" max="1033" width="15.6640625" style="17" customWidth="1"/>
    <col min="1034" max="1034" width="13.5" style="17" customWidth="1"/>
    <col min="1035" max="1035" width="14.58203125" style="17" customWidth="1"/>
    <col min="1036" max="1036" width="9.08203125" style="17" customWidth="1"/>
    <col min="1037" max="1037" width="12.5" style="17" customWidth="1"/>
    <col min="1038" max="1038" width="11.75" style="17" customWidth="1"/>
    <col min="1039" max="1039" width="14.25" style="17" customWidth="1"/>
    <col min="1040" max="1043" width="14.58203125" style="17" customWidth="1"/>
    <col min="1044" max="1045" width="0" style="17" hidden="1" customWidth="1"/>
    <col min="1046" max="1048" width="14.58203125" style="17" customWidth="1"/>
    <col min="1049" max="1049" width="21.33203125" style="17" customWidth="1"/>
    <col min="1050" max="1050" width="13.33203125" style="17" bestFit="1" customWidth="1"/>
    <col min="1051" max="1280" width="11.58203125" style="17"/>
    <col min="1281" max="1281" width="12.08203125" style="17" customWidth="1"/>
    <col min="1282" max="1282" width="14.58203125" style="17" customWidth="1"/>
    <col min="1283" max="1283" width="0" style="17" hidden="1" customWidth="1"/>
    <col min="1284" max="1287" width="14.58203125" style="17" customWidth="1"/>
    <col min="1288" max="1288" width="19.75" style="17" customWidth="1"/>
    <col min="1289" max="1289" width="15.6640625" style="17" customWidth="1"/>
    <col min="1290" max="1290" width="13.5" style="17" customWidth="1"/>
    <col min="1291" max="1291" width="14.58203125" style="17" customWidth="1"/>
    <col min="1292" max="1292" width="9.08203125" style="17" customWidth="1"/>
    <col min="1293" max="1293" width="12.5" style="17" customWidth="1"/>
    <col min="1294" max="1294" width="11.75" style="17" customWidth="1"/>
    <col min="1295" max="1295" width="14.25" style="17" customWidth="1"/>
    <col min="1296" max="1299" width="14.58203125" style="17" customWidth="1"/>
    <col min="1300" max="1301" width="0" style="17" hidden="1" customWidth="1"/>
    <col min="1302" max="1304" width="14.58203125" style="17" customWidth="1"/>
    <col min="1305" max="1305" width="21.33203125" style="17" customWidth="1"/>
    <col min="1306" max="1306" width="13.33203125" style="17" bestFit="1" customWidth="1"/>
    <col min="1307" max="1536" width="11.58203125" style="17"/>
    <col min="1537" max="1537" width="12.08203125" style="17" customWidth="1"/>
    <col min="1538" max="1538" width="14.58203125" style="17" customWidth="1"/>
    <col min="1539" max="1539" width="0" style="17" hidden="1" customWidth="1"/>
    <col min="1540" max="1543" width="14.58203125" style="17" customWidth="1"/>
    <col min="1544" max="1544" width="19.75" style="17" customWidth="1"/>
    <col min="1545" max="1545" width="15.6640625" style="17" customWidth="1"/>
    <col min="1546" max="1546" width="13.5" style="17" customWidth="1"/>
    <col min="1547" max="1547" width="14.58203125" style="17" customWidth="1"/>
    <col min="1548" max="1548" width="9.08203125" style="17" customWidth="1"/>
    <col min="1549" max="1549" width="12.5" style="17" customWidth="1"/>
    <col min="1550" max="1550" width="11.75" style="17" customWidth="1"/>
    <col min="1551" max="1551" width="14.25" style="17" customWidth="1"/>
    <col min="1552" max="1555" width="14.58203125" style="17" customWidth="1"/>
    <col min="1556" max="1557" width="0" style="17" hidden="1" customWidth="1"/>
    <col min="1558" max="1560" width="14.58203125" style="17" customWidth="1"/>
    <col min="1561" max="1561" width="21.33203125" style="17" customWidth="1"/>
    <col min="1562" max="1562" width="13.33203125" style="17" bestFit="1" customWidth="1"/>
    <col min="1563" max="1792" width="11.58203125" style="17"/>
    <col min="1793" max="1793" width="12.08203125" style="17" customWidth="1"/>
    <col min="1794" max="1794" width="14.58203125" style="17" customWidth="1"/>
    <col min="1795" max="1795" width="0" style="17" hidden="1" customWidth="1"/>
    <col min="1796" max="1799" width="14.58203125" style="17" customWidth="1"/>
    <col min="1800" max="1800" width="19.75" style="17" customWidth="1"/>
    <col min="1801" max="1801" width="15.6640625" style="17" customWidth="1"/>
    <col min="1802" max="1802" width="13.5" style="17" customWidth="1"/>
    <col min="1803" max="1803" width="14.58203125" style="17" customWidth="1"/>
    <col min="1804" max="1804" width="9.08203125" style="17" customWidth="1"/>
    <col min="1805" max="1805" width="12.5" style="17" customWidth="1"/>
    <col min="1806" max="1806" width="11.75" style="17" customWidth="1"/>
    <col min="1807" max="1807" width="14.25" style="17" customWidth="1"/>
    <col min="1808" max="1811" width="14.58203125" style="17" customWidth="1"/>
    <col min="1812" max="1813" width="0" style="17" hidden="1" customWidth="1"/>
    <col min="1814" max="1816" width="14.58203125" style="17" customWidth="1"/>
    <col min="1817" max="1817" width="21.33203125" style="17" customWidth="1"/>
    <col min="1818" max="1818" width="13.33203125" style="17" bestFit="1" customWidth="1"/>
    <col min="1819" max="2048" width="11.58203125" style="17"/>
    <col min="2049" max="2049" width="12.08203125" style="17" customWidth="1"/>
    <col min="2050" max="2050" width="14.58203125" style="17" customWidth="1"/>
    <col min="2051" max="2051" width="0" style="17" hidden="1" customWidth="1"/>
    <col min="2052" max="2055" width="14.58203125" style="17" customWidth="1"/>
    <col min="2056" max="2056" width="19.75" style="17" customWidth="1"/>
    <col min="2057" max="2057" width="15.6640625" style="17" customWidth="1"/>
    <col min="2058" max="2058" width="13.5" style="17" customWidth="1"/>
    <col min="2059" max="2059" width="14.58203125" style="17" customWidth="1"/>
    <col min="2060" max="2060" width="9.08203125" style="17" customWidth="1"/>
    <col min="2061" max="2061" width="12.5" style="17" customWidth="1"/>
    <col min="2062" max="2062" width="11.75" style="17" customWidth="1"/>
    <col min="2063" max="2063" width="14.25" style="17" customWidth="1"/>
    <col min="2064" max="2067" width="14.58203125" style="17" customWidth="1"/>
    <col min="2068" max="2069" width="0" style="17" hidden="1" customWidth="1"/>
    <col min="2070" max="2072" width="14.58203125" style="17" customWidth="1"/>
    <col min="2073" max="2073" width="21.33203125" style="17" customWidth="1"/>
    <col min="2074" max="2074" width="13.33203125" style="17" bestFit="1" customWidth="1"/>
    <col min="2075" max="2304" width="11.58203125" style="17"/>
    <col min="2305" max="2305" width="12.08203125" style="17" customWidth="1"/>
    <col min="2306" max="2306" width="14.58203125" style="17" customWidth="1"/>
    <col min="2307" max="2307" width="0" style="17" hidden="1" customWidth="1"/>
    <col min="2308" max="2311" width="14.58203125" style="17" customWidth="1"/>
    <col min="2312" max="2312" width="19.75" style="17" customWidth="1"/>
    <col min="2313" max="2313" width="15.6640625" style="17" customWidth="1"/>
    <col min="2314" max="2314" width="13.5" style="17" customWidth="1"/>
    <col min="2315" max="2315" width="14.58203125" style="17" customWidth="1"/>
    <col min="2316" max="2316" width="9.08203125" style="17" customWidth="1"/>
    <col min="2317" max="2317" width="12.5" style="17" customWidth="1"/>
    <col min="2318" max="2318" width="11.75" style="17" customWidth="1"/>
    <col min="2319" max="2319" width="14.25" style="17" customWidth="1"/>
    <col min="2320" max="2323" width="14.58203125" style="17" customWidth="1"/>
    <col min="2324" max="2325" width="0" style="17" hidden="1" customWidth="1"/>
    <col min="2326" max="2328" width="14.58203125" style="17" customWidth="1"/>
    <col min="2329" max="2329" width="21.33203125" style="17" customWidth="1"/>
    <col min="2330" max="2330" width="13.33203125" style="17" bestFit="1" customWidth="1"/>
    <col min="2331" max="2560" width="11.58203125" style="17"/>
    <col min="2561" max="2561" width="12.08203125" style="17" customWidth="1"/>
    <col min="2562" max="2562" width="14.58203125" style="17" customWidth="1"/>
    <col min="2563" max="2563" width="0" style="17" hidden="1" customWidth="1"/>
    <col min="2564" max="2567" width="14.58203125" style="17" customWidth="1"/>
    <col min="2568" max="2568" width="19.75" style="17" customWidth="1"/>
    <col min="2569" max="2569" width="15.6640625" style="17" customWidth="1"/>
    <col min="2570" max="2570" width="13.5" style="17" customWidth="1"/>
    <col min="2571" max="2571" width="14.58203125" style="17" customWidth="1"/>
    <col min="2572" max="2572" width="9.08203125" style="17" customWidth="1"/>
    <col min="2573" max="2573" width="12.5" style="17" customWidth="1"/>
    <col min="2574" max="2574" width="11.75" style="17" customWidth="1"/>
    <col min="2575" max="2575" width="14.25" style="17" customWidth="1"/>
    <col min="2576" max="2579" width="14.58203125" style="17" customWidth="1"/>
    <col min="2580" max="2581" width="0" style="17" hidden="1" customWidth="1"/>
    <col min="2582" max="2584" width="14.58203125" style="17" customWidth="1"/>
    <col min="2585" max="2585" width="21.33203125" style="17" customWidth="1"/>
    <col min="2586" max="2586" width="13.33203125" style="17" bestFit="1" customWidth="1"/>
    <col min="2587" max="2816" width="11.58203125" style="17"/>
    <col min="2817" max="2817" width="12.08203125" style="17" customWidth="1"/>
    <col min="2818" max="2818" width="14.58203125" style="17" customWidth="1"/>
    <col min="2819" max="2819" width="0" style="17" hidden="1" customWidth="1"/>
    <col min="2820" max="2823" width="14.58203125" style="17" customWidth="1"/>
    <col min="2824" max="2824" width="19.75" style="17" customWidth="1"/>
    <col min="2825" max="2825" width="15.6640625" style="17" customWidth="1"/>
    <col min="2826" max="2826" width="13.5" style="17" customWidth="1"/>
    <col min="2827" max="2827" width="14.58203125" style="17" customWidth="1"/>
    <col min="2828" max="2828" width="9.08203125" style="17" customWidth="1"/>
    <col min="2829" max="2829" width="12.5" style="17" customWidth="1"/>
    <col min="2830" max="2830" width="11.75" style="17" customWidth="1"/>
    <col min="2831" max="2831" width="14.25" style="17" customWidth="1"/>
    <col min="2832" max="2835" width="14.58203125" style="17" customWidth="1"/>
    <col min="2836" max="2837" width="0" style="17" hidden="1" customWidth="1"/>
    <col min="2838" max="2840" width="14.58203125" style="17" customWidth="1"/>
    <col min="2841" max="2841" width="21.33203125" style="17" customWidth="1"/>
    <col min="2842" max="2842" width="13.33203125" style="17" bestFit="1" customWidth="1"/>
    <col min="2843" max="3072" width="11.58203125" style="17"/>
    <col min="3073" max="3073" width="12.08203125" style="17" customWidth="1"/>
    <col min="3074" max="3074" width="14.58203125" style="17" customWidth="1"/>
    <col min="3075" max="3075" width="0" style="17" hidden="1" customWidth="1"/>
    <col min="3076" max="3079" width="14.58203125" style="17" customWidth="1"/>
    <col min="3080" max="3080" width="19.75" style="17" customWidth="1"/>
    <col min="3081" max="3081" width="15.6640625" style="17" customWidth="1"/>
    <col min="3082" max="3082" width="13.5" style="17" customWidth="1"/>
    <col min="3083" max="3083" width="14.58203125" style="17" customWidth="1"/>
    <col min="3084" max="3084" width="9.08203125" style="17" customWidth="1"/>
    <col min="3085" max="3085" width="12.5" style="17" customWidth="1"/>
    <col min="3086" max="3086" width="11.75" style="17" customWidth="1"/>
    <col min="3087" max="3087" width="14.25" style="17" customWidth="1"/>
    <col min="3088" max="3091" width="14.58203125" style="17" customWidth="1"/>
    <col min="3092" max="3093" width="0" style="17" hidden="1" customWidth="1"/>
    <col min="3094" max="3096" width="14.58203125" style="17" customWidth="1"/>
    <col min="3097" max="3097" width="21.33203125" style="17" customWidth="1"/>
    <col min="3098" max="3098" width="13.33203125" style="17" bestFit="1" customWidth="1"/>
    <col min="3099" max="3328" width="11.58203125" style="17"/>
    <col min="3329" max="3329" width="12.08203125" style="17" customWidth="1"/>
    <col min="3330" max="3330" width="14.58203125" style="17" customWidth="1"/>
    <col min="3331" max="3331" width="0" style="17" hidden="1" customWidth="1"/>
    <col min="3332" max="3335" width="14.58203125" style="17" customWidth="1"/>
    <col min="3336" max="3336" width="19.75" style="17" customWidth="1"/>
    <col min="3337" max="3337" width="15.6640625" style="17" customWidth="1"/>
    <col min="3338" max="3338" width="13.5" style="17" customWidth="1"/>
    <col min="3339" max="3339" width="14.58203125" style="17" customWidth="1"/>
    <col min="3340" max="3340" width="9.08203125" style="17" customWidth="1"/>
    <col min="3341" max="3341" width="12.5" style="17" customWidth="1"/>
    <col min="3342" max="3342" width="11.75" style="17" customWidth="1"/>
    <col min="3343" max="3343" width="14.25" style="17" customWidth="1"/>
    <col min="3344" max="3347" width="14.58203125" style="17" customWidth="1"/>
    <col min="3348" max="3349" width="0" style="17" hidden="1" customWidth="1"/>
    <col min="3350" max="3352" width="14.58203125" style="17" customWidth="1"/>
    <col min="3353" max="3353" width="21.33203125" style="17" customWidth="1"/>
    <col min="3354" max="3354" width="13.33203125" style="17" bestFit="1" customWidth="1"/>
    <col min="3355" max="3584" width="11.58203125" style="17"/>
    <col min="3585" max="3585" width="12.08203125" style="17" customWidth="1"/>
    <col min="3586" max="3586" width="14.58203125" style="17" customWidth="1"/>
    <col min="3587" max="3587" width="0" style="17" hidden="1" customWidth="1"/>
    <col min="3588" max="3591" width="14.58203125" style="17" customWidth="1"/>
    <col min="3592" max="3592" width="19.75" style="17" customWidth="1"/>
    <col min="3593" max="3593" width="15.6640625" style="17" customWidth="1"/>
    <col min="3594" max="3594" width="13.5" style="17" customWidth="1"/>
    <col min="3595" max="3595" width="14.58203125" style="17" customWidth="1"/>
    <col min="3596" max="3596" width="9.08203125" style="17" customWidth="1"/>
    <col min="3597" max="3597" width="12.5" style="17" customWidth="1"/>
    <col min="3598" max="3598" width="11.75" style="17" customWidth="1"/>
    <col min="3599" max="3599" width="14.25" style="17" customWidth="1"/>
    <col min="3600" max="3603" width="14.58203125" style="17" customWidth="1"/>
    <col min="3604" max="3605" width="0" style="17" hidden="1" customWidth="1"/>
    <col min="3606" max="3608" width="14.58203125" style="17" customWidth="1"/>
    <col min="3609" max="3609" width="21.33203125" style="17" customWidth="1"/>
    <col min="3610" max="3610" width="13.33203125" style="17" bestFit="1" customWidth="1"/>
    <col min="3611" max="3840" width="11.58203125" style="17"/>
    <col min="3841" max="3841" width="12.08203125" style="17" customWidth="1"/>
    <col min="3842" max="3842" width="14.58203125" style="17" customWidth="1"/>
    <col min="3843" max="3843" width="0" style="17" hidden="1" customWidth="1"/>
    <col min="3844" max="3847" width="14.58203125" style="17" customWidth="1"/>
    <col min="3848" max="3848" width="19.75" style="17" customWidth="1"/>
    <col min="3849" max="3849" width="15.6640625" style="17" customWidth="1"/>
    <col min="3850" max="3850" width="13.5" style="17" customWidth="1"/>
    <col min="3851" max="3851" width="14.58203125" style="17" customWidth="1"/>
    <col min="3852" max="3852" width="9.08203125" style="17" customWidth="1"/>
    <col min="3853" max="3853" width="12.5" style="17" customWidth="1"/>
    <col min="3854" max="3854" width="11.75" style="17" customWidth="1"/>
    <col min="3855" max="3855" width="14.25" style="17" customWidth="1"/>
    <col min="3856" max="3859" width="14.58203125" style="17" customWidth="1"/>
    <col min="3860" max="3861" width="0" style="17" hidden="1" customWidth="1"/>
    <col min="3862" max="3864" width="14.58203125" style="17" customWidth="1"/>
    <col min="3865" max="3865" width="21.33203125" style="17" customWidth="1"/>
    <col min="3866" max="3866" width="13.33203125" style="17" bestFit="1" customWidth="1"/>
    <col min="3867" max="4096" width="11.58203125" style="17"/>
    <col min="4097" max="4097" width="12.08203125" style="17" customWidth="1"/>
    <col min="4098" max="4098" width="14.58203125" style="17" customWidth="1"/>
    <col min="4099" max="4099" width="0" style="17" hidden="1" customWidth="1"/>
    <col min="4100" max="4103" width="14.58203125" style="17" customWidth="1"/>
    <col min="4104" max="4104" width="19.75" style="17" customWidth="1"/>
    <col min="4105" max="4105" width="15.6640625" style="17" customWidth="1"/>
    <col min="4106" max="4106" width="13.5" style="17" customWidth="1"/>
    <col min="4107" max="4107" width="14.58203125" style="17" customWidth="1"/>
    <col min="4108" max="4108" width="9.08203125" style="17" customWidth="1"/>
    <col min="4109" max="4109" width="12.5" style="17" customWidth="1"/>
    <col min="4110" max="4110" width="11.75" style="17" customWidth="1"/>
    <col min="4111" max="4111" width="14.25" style="17" customWidth="1"/>
    <col min="4112" max="4115" width="14.58203125" style="17" customWidth="1"/>
    <col min="4116" max="4117" width="0" style="17" hidden="1" customWidth="1"/>
    <col min="4118" max="4120" width="14.58203125" style="17" customWidth="1"/>
    <col min="4121" max="4121" width="21.33203125" style="17" customWidth="1"/>
    <col min="4122" max="4122" width="13.33203125" style="17" bestFit="1" customWidth="1"/>
    <col min="4123" max="4352" width="11.58203125" style="17"/>
    <col min="4353" max="4353" width="12.08203125" style="17" customWidth="1"/>
    <col min="4354" max="4354" width="14.58203125" style="17" customWidth="1"/>
    <col min="4355" max="4355" width="0" style="17" hidden="1" customWidth="1"/>
    <col min="4356" max="4359" width="14.58203125" style="17" customWidth="1"/>
    <col min="4360" max="4360" width="19.75" style="17" customWidth="1"/>
    <col min="4361" max="4361" width="15.6640625" style="17" customWidth="1"/>
    <col min="4362" max="4362" width="13.5" style="17" customWidth="1"/>
    <col min="4363" max="4363" width="14.58203125" style="17" customWidth="1"/>
    <col min="4364" max="4364" width="9.08203125" style="17" customWidth="1"/>
    <col min="4365" max="4365" width="12.5" style="17" customWidth="1"/>
    <col min="4366" max="4366" width="11.75" style="17" customWidth="1"/>
    <col min="4367" max="4367" width="14.25" style="17" customWidth="1"/>
    <col min="4368" max="4371" width="14.58203125" style="17" customWidth="1"/>
    <col min="4372" max="4373" width="0" style="17" hidden="1" customWidth="1"/>
    <col min="4374" max="4376" width="14.58203125" style="17" customWidth="1"/>
    <col min="4377" max="4377" width="21.33203125" style="17" customWidth="1"/>
    <col min="4378" max="4378" width="13.33203125" style="17" bestFit="1" customWidth="1"/>
    <col min="4379" max="4608" width="11.58203125" style="17"/>
    <col min="4609" max="4609" width="12.08203125" style="17" customWidth="1"/>
    <col min="4610" max="4610" width="14.58203125" style="17" customWidth="1"/>
    <col min="4611" max="4611" width="0" style="17" hidden="1" customWidth="1"/>
    <col min="4612" max="4615" width="14.58203125" style="17" customWidth="1"/>
    <col min="4616" max="4616" width="19.75" style="17" customWidth="1"/>
    <col min="4617" max="4617" width="15.6640625" style="17" customWidth="1"/>
    <col min="4618" max="4618" width="13.5" style="17" customWidth="1"/>
    <col min="4619" max="4619" width="14.58203125" style="17" customWidth="1"/>
    <col min="4620" max="4620" width="9.08203125" style="17" customWidth="1"/>
    <col min="4621" max="4621" width="12.5" style="17" customWidth="1"/>
    <col min="4622" max="4622" width="11.75" style="17" customWidth="1"/>
    <col min="4623" max="4623" width="14.25" style="17" customWidth="1"/>
    <col min="4624" max="4627" width="14.58203125" style="17" customWidth="1"/>
    <col min="4628" max="4629" width="0" style="17" hidden="1" customWidth="1"/>
    <col min="4630" max="4632" width="14.58203125" style="17" customWidth="1"/>
    <col min="4633" max="4633" width="21.33203125" style="17" customWidth="1"/>
    <col min="4634" max="4634" width="13.33203125" style="17" bestFit="1" customWidth="1"/>
    <col min="4635" max="4864" width="11.58203125" style="17"/>
    <col min="4865" max="4865" width="12.08203125" style="17" customWidth="1"/>
    <col min="4866" max="4866" width="14.58203125" style="17" customWidth="1"/>
    <col min="4867" max="4867" width="0" style="17" hidden="1" customWidth="1"/>
    <col min="4868" max="4871" width="14.58203125" style="17" customWidth="1"/>
    <col min="4872" max="4872" width="19.75" style="17" customWidth="1"/>
    <col min="4873" max="4873" width="15.6640625" style="17" customWidth="1"/>
    <col min="4874" max="4874" width="13.5" style="17" customWidth="1"/>
    <col min="4875" max="4875" width="14.58203125" style="17" customWidth="1"/>
    <col min="4876" max="4876" width="9.08203125" style="17" customWidth="1"/>
    <col min="4877" max="4877" width="12.5" style="17" customWidth="1"/>
    <col min="4878" max="4878" width="11.75" style="17" customWidth="1"/>
    <col min="4879" max="4879" width="14.25" style="17" customWidth="1"/>
    <col min="4880" max="4883" width="14.58203125" style="17" customWidth="1"/>
    <col min="4884" max="4885" width="0" style="17" hidden="1" customWidth="1"/>
    <col min="4886" max="4888" width="14.58203125" style="17" customWidth="1"/>
    <col min="4889" max="4889" width="21.33203125" style="17" customWidth="1"/>
    <col min="4890" max="4890" width="13.33203125" style="17" bestFit="1" customWidth="1"/>
    <col min="4891" max="5120" width="11.58203125" style="17"/>
    <col min="5121" max="5121" width="12.08203125" style="17" customWidth="1"/>
    <col min="5122" max="5122" width="14.58203125" style="17" customWidth="1"/>
    <col min="5123" max="5123" width="0" style="17" hidden="1" customWidth="1"/>
    <col min="5124" max="5127" width="14.58203125" style="17" customWidth="1"/>
    <col min="5128" max="5128" width="19.75" style="17" customWidth="1"/>
    <col min="5129" max="5129" width="15.6640625" style="17" customWidth="1"/>
    <col min="5130" max="5130" width="13.5" style="17" customWidth="1"/>
    <col min="5131" max="5131" width="14.58203125" style="17" customWidth="1"/>
    <col min="5132" max="5132" width="9.08203125" style="17" customWidth="1"/>
    <col min="5133" max="5133" width="12.5" style="17" customWidth="1"/>
    <col min="5134" max="5134" width="11.75" style="17" customWidth="1"/>
    <col min="5135" max="5135" width="14.25" style="17" customWidth="1"/>
    <col min="5136" max="5139" width="14.58203125" style="17" customWidth="1"/>
    <col min="5140" max="5141" width="0" style="17" hidden="1" customWidth="1"/>
    <col min="5142" max="5144" width="14.58203125" style="17" customWidth="1"/>
    <col min="5145" max="5145" width="21.33203125" style="17" customWidth="1"/>
    <col min="5146" max="5146" width="13.33203125" style="17" bestFit="1" customWidth="1"/>
    <col min="5147" max="5376" width="11.58203125" style="17"/>
    <col min="5377" max="5377" width="12.08203125" style="17" customWidth="1"/>
    <col min="5378" max="5378" width="14.58203125" style="17" customWidth="1"/>
    <col min="5379" max="5379" width="0" style="17" hidden="1" customWidth="1"/>
    <col min="5380" max="5383" width="14.58203125" style="17" customWidth="1"/>
    <col min="5384" max="5384" width="19.75" style="17" customWidth="1"/>
    <col min="5385" max="5385" width="15.6640625" style="17" customWidth="1"/>
    <col min="5386" max="5386" width="13.5" style="17" customWidth="1"/>
    <col min="5387" max="5387" width="14.58203125" style="17" customWidth="1"/>
    <col min="5388" max="5388" width="9.08203125" style="17" customWidth="1"/>
    <col min="5389" max="5389" width="12.5" style="17" customWidth="1"/>
    <col min="5390" max="5390" width="11.75" style="17" customWidth="1"/>
    <col min="5391" max="5391" width="14.25" style="17" customWidth="1"/>
    <col min="5392" max="5395" width="14.58203125" style="17" customWidth="1"/>
    <col min="5396" max="5397" width="0" style="17" hidden="1" customWidth="1"/>
    <col min="5398" max="5400" width="14.58203125" style="17" customWidth="1"/>
    <col min="5401" max="5401" width="21.33203125" style="17" customWidth="1"/>
    <col min="5402" max="5402" width="13.33203125" style="17" bestFit="1" customWidth="1"/>
    <col min="5403" max="5632" width="11.58203125" style="17"/>
    <col min="5633" max="5633" width="12.08203125" style="17" customWidth="1"/>
    <col min="5634" max="5634" width="14.58203125" style="17" customWidth="1"/>
    <col min="5635" max="5635" width="0" style="17" hidden="1" customWidth="1"/>
    <col min="5636" max="5639" width="14.58203125" style="17" customWidth="1"/>
    <col min="5640" max="5640" width="19.75" style="17" customWidth="1"/>
    <col min="5641" max="5641" width="15.6640625" style="17" customWidth="1"/>
    <col min="5642" max="5642" width="13.5" style="17" customWidth="1"/>
    <col min="5643" max="5643" width="14.58203125" style="17" customWidth="1"/>
    <col min="5644" max="5644" width="9.08203125" style="17" customWidth="1"/>
    <col min="5645" max="5645" width="12.5" style="17" customWidth="1"/>
    <col min="5646" max="5646" width="11.75" style="17" customWidth="1"/>
    <col min="5647" max="5647" width="14.25" style="17" customWidth="1"/>
    <col min="5648" max="5651" width="14.58203125" style="17" customWidth="1"/>
    <col min="5652" max="5653" width="0" style="17" hidden="1" customWidth="1"/>
    <col min="5654" max="5656" width="14.58203125" style="17" customWidth="1"/>
    <col min="5657" max="5657" width="21.33203125" style="17" customWidth="1"/>
    <col min="5658" max="5658" width="13.33203125" style="17" bestFit="1" customWidth="1"/>
    <col min="5659" max="5888" width="11.58203125" style="17"/>
    <col min="5889" max="5889" width="12.08203125" style="17" customWidth="1"/>
    <col min="5890" max="5890" width="14.58203125" style="17" customWidth="1"/>
    <col min="5891" max="5891" width="0" style="17" hidden="1" customWidth="1"/>
    <col min="5892" max="5895" width="14.58203125" style="17" customWidth="1"/>
    <col min="5896" max="5896" width="19.75" style="17" customWidth="1"/>
    <col min="5897" max="5897" width="15.6640625" style="17" customWidth="1"/>
    <col min="5898" max="5898" width="13.5" style="17" customWidth="1"/>
    <col min="5899" max="5899" width="14.58203125" style="17" customWidth="1"/>
    <col min="5900" max="5900" width="9.08203125" style="17" customWidth="1"/>
    <col min="5901" max="5901" width="12.5" style="17" customWidth="1"/>
    <col min="5902" max="5902" width="11.75" style="17" customWidth="1"/>
    <col min="5903" max="5903" width="14.25" style="17" customWidth="1"/>
    <col min="5904" max="5907" width="14.58203125" style="17" customWidth="1"/>
    <col min="5908" max="5909" width="0" style="17" hidden="1" customWidth="1"/>
    <col min="5910" max="5912" width="14.58203125" style="17" customWidth="1"/>
    <col min="5913" max="5913" width="21.33203125" style="17" customWidth="1"/>
    <col min="5914" max="5914" width="13.33203125" style="17" bestFit="1" customWidth="1"/>
    <col min="5915" max="6144" width="11.58203125" style="17"/>
    <col min="6145" max="6145" width="12.08203125" style="17" customWidth="1"/>
    <col min="6146" max="6146" width="14.58203125" style="17" customWidth="1"/>
    <col min="6147" max="6147" width="0" style="17" hidden="1" customWidth="1"/>
    <col min="6148" max="6151" width="14.58203125" style="17" customWidth="1"/>
    <col min="6152" max="6152" width="19.75" style="17" customWidth="1"/>
    <col min="6153" max="6153" width="15.6640625" style="17" customWidth="1"/>
    <col min="6154" max="6154" width="13.5" style="17" customWidth="1"/>
    <col min="6155" max="6155" width="14.58203125" style="17" customWidth="1"/>
    <col min="6156" max="6156" width="9.08203125" style="17" customWidth="1"/>
    <col min="6157" max="6157" width="12.5" style="17" customWidth="1"/>
    <col min="6158" max="6158" width="11.75" style="17" customWidth="1"/>
    <col min="6159" max="6159" width="14.25" style="17" customWidth="1"/>
    <col min="6160" max="6163" width="14.58203125" style="17" customWidth="1"/>
    <col min="6164" max="6165" width="0" style="17" hidden="1" customWidth="1"/>
    <col min="6166" max="6168" width="14.58203125" style="17" customWidth="1"/>
    <col min="6169" max="6169" width="21.33203125" style="17" customWidth="1"/>
    <col min="6170" max="6170" width="13.33203125" style="17" bestFit="1" customWidth="1"/>
    <col min="6171" max="6400" width="11.58203125" style="17"/>
    <col min="6401" max="6401" width="12.08203125" style="17" customWidth="1"/>
    <col min="6402" max="6402" width="14.58203125" style="17" customWidth="1"/>
    <col min="6403" max="6403" width="0" style="17" hidden="1" customWidth="1"/>
    <col min="6404" max="6407" width="14.58203125" style="17" customWidth="1"/>
    <col min="6408" max="6408" width="19.75" style="17" customWidth="1"/>
    <col min="6409" max="6409" width="15.6640625" style="17" customWidth="1"/>
    <col min="6410" max="6410" width="13.5" style="17" customWidth="1"/>
    <col min="6411" max="6411" width="14.58203125" style="17" customWidth="1"/>
    <col min="6412" max="6412" width="9.08203125" style="17" customWidth="1"/>
    <col min="6413" max="6413" width="12.5" style="17" customWidth="1"/>
    <col min="6414" max="6414" width="11.75" style="17" customWidth="1"/>
    <col min="6415" max="6415" width="14.25" style="17" customWidth="1"/>
    <col min="6416" max="6419" width="14.58203125" style="17" customWidth="1"/>
    <col min="6420" max="6421" width="0" style="17" hidden="1" customWidth="1"/>
    <col min="6422" max="6424" width="14.58203125" style="17" customWidth="1"/>
    <col min="6425" max="6425" width="21.33203125" style="17" customWidth="1"/>
    <col min="6426" max="6426" width="13.33203125" style="17" bestFit="1" customWidth="1"/>
    <col min="6427" max="6656" width="11.58203125" style="17"/>
    <col min="6657" max="6657" width="12.08203125" style="17" customWidth="1"/>
    <col min="6658" max="6658" width="14.58203125" style="17" customWidth="1"/>
    <col min="6659" max="6659" width="0" style="17" hidden="1" customWidth="1"/>
    <col min="6660" max="6663" width="14.58203125" style="17" customWidth="1"/>
    <col min="6664" max="6664" width="19.75" style="17" customWidth="1"/>
    <col min="6665" max="6665" width="15.6640625" style="17" customWidth="1"/>
    <col min="6666" max="6666" width="13.5" style="17" customWidth="1"/>
    <col min="6667" max="6667" width="14.58203125" style="17" customWidth="1"/>
    <col min="6668" max="6668" width="9.08203125" style="17" customWidth="1"/>
    <col min="6669" max="6669" width="12.5" style="17" customWidth="1"/>
    <col min="6670" max="6670" width="11.75" style="17" customWidth="1"/>
    <col min="6671" max="6671" width="14.25" style="17" customWidth="1"/>
    <col min="6672" max="6675" width="14.58203125" style="17" customWidth="1"/>
    <col min="6676" max="6677" width="0" style="17" hidden="1" customWidth="1"/>
    <col min="6678" max="6680" width="14.58203125" style="17" customWidth="1"/>
    <col min="6681" max="6681" width="21.33203125" style="17" customWidth="1"/>
    <col min="6682" max="6682" width="13.33203125" style="17" bestFit="1" customWidth="1"/>
    <col min="6683" max="6912" width="11.58203125" style="17"/>
    <col min="6913" max="6913" width="12.08203125" style="17" customWidth="1"/>
    <col min="6914" max="6914" width="14.58203125" style="17" customWidth="1"/>
    <col min="6915" max="6915" width="0" style="17" hidden="1" customWidth="1"/>
    <col min="6916" max="6919" width="14.58203125" style="17" customWidth="1"/>
    <col min="6920" max="6920" width="19.75" style="17" customWidth="1"/>
    <col min="6921" max="6921" width="15.6640625" style="17" customWidth="1"/>
    <col min="6922" max="6922" width="13.5" style="17" customWidth="1"/>
    <col min="6923" max="6923" width="14.58203125" style="17" customWidth="1"/>
    <col min="6924" max="6924" width="9.08203125" style="17" customWidth="1"/>
    <col min="6925" max="6925" width="12.5" style="17" customWidth="1"/>
    <col min="6926" max="6926" width="11.75" style="17" customWidth="1"/>
    <col min="6927" max="6927" width="14.25" style="17" customWidth="1"/>
    <col min="6928" max="6931" width="14.58203125" style="17" customWidth="1"/>
    <col min="6932" max="6933" width="0" style="17" hidden="1" customWidth="1"/>
    <col min="6934" max="6936" width="14.58203125" style="17" customWidth="1"/>
    <col min="6937" max="6937" width="21.33203125" style="17" customWidth="1"/>
    <col min="6938" max="6938" width="13.33203125" style="17" bestFit="1" customWidth="1"/>
    <col min="6939" max="7168" width="11.58203125" style="17"/>
    <col min="7169" max="7169" width="12.08203125" style="17" customWidth="1"/>
    <col min="7170" max="7170" width="14.58203125" style="17" customWidth="1"/>
    <col min="7171" max="7171" width="0" style="17" hidden="1" customWidth="1"/>
    <col min="7172" max="7175" width="14.58203125" style="17" customWidth="1"/>
    <col min="7176" max="7176" width="19.75" style="17" customWidth="1"/>
    <col min="7177" max="7177" width="15.6640625" style="17" customWidth="1"/>
    <col min="7178" max="7178" width="13.5" style="17" customWidth="1"/>
    <col min="7179" max="7179" width="14.58203125" style="17" customWidth="1"/>
    <col min="7180" max="7180" width="9.08203125" style="17" customWidth="1"/>
    <col min="7181" max="7181" width="12.5" style="17" customWidth="1"/>
    <col min="7182" max="7182" width="11.75" style="17" customWidth="1"/>
    <col min="7183" max="7183" width="14.25" style="17" customWidth="1"/>
    <col min="7184" max="7187" width="14.58203125" style="17" customWidth="1"/>
    <col min="7188" max="7189" width="0" style="17" hidden="1" customWidth="1"/>
    <col min="7190" max="7192" width="14.58203125" style="17" customWidth="1"/>
    <col min="7193" max="7193" width="21.33203125" style="17" customWidth="1"/>
    <col min="7194" max="7194" width="13.33203125" style="17" bestFit="1" customWidth="1"/>
    <col min="7195" max="7424" width="11.58203125" style="17"/>
    <col min="7425" max="7425" width="12.08203125" style="17" customWidth="1"/>
    <col min="7426" max="7426" width="14.58203125" style="17" customWidth="1"/>
    <col min="7427" max="7427" width="0" style="17" hidden="1" customWidth="1"/>
    <col min="7428" max="7431" width="14.58203125" style="17" customWidth="1"/>
    <col min="7432" max="7432" width="19.75" style="17" customWidth="1"/>
    <col min="7433" max="7433" width="15.6640625" style="17" customWidth="1"/>
    <col min="7434" max="7434" width="13.5" style="17" customWidth="1"/>
    <col min="7435" max="7435" width="14.58203125" style="17" customWidth="1"/>
    <col min="7436" max="7436" width="9.08203125" style="17" customWidth="1"/>
    <col min="7437" max="7437" width="12.5" style="17" customWidth="1"/>
    <col min="7438" max="7438" width="11.75" style="17" customWidth="1"/>
    <col min="7439" max="7439" width="14.25" style="17" customWidth="1"/>
    <col min="7440" max="7443" width="14.58203125" style="17" customWidth="1"/>
    <col min="7444" max="7445" width="0" style="17" hidden="1" customWidth="1"/>
    <col min="7446" max="7448" width="14.58203125" style="17" customWidth="1"/>
    <col min="7449" max="7449" width="21.33203125" style="17" customWidth="1"/>
    <col min="7450" max="7450" width="13.33203125" style="17" bestFit="1" customWidth="1"/>
    <col min="7451" max="7680" width="11.58203125" style="17"/>
    <col min="7681" max="7681" width="12.08203125" style="17" customWidth="1"/>
    <col min="7682" max="7682" width="14.58203125" style="17" customWidth="1"/>
    <col min="7683" max="7683" width="0" style="17" hidden="1" customWidth="1"/>
    <col min="7684" max="7687" width="14.58203125" style="17" customWidth="1"/>
    <col min="7688" max="7688" width="19.75" style="17" customWidth="1"/>
    <col min="7689" max="7689" width="15.6640625" style="17" customWidth="1"/>
    <col min="7690" max="7690" width="13.5" style="17" customWidth="1"/>
    <col min="7691" max="7691" width="14.58203125" style="17" customWidth="1"/>
    <col min="7692" max="7692" width="9.08203125" style="17" customWidth="1"/>
    <col min="7693" max="7693" width="12.5" style="17" customWidth="1"/>
    <col min="7694" max="7694" width="11.75" style="17" customWidth="1"/>
    <col min="7695" max="7695" width="14.25" style="17" customWidth="1"/>
    <col min="7696" max="7699" width="14.58203125" style="17" customWidth="1"/>
    <col min="7700" max="7701" width="0" style="17" hidden="1" customWidth="1"/>
    <col min="7702" max="7704" width="14.58203125" style="17" customWidth="1"/>
    <col min="7705" max="7705" width="21.33203125" style="17" customWidth="1"/>
    <col min="7706" max="7706" width="13.33203125" style="17" bestFit="1" customWidth="1"/>
    <col min="7707" max="7936" width="11.58203125" style="17"/>
    <col min="7937" max="7937" width="12.08203125" style="17" customWidth="1"/>
    <col min="7938" max="7938" width="14.58203125" style="17" customWidth="1"/>
    <col min="7939" max="7939" width="0" style="17" hidden="1" customWidth="1"/>
    <col min="7940" max="7943" width="14.58203125" style="17" customWidth="1"/>
    <col min="7944" max="7944" width="19.75" style="17" customWidth="1"/>
    <col min="7945" max="7945" width="15.6640625" style="17" customWidth="1"/>
    <col min="7946" max="7946" width="13.5" style="17" customWidth="1"/>
    <col min="7947" max="7947" width="14.58203125" style="17" customWidth="1"/>
    <col min="7948" max="7948" width="9.08203125" style="17" customWidth="1"/>
    <col min="7949" max="7949" width="12.5" style="17" customWidth="1"/>
    <col min="7950" max="7950" width="11.75" style="17" customWidth="1"/>
    <col min="7951" max="7951" width="14.25" style="17" customWidth="1"/>
    <col min="7952" max="7955" width="14.58203125" style="17" customWidth="1"/>
    <col min="7956" max="7957" width="0" style="17" hidden="1" customWidth="1"/>
    <col min="7958" max="7960" width="14.58203125" style="17" customWidth="1"/>
    <col min="7961" max="7961" width="21.33203125" style="17" customWidth="1"/>
    <col min="7962" max="7962" width="13.33203125" style="17" bestFit="1" customWidth="1"/>
    <col min="7963" max="8192" width="11.58203125" style="17"/>
    <col min="8193" max="8193" width="12.08203125" style="17" customWidth="1"/>
    <col min="8194" max="8194" width="14.58203125" style="17" customWidth="1"/>
    <col min="8195" max="8195" width="0" style="17" hidden="1" customWidth="1"/>
    <col min="8196" max="8199" width="14.58203125" style="17" customWidth="1"/>
    <col min="8200" max="8200" width="19.75" style="17" customWidth="1"/>
    <col min="8201" max="8201" width="15.6640625" style="17" customWidth="1"/>
    <col min="8202" max="8202" width="13.5" style="17" customWidth="1"/>
    <col min="8203" max="8203" width="14.58203125" style="17" customWidth="1"/>
    <col min="8204" max="8204" width="9.08203125" style="17" customWidth="1"/>
    <col min="8205" max="8205" width="12.5" style="17" customWidth="1"/>
    <col min="8206" max="8206" width="11.75" style="17" customWidth="1"/>
    <col min="8207" max="8207" width="14.25" style="17" customWidth="1"/>
    <col min="8208" max="8211" width="14.58203125" style="17" customWidth="1"/>
    <col min="8212" max="8213" width="0" style="17" hidden="1" customWidth="1"/>
    <col min="8214" max="8216" width="14.58203125" style="17" customWidth="1"/>
    <col min="8217" max="8217" width="21.33203125" style="17" customWidth="1"/>
    <col min="8218" max="8218" width="13.33203125" style="17" bestFit="1" customWidth="1"/>
    <col min="8219" max="8448" width="11.58203125" style="17"/>
    <col min="8449" max="8449" width="12.08203125" style="17" customWidth="1"/>
    <col min="8450" max="8450" width="14.58203125" style="17" customWidth="1"/>
    <col min="8451" max="8451" width="0" style="17" hidden="1" customWidth="1"/>
    <col min="8452" max="8455" width="14.58203125" style="17" customWidth="1"/>
    <col min="8456" max="8456" width="19.75" style="17" customWidth="1"/>
    <col min="8457" max="8457" width="15.6640625" style="17" customWidth="1"/>
    <col min="8458" max="8458" width="13.5" style="17" customWidth="1"/>
    <col min="8459" max="8459" width="14.58203125" style="17" customWidth="1"/>
    <col min="8460" max="8460" width="9.08203125" style="17" customWidth="1"/>
    <col min="8461" max="8461" width="12.5" style="17" customWidth="1"/>
    <col min="8462" max="8462" width="11.75" style="17" customWidth="1"/>
    <col min="8463" max="8463" width="14.25" style="17" customWidth="1"/>
    <col min="8464" max="8467" width="14.58203125" style="17" customWidth="1"/>
    <col min="8468" max="8469" width="0" style="17" hidden="1" customWidth="1"/>
    <col min="8470" max="8472" width="14.58203125" style="17" customWidth="1"/>
    <col min="8473" max="8473" width="21.33203125" style="17" customWidth="1"/>
    <col min="8474" max="8474" width="13.33203125" style="17" bestFit="1" customWidth="1"/>
    <col min="8475" max="8704" width="11.58203125" style="17"/>
    <col min="8705" max="8705" width="12.08203125" style="17" customWidth="1"/>
    <col min="8706" max="8706" width="14.58203125" style="17" customWidth="1"/>
    <col min="8707" max="8707" width="0" style="17" hidden="1" customWidth="1"/>
    <col min="8708" max="8711" width="14.58203125" style="17" customWidth="1"/>
    <col min="8712" max="8712" width="19.75" style="17" customWidth="1"/>
    <col min="8713" max="8713" width="15.6640625" style="17" customWidth="1"/>
    <col min="8714" max="8714" width="13.5" style="17" customWidth="1"/>
    <col min="8715" max="8715" width="14.58203125" style="17" customWidth="1"/>
    <col min="8716" max="8716" width="9.08203125" style="17" customWidth="1"/>
    <col min="8717" max="8717" width="12.5" style="17" customWidth="1"/>
    <col min="8718" max="8718" width="11.75" style="17" customWidth="1"/>
    <col min="8719" max="8719" width="14.25" style="17" customWidth="1"/>
    <col min="8720" max="8723" width="14.58203125" style="17" customWidth="1"/>
    <col min="8724" max="8725" width="0" style="17" hidden="1" customWidth="1"/>
    <col min="8726" max="8728" width="14.58203125" style="17" customWidth="1"/>
    <col min="8729" max="8729" width="21.33203125" style="17" customWidth="1"/>
    <col min="8730" max="8730" width="13.33203125" style="17" bestFit="1" customWidth="1"/>
    <col min="8731" max="8960" width="11.58203125" style="17"/>
    <col min="8961" max="8961" width="12.08203125" style="17" customWidth="1"/>
    <col min="8962" max="8962" width="14.58203125" style="17" customWidth="1"/>
    <col min="8963" max="8963" width="0" style="17" hidden="1" customWidth="1"/>
    <col min="8964" max="8967" width="14.58203125" style="17" customWidth="1"/>
    <col min="8968" max="8968" width="19.75" style="17" customWidth="1"/>
    <col min="8969" max="8969" width="15.6640625" style="17" customWidth="1"/>
    <col min="8970" max="8970" width="13.5" style="17" customWidth="1"/>
    <col min="8971" max="8971" width="14.58203125" style="17" customWidth="1"/>
    <col min="8972" max="8972" width="9.08203125" style="17" customWidth="1"/>
    <col min="8973" max="8973" width="12.5" style="17" customWidth="1"/>
    <col min="8974" max="8974" width="11.75" style="17" customWidth="1"/>
    <col min="8975" max="8975" width="14.25" style="17" customWidth="1"/>
    <col min="8976" max="8979" width="14.58203125" style="17" customWidth="1"/>
    <col min="8980" max="8981" width="0" style="17" hidden="1" customWidth="1"/>
    <col min="8982" max="8984" width="14.58203125" style="17" customWidth="1"/>
    <col min="8985" max="8985" width="21.33203125" style="17" customWidth="1"/>
    <col min="8986" max="8986" width="13.33203125" style="17" bestFit="1" customWidth="1"/>
    <col min="8987" max="9216" width="11.58203125" style="17"/>
    <col min="9217" max="9217" width="12.08203125" style="17" customWidth="1"/>
    <col min="9218" max="9218" width="14.58203125" style="17" customWidth="1"/>
    <col min="9219" max="9219" width="0" style="17" hidden="1" customWidth="1"/>
    <col min="9220" max="9223" width="14.58203125" style="17" customWidth="1"/>
    <col min="9224" max="9224" width="19.75" style="17" customWidth="1"/>
    <col min="9225" max="9225" width="15.6640625" style="17" customWidth="1"/>
    <col min="9226" max="9226" width="13.5" style="17" customWidth="1"/>
    <col min="9227" max="9227" width="14.58203125" style="17" customWidth="1"/>
    <col min="9228" max="9228" width="9.08203125" style="17" customWidth="1"/>
    <col min="9229" max="9229" width="12.5" style="17" customWidth="1"/>
    <col min="9230" max="9230" width="11.75" style="17" customWidth="1"/>
    <col min="9231" max="9231" width="14.25" style="17" customWidth="1"/>
    <col min="9232" max="9235" width="14.58203125" style="17" customWidth="1"/>
    <col min="9236" max="9237" width="0" style="17" hidden="1" customWidth="1"/>
    <col min="9238" max="9240" width="14.58203125" style="17" customWidth="1"/>
    <col min="9241" max="9241" width="21.33203125" style="17" customWidth="1"/>
    <col min="9242" max="9242" width="13.33203125" style="17" bestFit="1" customWidth="1"/>
    <col min="9243" max="9472" width="11.58203125" style="17"/>
    <col min="9473" max="9473" width="12.08203125" style="17" customWidth="1"/>
    <col min="9474" max="9474" width="14.58203125" style="17" customWidth="1"/>
    <col min="9475" max="9475" width="0" style="17" hidden="1" customWidth="1"/>
    <col min="9476" max="9479" width="14.58203125" style="17" customWidth="1"/>
    <col min="9480" max="9480" width="19.75" style="17" customWidth="1"/>
    <col min="9481" max="9481" width="15.6640625" style="17" customWidth="1"/>
    <col min="9482" max="9482" width="13.5" style="17" customWidth="1"/>
    <col min="9483" max="9483" width="14.58203125" style="17" customWidth="1"/>
    <col min="9484" max="9484" width="9.08203125" style="17" customWidth="1"/>
    <col min="9485" max="9485" width="12.5" style="17" customWidth="1"/>
    <col min="9486" max="9486" width="11.75" style="17" customWidth="1"/>
    <col min="9487" max="9487" width="14.25" style="17" customWidth="1"/>
    <col min="9488" max="9491" width="14.58203125" style="17" customWidth="1"/>
    <col min="9492" max="9493" width="0" style="17" hidden="1" customWidth="1"/>
    <col min="9494" max="9496" width="14.58203125" style="17" customWidth="1"/>
    <col min="9497" max="9497" width="21.33203125" style="17" customWidth="1"/>
    <col min="9498" max="9498" width="13.33203125" style="17" bestFit="1" customWidth="1"/>
    <col min="9499" max="9728" width="11.58203125" style="17"/>
    <col min="9729" max="9729" width="12.08203125" style="17" customWidth="1"/>
    <col min="9730" max="9730" width="14.58203125" style="17" customWidth="1"/>
    <col min="9731" max="9731" width="0" style="17" hidden="1" customWidth="1"/>
    <col min="9732" max="9735" width="14.58203125" style="17" customWidth="1"/>
    <col min="9736" max="9736" width="19.75" style="17" customWidth="1"/>
    <col min="9737" max="9737" width="15.6640625" style="17" customWidth="1"/>
    <col min="9738" max="9738" width="13.5" style="17" customWidth="1"/>
    <col min="9739" max="9739" width="14.58203125" style="17" customWidth="1"/>
    <col min="9740" max="9740" width="9.08203125" style="17" customWidth="1"/>
    <col min="9741" max="9741" width="12.5" style="17" customWidth="1"/>
    <col min="9742" max="9742" width="11.75" style="17" customWidth="1"/>
    <col min="9743" max="9743" width="14.25" style="17" customWidth="1"/>
    <col min="9744" max="9747" width="14.58203125" style="17" customWidth="1"/>
    <col min="9748" max="9749" width="0" style="17" hidden="1" customWidth="1"/>
    <col min="9750" max="9752" width="14.58203125" style="17" customWidth="1"/>
    <col min="9753" max="9753" width="21.33203125" style="17" customWidth="1"/>
    <col min="9754" max="9754" width="13.33203125" style="17" bestFit="1" customWidth="1"/>
    <col min="9755" max="9984" width="11.58203125" style="17"/>
    <col min="9985" max="9985" width="12.08203125" style="17" customWidth="1"/>
    <col min="9986" max="9986" width="14.58203125" style="17" customWidth="1"/>
    <col min="9987" max="9987" width="0" style="17" hidden="1" customWidth="1"/>
    <col min="9988" max="9991" width="14.58203125" style="17" customWidth="1"/>
    <col min="9992" max="9992" width="19.75" style="17" customWidth="1"/>
    <col min="9993" max="9993" width="15.6640625" style="17" customWidth="1"/>
    <col min="9994" max="9994" width="13.5" style="17" customWidth="1"/>
    <col min="9995" max="9995" width="14.58203125" style="17" customWidth="1"/>
    <col min="9996" max="9996" width="9.08203125" style="17" customWidth="1"/>
    <col min="9997" max="9997" width="12.5" style="17" customWidth="1"/>
    <col min="9998" max="9998" width="11.75" style="17" customWidth="1"/>
    <col min="9999" max="9999" width="14.25" style="17" customWidth="1"/>
    <col min="10000" max="10003" width="14.58203125" style="17" customWidth="1"/>
    <col min="10004" max="10005" width="0" style="17" hidden="1" customWidth="1"/>
    <col min="10006" max="10008" width="14.58203125" style="17" customWidth="1"/>
    <col min="10009" max="10009" width="21.33203125" style="17" customWidth="1"/>
    <col min="10010" max="10010" width="13.33203125" style="17" bestFit="1" customWidth="1"/>
    <col min="10011" max="10240" width="11.58203125" style="17"/>
    <col min="10241" max="10241" width="12.08203125" style="17" customWidth="1"/>
    <col min="10242" max="10242" width="14.58203125" style="17" customWidth="1"/>
    <col min="10243" max="10243" width="0" style="17" hidden="1" customWidth="1"/>
    <col min="10244" max="10247" width="14.58203125" style="17" customWidth="1"/>
    <col min="10248" max="10248" width="19.75" style="17" customWidth="1"/>
    <col min="10249" max="10249" width="15.6640625" style="17" customWidth="1"/>
    <col min="10250" max="10250" width="13.5" style="17" customWidth="1"/>
    <col min="10251" max="10251" width="14.58203125" style="17" customWidth="1"/>
    <col min="10252" max="10252" width="9.08203125" style="17" customWidth="1"/>
    <col min="10253" max="10253" width="12.5" style="17" customWidth="1"/>
    <col min="10254" max="10254" width="11.75" style="17" customWidth="1"/>
    <col min="10255" max="10255" width="14.25" style="17" customWidth="1"/>
    <col min="10256" max="10259" width="14.58203125" style="17" customWidth="1"/>
    <col min="10260" max="10261" width="0" style="17" hidden="1" customWidth="1"/>
    <col min="10262" max="10264" width="14.58203125" style="17" customWidth="1"/>
    <col min="10265" max="10265" width="21.33203125" style="17" customWidth="1"/>
    <col min="10266" max="10266" width="13.33203125" style="17" bestFit="1" customWidth="1"/>
    <col min="10267" max="10496" width="11.58203125" style="17"/>
    <col min="10497" max="10497" width="12.08203125" style="17" customWidth="1"/>
    <col min="10498" max="10498" width="14.58203125" style="17" customWidth="1"/>
    <col min="10499" max="10499" width="0" style="17" hidden="1" customWidth="1"/>
    <col min="10500" max="10503" width="14.58203125" style="17" customWidth="1"/>
    <col min="10504" max="10504" width="19.75" style="17" customWidth="1"/>
    <col min="10505" max="10505" width="15.6640625" style="17" customWidth="1"/>
    <col min="10506" max="10506" width="13.5" style="17" customWidth="1"/>
    <col min="10507" max="10507" width="14.58203125" style="17" customWidth="1"/>
    <col min="10508" max="10508" width="9.08203125" style="17" customWidth="1"/>
    <col min="10509" max="10509" width="12.5" style="17" customWidth="1"/>
    <col min="10510" max="10510" width="11.75" style="17" customWidth="1"/>
    <col min="10511" max="10511" width="14.25" style="17" customWidth="1"/>
    <col min="10512" max="10515" width="14.58203125" style="17" customWidth="1"/>
    <col min="10516" max="10517" width="0" style="17" hidden="1" customWidth="1"/>
    <col min="10518" max="10520" width="14.58203125" style="17" customWidth="1"/>
    <col min="10521" max="10521" width="21.33203125" style="17" customWidth="1"/>
    <col min="10522" max="10522" width="13.33203125" style="17" bestFit="1" customWidth="1"/>
    <col min="10523" max="10752" width="11.58203125" style="17"/>
    <col min="10753" max="10753" width="12.08203125" style="17" customWidth="1"/>
    <col min="10754" max="10754" width="14.58203125" style="17" customWidth="1"/>
    <col min="10755" max="10755" width="0" style="17" hidden="1" customWidth="1"/>
    <col min="10756" max="10759" width="14.58203125" style="17" customWidth="1"/>
    <col min="10760" max="10760" width="19.75" style="17" customWidth="1"/>
    <col min="10761" max="10761" width="15.6640625" style="17" customWidth="1"/>
    <col min="10762" max="10762" width="13.5" style="17" customWidth="1"/>
    <col min="10763" max="10763" width="14.58203125" style="17" customWidth="1"/>
    <col min="10764" max="10764" width="9.08203125" style="17" customWidth="1"/>
    <col min="10765" max="10765" width="12.5" style="17" customWidth="1"/>
    <col min="10766" max="10766" width="11.75" style="17" customWidth="1"/>
    <col min="10767" max="10767" width="14.25" style="17" customWidth="1"/>
    <col min="10768" max="10771" width="14.58203125" style="17" customWidth="1"/>
    <col min="10772" max="10773" width="0" style="17" hidden="1" customWidth="1"/>
    <col min="10774" max="10776" width="14.58203125" style="17" customWidth="1"/>
    <col min="10777" max="10777" width="21.33203125" style="17" customWidth="1"/>
    <col min="10778" max="10778" width="13.33203125" style="17" bestFit="1" customWidth="1"/>
    <col min="10779" max="11008" width="11.58203125" style="17"/>
    <col min="11009" max="11009" width="12.08203125" style="17" customWidth="1"/>
    <col min="11010" max="11010" width="14.58203125" style="17" customWidth="1"/>
    <col min="11011" max="11011" width="0" style="17" hidden="1" customWidth="1"/>
    <col min="11012" max="11015" width="14.58203125" style="17" customWidth="1"/>
    <col min="11016" max="11016" width="19.75" style="17" customWidth="1"/>
    <col min="11017" max="11017" width="15.6640625" style="17" customWidth="1"/>
    <col min="11018" max="11018" width="13.5" style="17" customWidth="1"/>
    <col min="11019" max="11019" width="14.58203125" style="17" customWidth="1"/>
    <col min="11020" max="11020" width="9.08203125" style="17" customWidth="1"/>
    <col min="11021" max="11021" width="12.5" style="17" customWidth="1"/>
    <col min="11022" max="11022" width="11.75" style="17" customWidth="1"/>
    <col min="11023" max="11023" width="14.25" style="17" customWidth="1"/>
    <col min="11024" max="11027" width="14.58203125" style="17" customWidth="1"/>
    <col min="11028" max="11029" width="0" style="17" hidden="1" customWidth="1"/>
    <col min="11030" max="11032" width="14.58203125" style="17" customWidth="1"/>
    <col min="11033" max="11033" width="21.33203125" style="17" customWidth="1"/>
    <col min="11034" max="11034" width="13.33203125" style="17" bestFit="1" customWidth="1"/>
    <col min="11035" max="11264" width="11.58203125" style="17"/>
    <col min="11265" max="11265" width="12.08203125" style="17" customWidth="1"/>
    <col min="11266" max="11266" width="14.58203125" style="17" customWidth="1"/>
    <col min="11267" max="11267" width="0" style="17" hidden="1" customWidth="1"/>
    <col min="11268" max="11271" width="14.58203125" style="17" customWidth="1"/>
    <col min="11272" max="11272" width="19.75" style="17" customWidth="1"/>
    <col min="11273" max="11273" width="15.6640625" style="17" customWidth="1"/>
    <col min="11274" max="11274" width="13.5" style="17" customWidth="1"/>
    <col min="11275" max="11275" width="14.58203125" style="17" customWidth="1"/>
    <col min="11276" max="11276" width="9.08203125" style="17" customWidth="1"/>
    <col min="11277" max="11277" width="12.5" style="17" customWidth="1"/>
    <col min="11278" max="11278" width="11.75" style="17" customWidth="1"/>
    <col min="11279" max="11279" width="14.25" style="17" customWidth="1"/>
    <col min="11280" max="11283" width="14.58203125" style="17" customWidth="1"/>
    <col min="11284" max="11285" width="0" style="17" hidden="1" customWidth="1"/>
    <col min="11286" max="11288" width="14.58203125" style="17" customWidth="1"/>
    <col min="11289" max="11289" width="21.33203125" style="17" customWidth="1"/>
    <col min="11290" max="11290" width="13.33203125" style="17" bestFit="1" customWidth="1"/>
    <col min="11291" max="11520" width="11.58203125" style="17"/>
    <col min="11521" max="11521" width="12.08203125" style="17" customWidth="1"/>
    <col min="11522" max="11522" width="14.58203125" style="17" customWidth="1"/>
    <col min="11523" max="11523" width="0" style="17" hidden="1" customWidth="1"/>
    <col min="11524" max="11527" width="14.58203125" style="17" customWidth="1"/>
    <col min="11528" max="11528" width="19.75" style="17" customWidth="1"/>
    <col min="11529" max="11529" width="15.6640625" style="17" customWidth="1"/>
    <col min="11530" max="11530" width="13.5" style="17" customWidth="1"/>
    <col min="11531" max="11531" width="14.58203125" style="17" customWidth="1"/>
    <col min="11532" max="11532" width="9.08203125" style="17" customWidth="1"/>
    <col min="11533" max="11533" width="12.5" style="17" customWidth="1"/>
    <col min="11534" max="11534" width="11.75" style="17" customWidth="1"/>
    <col min="11535" max="11535" width="14.25" style="17" customWidth="1"/>
    <col min="11536" max="11539" width="14.58203125" style="17" customWidth="1"/>
    <col min="11540" max="11541" width="0" style="17" hidden="1" customWidth="1"/>
    <col min="11542" max="11544" width="14.58203125" style="17" customWidth="1"/>
    <col min="11545" max="11545" width="21.33203125" style="17" customWidth="1"/>
    <col min="11546" max="11546" width="13.33203125" style="17" bestFit="1" customWidth="1"/>
    <col min="11547" max="11776" width="11.58203125" style="17"/>
    <col min="11777" max="11777" width="12.08203125" style="17" customWidth="1"/>
    <col min="11778" max="11778" width="14.58203125" style="17" customWidth="1"/>
    <col min="11779" max="11779" width="0" style="17" hidden="1" customWidth="1"/>
    <col min="11780" max="11783" width="14.58203125" style="17" customWidth="1"/>
    <col min="11784" max="11784" width="19.75" style="17" customWidth="1"/>
    <col min="11785" max="11785" width="15.6640625" style="17" customWidth="1"/>
    <col min="11786" max="11786" width="13.5" style="17" customWidth="1"/>
    <col min="11787" max="11787" width="14.58203125" style="17" customWidth="1"/>
    <col min="11788" max="11788" width="9.08203125" style="17" customWidth="1"/>
    <col min="11789" max="11789" width="12.5" style="17" customWidth="1"/>
    <col min="11790" max="11790" width="11.75" style="17" customWidth="1"/>
    <col min="11791" max="11791" width="14.25" style="17" customWidth="1"/>
    <col min="11792" max="11795" width="14.58203125" style="17" customWidth="1"/>
    <col min="11796" max="11797" width="0" style="17" hidden="1" customWidth="1"/>
    <col min="11798" max="11800" width="14.58203125" style="17" customWidth="1"/>
    <col min="11801" max="11801" width="21.33203125" style="17" customWidth="1"/>
    <col min="11802" max="11802" width="13.33203125" style="17" bestFit="1" customWidth="1"/>
    <col min="11803" max="12032" width="11.58203125" style="17"/>
    <col min="12033" max="12033" width="12.08203125" style="17" customWidth="1"/>
    <col min="12034" max="12034" width="14.58203125" style="17" customWidth="1"/>
    <col min="12035" max="12035" width="0" style="17" hidden="1" customWidth="1"/>
    <col min="12036" max="12039" width="14.58203125" style="17" customWidth="1"/>
    <col min="12040" max="12040" width="19.75" style="17" customWidth="1"/>
    <col min="12041" max="12041" width="15.6640625" style="17" customWidth="1"/>
    <col min="12042" max="12042" width="13.5" style="17" customWidth="1"/>
    <col min="12043" max="12043" width="14.58203125" style="17" customWidth="1"/>
    <col min="12044" max="12044" width="9.08203125" style="17" customWidth="1"/>
    <col min="12045" max="12045" width="12.5" style="17" customWidth="1"/>
    <col min="12046" max="12046" width="11.75" style="17" customWidth="1"/>
    <col min="12047" max="12047" width="14.25" style="17" customWidth="1"/>
    <col min="12048" max="12051" width="14.58203125" style="17" customWidth="1"/>
    <col min="12052" max="12053" width="0" style="17" hidden="1" customWidth="1"/>
    <col min="12054" max="12056" width="14.58203125" style="17" customWidth="1"/>
    <col min="12057" max="12057" width="21.33203125" style="17" customWidth="1"/>
    <col min="12058" max="12058" width="13.33203125" style="17" bestFit="1" customWidth="1"/>
    <col min="12059" max="12288" width="11.58203125" style="17"/>
    <col min="12289" max="12289" width="12.08203125" style="17" customWidth="1"/>
    <col min="12290" max="12290" width="14.58203125" style="17" customWidth="1"/>
    <col min="12291" max="12291" width="0" style="17" hidden="1" customWidth="1"/>
    <col min="12292" max="12295" width="14.58203125" style="17" customWidth="1"/>
    <col min="12296" max="12296" width="19.75" style="17" customWidth="1"/>
    <col min="12297" max="12297" width="15.6640625" style="17" customWidth="1"/>
    <col min="12298" max="12298" width="13.5" style="17" customWidth="1"/>
    <col min="12299" max="12299" width="14.58203125" style="17" customWidth="1"/>
    <col min="12300" max="12300" width="9.08203125" style="17" customWidth="1"/>
    <col min="12301" max="12301" width="12.5" style="17" customWidth="1"/>
    <col min="12302" max="12302" width="11.75" style="17" customWidth="1"/>
    <col min="12303" max="12303" width="14.25" style="17" customWidth="1"/>
    <col min="12304" max="12307" width="14.58203125" style="17" customWidth="1"/>
    <col min="12308" max="12309" width="0" style="17" hidden="1" customWidth="1"/>
    <col min="12310" max="12312" width="14.58203125" style="17" customWidth="1"/>
    <col min="12313" max="12313" width="21.33203125" style="17" customWidth="1"/>
    <col min="12314" max="12314" width="13.33203125" style="17" bestFit="1" customWidth="1"/>
    <col min="12315" max="12544" width="11.58203125" style="17"/>
    <col min="12545" max="12545" width="12.08203125" style="17" customWidth="1"/>
    <col min="12546" max="12546" width="14.58203125" style="17" customWidth="1"/>
    <col min="12547" max="12547" width="0" style="17" hidden="1" customWidth="1"/>
    <col min="12548" max="12551" width="14.58203125" style="17" customWidth="1"/>
    <col min="12552" max="12552" width="19.75" style="17" customWidth="1"/>
    <col min="12553" max="12553" width="15.6640625" style="17" customWidth="1"/>
    <col min="12554" max="12554" width="13.5" style="17" customWidth="1"/>
    <col min="12555" max="12555" width="14.58203125" style="17" customWidth="1"/>
    <col min="12556" max="12556" width="9.08203125" style="17" customWidth="1"/>
    <col min="12557" max="12557" width="12.5" style="17" customWidth="1"/>
    <col min="12558" max="12558" width="11.75" style="17" customWidth="1"/>
    <col min="12559" max="12559" width="14.25" style="17" customWidth="1"/>
    <col min="12560" max="12563" width="14.58203125" style="17" customWidth="1"/>
    <col min="12564" max="12565" width="0" style="17" hidden="1" customWidth="1"/>
    <col min="12566" max="12568" width="14.58203125" style="17" customWidth="1"/>
    <col min="12569" max="12569" width="21.33203125" style="17" customWidth="1"/>
    <col min="12570" max="12570" width="13.33203125" style="17" bestFit="1" customWidth="1"/>
    <col min="12571" max="12800" width="11.58203125" style="17"/>
    <col min="12801" max="12801" width="12.08203125" style="17" customWidth="1"/>
    <col min="12802" max="12802" width="14.58203125" style="17" customWidth="1"/>
    <col min="12803" max="12803" width="0" style="17" hidden="1" customWidth="1"/>
    <col min="12804" max="12807" width="14.58203125" style="17" customWidth="1"/>
    <col min="12808" max="12808" width="19.75" style="17" customWidth="1"/>
    <col min="12809" max="12809" width="15.6640625" style="17" customWidth="1"/>
    <col min="12810" max="12810" width="13.5" style="17" customWidth="1"/>
    <col min="12811" max="12811" width="14.58203125" style="17" customWidth="1"/>
    <col min="12812" max="12812" width="9.08203125" style="17" customWidth="1"/>
    <col min="12813" max="12813" width="12.5" style="17" customWidth="1"/>
    <col min="12814" max="12814" width="11.75" style="17" customWidth="1"/>
    <col min="12815" max="12815" width="14.25" style="17" customWidth="1"/>
    <col min="12816" max="12819" width="14.58203125" style="17" customWidth="1"/>
    <col min="12820" max="12821" width="0" style="17" hidden="1" customWidth="1"/>
    <col min="12822" max="12824" width="14.58203125" style="17" customWidth="1"/>
    <col min="12825" max="12825" width="21.33203125" style="17" customWidth="1"/>
    <col min="12826" max="12826" width="13.33203125" style="17" bestFit="1" customWidth="1"/>
    <col min="12827" max="13056" width="11.58203125" style="17"/>
    <col min="13057" max="13057" width="12.08203125" style="17" customWidth="1"/>
    <col min="13058" max="13058" width="14.58203125" style="17" customWidth="1"/>
    <col min="13059" max="13059" width="0" style="17" hidden="1" customWidth="1"/>
    <col min="13060" max="13063" width="14.58203125" style="17" customWidth="1"/>
    <col min="13064" max="13064" width="19.75" style="17" customWidth="1"/>
    <col min="13065" max="13065" width="15.6640625" style="17" customWidth="1"/>
    <col min="13066" max="13066" width="13.5" style="17" customWidth="1"/>
    <col min="13067" max="13067" width="14.58203125" style="17" customWidth="1"/>
    <col min="13068" max="13068" width="9.08203125" style="17" customWidth="1"/>
    <col min="13069" max="13069" width="12.5" style="17" customWidth="1"/>
    <col min="13070" max="13070" width="11.75" style="17" customWidth="1"/>
    <col min="13071" max="13071" width="14.25" style="17" customWidth="1"/>
    <col min="13072" max="13075" width="14.58203125" style="17" customWidth="1"/>
    <col min="13076" max="13077" width="0" style="17" hidden="1" customWidth="1"/>
    <col min="13078" max="13080" width="14.58203125" style="17" customWidth="1"/>
    <col min="13081" max="13081" width="21.33203125" style="17" customWidth="1"/>
    <col min="13082" max="13082" width="13.33203125" style="17" bestFit="1" customWidth="1"/>
    <col min="13083" max="13312" width="11.58203125" style="17"/>
    <col min="13313" max="13313" width="12.08203125" style="17" customWidth="1"/>
    <col min="13314" max="13314" width="14.58203125" style="17" customWidth="1"/>
    <col min="13315" max="13315" width="0" style="17" hidden="1" customWidth="1"/>
    <col min="13316" max="13319" width="14.58203125" style="17" customWidth="1"/>
    <col min="13320" max="13320" width="19.75" style="17" customWidth="1"/>
    <col min="13321" max="13321" width="15.6640625" style="17" customWidth="1"/>
    <col min="13322" max="13322" width="13.5" style="17" customWidth="1"/>
    <col min="13323" max="13323" width="14.58203125" style="17" customWidth="1"/>
    <col min="13324" max="13324" width="9.08203125" style="17" customWidth="1"/>
    <col min="13325" max="13325" width="12.5" style="17" customWidth="1"/>
    <col min="13326" max="13326" width="11.75" style="17" customWidth="1"/>
    <col min="13327" max="13327" width="14.25" style="17" customWidth="1"/>
    <col min="13328" max="13331" width="14.58203125" style="17" customWidth="1"/>
    <col min="13332" max="13333" width="0" style="17" hidden="1" customWidth="1"/>
    <col min="13334" max="13336" width="14.58203125" style="17" customWidth="1"/>
    <col min="13337" max="13337" width="21.33203125" style="17" customWidth="1"/>
    <col min="13338" max="13338" width="13.33203125" style="17" bestFit="1" customWidth="1"/>
    <col min="13339" max="13568" width="11.58203125" style="17"/>
    <col min="13569" max="13569" width="12.08203125" style="17" customWidth="1"/>
    <col min="13570" max="13570" width="14.58203125" style="17" customWidth="1"/>
    <col min="13571" max="13571" width="0" style="17" hidden="1" customWidth="1"/>
    <col min="13572" max="13575" width="14.58203125" style="17" customWidth="1"/>
    <col min="13576" max="13576" width="19.75" style="17" customWidth="1"/>
    <col min="13577" max="13577" width="15.6640625" style="17" customWidth="1"/>
    <col min="13578" max="13578" width="13.5" style="17" customWidth="1"/>
    <col min="13579" max="13579" width="14.58203125" style="17" customWidth="1"/>
    <col min="13580" max="13580" width="9.08203125" style="17" customWidth="1"/>
    <col min="13581" max="13581" width="12.5" style="17" customWidth="1"/>
    <col min="13582" max="13582" width="11.75" style="17" customWidth="1"/>
    <col min="13583" max="13583" width="14.25" style="17" customWidth="1"/>
    <col min="13584" max="13587" width="14.58203125" style="17" customWidth="1"/>
    <col min="13588" max="13589" width="0" style="17" hidden="1" customWidth="1"/>
    <col min="13590" max="13592" width="14.58203125" style="17" customWidth="1"/>
    <col min="13593" max="13593" width="21.33203125" style="17" customWidth="1"/>
    <col min="13594" max="13594" width="13.33203125" style="17" bestFit="1" customWidth="1"/>
    <col min="13595" max="13824" width="11.58203125" style="17"/>
    <col min="13825" max="13825" width="12.08203125" style="17" customWidth="1"/>
    <col min="13826" max="13826" width="14.58203125" style="17" customWidth="1"/>
    <col min="13827" max="13827" width="0" style="17" hidden="1" customWidth="1"/>
    <col min="13828" max="13831" width="14.58203125" style="17" customWidth="1"/>
    <col min="13832" max="13832" width="19.75" style="17" customWidth="1"/>
    <col min="13833" max="13833" width="15.6640625" style="17" customWidth="1"/>
    <col min="13834" max="13834" width="13.5" style="17" customWidth="1"/>
    <col min="13835" max="13835" width="14.58203125" style="17" customWidth="1"/>
    <col min="13836" max="13836" width="9.08203125" style="17" customWidth="1"/>
    <col min="13837" max="13837" width="12.5" style="17" customWidth="1"/>
    <col min="13838" max="13838" width="11.75" style="17" customWidth="1"/>
    <col min="13839" max="13839" width="14.25" style="17" customWidth="1"/>
    <col min="13840" max="13843" width="14.58203125" style="17" customWidth="1"/>
    <col min="13844" max="13845" width="0" style="17" hidden="1" customWidth="1"/>
    <col min="13846" max="13848" width="14.58203125" style="17" customWidth="1"/>
    <col min="13849" max="13849" width="21.33203125" style="17" customWidth="1"/>
    <col min="13850" max="13850" width="13.33203125" style="17" bestFit="1" customWidth="1"/>
    <col min="13851" max="14080" width="11.58203125" style="17"/>
    <col min="14081" max="14081" width="12.08203125" style="17" customWidth="1"/>
    <col min="14082" max="14082" width="14.58203125" style="17" customWidth="1"/>
    <col min="14083" max="14083" width="0" style="17" hidden="1" customWidth="1"/>
    <col min="14084" max="14087" width="14.58203125" style="17" customWidth="1"/>
    <col min="14088" max="14088" width="19.75" style="17" customWidth="1"/>
    <col min="14089" max="14089" width="15.6640625" style="17" customWidth="1"/>
    <col min="14090" max="14090" width="13.5" style="17" customWidth="1"/>
    <col min="14091" max="14091" width="14.58203125" style="17" customWidth="1"/>
    <col min="14092" max="14092" width="9.08203125" style="17" customWidth="1"/>
    <col min="14093" max="14093" width="12.5" style="17" customWidth="1"/>
    <col min="14094" max="14094" width="11.75" style="17" customWidth="1"/>
    <col min="14095" max="14095" width="14.25" style="17" customWidth="1"/>
    <col min="14096" max="14099" width="14.58203125" style="17" customWidth="1"/>
    <col min="14100" max="14101" width="0" style="17" hidden="1" customWidth="1"/>
    <col min="14102" max="14104" width="14.58203125" style="17" customWidth="1"/>
    <col min="14105" max="14105" width="21.33203125" style="17" customWidth="1"/>
    <col min="14106" max="14106" width="13.33203125" style="17" bestFit="1" customWidth="1"/>
    <col min="14107" max="14336" width="11.58203125" style="17"/>
    <col min="14337" max="14337" width="12.08203125" style="17" customWidth="1"/>
    <col min="14338" max="14338" width="14.58203125" style="17" customWidth="1"/>
    <col min="14339" max="14339" width="0" style="17" hidden="1" customWidth="1"/>
    <col min="14340" max="14343" width="14.58203125" style="17" customWidth="1"/>
    <col min="14344" max="14344" width="19.75" style="17" customWidth="1"/>
    <col min="14345" max="14345" width="15.6640625" style="17" customWidth="1"/>
    <col min="14346" max="14346" width="13.5" style="17" customWidth="1"/>
    <col min="14347" max="14347" width="14.58203125" style="17" customWidth="1"/>
    <col min="14348" max="14348" width="9.08203125" style="17" customWidth="1"/>
    <col min="14349" max="14349" width="12.5" style="17" customWidth="1"/>
    <col min="14350" max="14350" width="11.75" style="17" customWidth="1"/>
    <col min="14351" max="14351" width="14.25" style="17" customWidth="1"/>
    <col min="14352" max="14355" width="14.58203125" style="17" customWidth="1"/>
    <col min="14356" max="14357" width="0" style="17" hidden="1" customWidth="1"/>
    <col min="14358" max="14360" width="14.58203125" style="17" customWidth="1"/>
    <col min="14361" max="14361" width="21.33203125" style="17" customWidth="1"/>
    <col min="14362" max="14362" width="13.33203125" style="17" bestFit="1" customWidth="1"/>
    <col min="14363" max="14592" width="11.58203125" style="17"/>
    <col min="14593" max="14593" width="12.08203125" style="17" customWidth="1"/>
    <col min="14594" max="14594" width="14.58203125" style="17" customWidth="1"/>
    <col min="14595" max="14595" width="0" style="17" hidden="1" customWidth="1"/>
    <col min="14596" max="14599" width="14.58203125" style="17" customWidth="1"/>
    <col min="14600" max="14600" width="19.75" style="17" customWidth="1"/>
    <col min="14601" max="14601" width="15.6640625" style="17" customWidth="1"/>
    <col min="14602" max="14602" width="13.5" style="17" customWidth="1"/>
    <col min="14603" max="14603" width="14.58203125" style="17" customWidth="1"/>
    <col min="14604" max="14604" width="9.08203125" style="17" customWidth="1"/>
    <col min="14605" max="14605" width="12.5" style="17" customWidth="1"/>
    <col min="14606" max="14606" width="11.75" style="17" customWidth="1"/>
    <col min="14607" max="14607" width="14.25" style="17" customWidth="1"/>
    <col min="14608" max="14611" width="14.58203125" style="17" customWidth="1"/>
    <col min="14612" max="14613" width="0" style="17" hidden="1" customWidth="1"/>
    <col min="14614" max="14616" width="14.58203125" style="17" customWidth="1"/>
    <col min="14617" max="14617" width="21.33203125" style="17" customWidth="1"/>
    <col min="14618" max="14618" width="13.33203125" style="17" bestFit="1" customWidth="1"/>
    <col min="14619" max="14848" width="11.58203125" style="17"/>
    <col min="14849" max="14849" width="12.08203125" style="17" customWidth="1"/>
    <col min="14850" max="14850" width="14.58203125" style="17" customWidth="1"/>
    <col min="14851" max="14851" width="0" style="17" hidden="1" customWidth="1"/>
    <col min="14852" max="14855" width="14.58203125" style="17" customWidth="1"/>
    <col min="14856" max="14856" width="19.75" style="17" customWidth="1"/>
    <col min="14857" max="14857" width="15.6640625" style="17" customWidth="1"/>
    <col min="14858" max="14858" width="13.5" style="17" customWidth="1"/>
    <col min="14859" max="14859" width="14.58203125" style="17" customWidth="1"/>
    <col min="14860" max="14860" width="9.08203125" style="17" customWidth="1"/>
    <col min="14861" max="14861" width="12.5" style="17" customWidth="1"/>
    <col min="14862" max="14862" width="11.75" style="17" customWidth="1"/>
    <col min="14863" max="14863" width="14.25" style="17" customWidth="1"/>
    <col min="14864" max="14867" width="14.58203125" style="17" customWidth="1"/>
    <col min="14868" max="14869" width="0" style="17" hidden="1" customWidth="1"/>
    <col min="14870" max="14872" width="14.58203125" style="17" customWidth="1"/>
    <col min="14873" max="14873" width="21.33203125" style="17" customWidth="1"/>
    <col min="14874" max="14874" width="13.33203125" style="17" bestFit="1" customWidth="1"/>
    <col min="14875" max="15104" width="11.58203125" style="17"/>
    <col min="15105" max="15105" width="12.08203125" style="17" customWidth="1"/>
    <col min="15106" max="15106" width="14.58203125" style="17" customWidth="1"/>
    <col min="15107" max="15107" width="0" style="17" hidden="1" customWidth="1"/>
    <col min="15108" max="15111" width="14.58203125" style="17" customWidth="1"/>
    <col min="15112" max="15112" width="19.75" style="17" customWidth="1"/>
    <col min="15113" max="15113" width="15.6640625" style="17" customWidth="1"/>
    <col min="15114" max="15114" width="13.5" style="17" customWidth="1"/>
    <col min="15115" max="15115" width="14.58203125" style="17" customWidth="1"/>
    <col min="15116" max="15116" width="9.08203125" style="17" customWidth="1"/>
    <col min="15117" max="15117" width="12.5" style="17" customWidth="1"/>
    <col min="15118" max="15118" width="11.75" style="17" customWidth="1"/>
    <col min="15119" max="15119" width="14.25" style="17" customWidth="1"/>
    <col min="15120" max="15123" width="14.58203125" style="17" customWidth="1"/>
    <col min="15124" max="15125" width="0" style="17" hidden="1" customWidth="1"/>
    <col min="15126" max="15128" width="14.58203125" style="17" customWidth="1"/>
    <col min="15129" max="15129" width="21.33203125" style="17" customWidth="1"/>
    <col min="15130" max="15130" width="13.33203125" style="17" bestFit="1" customWidth="1"/>
    <col min="15131" max="15360" width="11.58203125" style="17"/>
    <col min="15361" max="15361" width="12.08203125" style="17" customWidth="1"/>
    <col min="15362" max="15362" width="14.58203125" style="17" customWidth="1"/>
    <col min="15363" max="15363" width="0" style="17" hidden="1" customWidth="1"/>
    <col min="15364" max="15367" width="14.58203125" style="17" customWidth="1"/>
    <col min="15368" max="15368" width="19.75" style="17" customWidth="1"/>
    <col min="15369" max="15369" width="15.6640625" style="17" customWidth="1"/>
    <col min="15370" max="15370" width="13.5" style="17" customWidth="1"/>
    <col min="15371" max="15371" width="14.58203125" style="17" customWidth="1"/>
    <col min="15372" max="15372" width="9.08203125" style="17" customWidth="1"/>
    <col min="15373" max="15373" width="12.5" style="17" customWidth="1"/>
    <col min="15374" max="15374" width="11.75" style="17" customWidth="1"/>
    <col min="15375" max="15375" width="14.25" style="17" customWidth="1"/>
    <col min="15376" max="15379" width="14.58203125" style="17" customWidth="1"/>
    <col min="15380" max="15381" width="0" style="17" hidden="1" customWidth="1"/>
    <col min="15382" max="15384" width="14.58203125" style="17" customWidth="1"/>
    <col min="15385" max="15385" width="21.33203125" style="17" customWidth="1"/>
    <col min="15386" max="15386" width="13.33203125" style="17" bestFit="1" customWidth="1"/>
    <col min="15387" max="15616" width="11.58203125" style="17"/>
    <col min="15617" max="15617" width="12.08203125" style="17" customWidth="1"/>
    <col min="15618" max="15618" width="14.58203125" style="17" customWidth="1"/>
    <col min="15619" max="15619" width="0" style="17" hidden="1" customWidth="1"/>
    <col min="15620" max="15623" width="14.58203125" style="17" customWidth="1"/>
    <col min="15624" max="15624" width="19.75" style="17" customWidth="1"/>
    <col min="15625" max="15625" width="15.6640625" style="17" customWidth="1"/>
    <col min="15626" max="15626" width="13.5" style="17" customWidth="1"/>
    <col min="15627" max="15627" width="14.58203125" style="17" customWidth="1"/>
    <col min="15628" max="15628" width="9.08203125" style="17" customWidth="1"/>
    <col min="15629" max="15629" width="12.5" style="17" customWidth="1"/>
    <col min="15630" max="15630" width="11.75" style="17" customWidth="1"/>
    <col min="15631" max="15631" width="14.25" style="17" customWidth="1"/>
    <col min="15632" max="15635" width="14.58203125" style="17" customWidth="1"/>
    <col min="15636" max="15637" width="0" style="17" hidden="1" customWidth="1"/>
    <col min="15638" max="15640" width="14.58203125" style="17" customWidth="1"/>
    <col min="15641" max="15641" width="21.33203125" style="17" customWidth="1"/>
    <col min="15642" max="15642" width="13.33203125" style="17" bestFit="1" customWidth="1"/>
    <col min="15643" max="15872" width="11.58203125" style="17"/>
    <col min="15873" max="15873" width="12.08203125" style="17" customWidth="1"/>
    <col min="15874" max="15874" width="14.58203125" style="17" customWidth="1"/>
    <col min="15875" max="15875" width="0" style="17" hidden="1" customWidth="1"/>
    <col min="15876" max="15879" width="14.58203125" style="17" customWidth="1"/>
    <col min="15880" max="15880" width="19.75" style="17" customWidth="1"/>
    <col min="15881" max="15881" width="15.6640625" style="17" customWidth="1"/>
    <col min="15882" max="15882" width="13.5" style="17" customWidth="1"/>
    <col min="15883" max="15883" width="14.58203125" style="17" customWidth="1"/>
    <col min="15884" max="15884" width="9.08203125" style="17" customWidth="1"/>
    <col min="15885" max="15885" width="12.5" style="17" customWidth="1"/>
    <col min="15886" max="15886" width="11.75" style="17" customWidth="1"/>
    <col min="15887" max="15887" width="14.25" style="17" customWidth="1"/>
    <col min="15888" max="15891" width="14.58203125" style="17" customWidth="1"/>
    <col min="15892" max="15893" width="0" style="17" hidden="1" customWidth="1"/>
    <col min="15894" max="15896" width="14.58203125" style="17" customWidth="1"/>
    <col min="15897" max="15897" width="21.33203125" style="17" customWidth="1"/>
    <col min="15898" max="15898" width="13.33203125" style="17" bestFit="1" customWidth="1"/>
    <col min="15899" max="16128" width="11.58203125" style="17"/>
    <col min="16129" max="16129" width="12.08203125" style="17" customWidth="1"/>
    <col min="16130" max="16130" width="14.58203125" style="17" customWidth="1"/>
    <col min="16131" max="16131" width="0" style="17" hidden="1" customWidth="1"/>
    <col min="16132" max="16135" width="14.58203125" style="17" customWidth="1"/>
    <col min="16136" max="16136" width="19.75" style="17" customWidth="1"/>
    <col min="16137" max="16137" width="15.6640625" style="17" customWidth="1"/>
    <col min="16138" max="16138" width="13.5" style="17" customWidth="1"/>
    <col min="16139" max="16139" width="14.58203125" style="17" customWidth="1"/>
    <col min="16140" max="16140" width="9.08203125" style="17" customWidth="1"/>
    <col min="16141" max="16141" width="12.5" style="17" customWidth="1"/>
    <col min="16142" max="16142" width="11.75" style="17" customWidth="1"/>
    <col min="16143" max="16143" width="14.25" style="17" customWidth="1"/>
    <col min="16144" max="16147" width="14.58203125" style="17" customWidth="1"/>
    <col min="16148" max="16149" width="0" style="17" hidden="1" customWidth="1"/>
    <col min="16150" max="16152" width="14.58203125" style="17" customWidth="1"/>
    <col min="16153" max="16153" width="21.33203125" style="17" customWidth="1"/>
    <col min="16154" max="16154" width="13.33203125" style="17" bestFit="1" customWidth="1"/>
    <col min="16155" max="16384" width="11.58203125" style="17"/>
  </cols>
  <sheetData>
    <row r="1" spans="1:31" s="138" customFormat="1" ht="26" customHeight="1" thickBot="1" x14ac:dyDescent="0.5">
      <c r="A1" s="120" t="s">
        <v>247</v>
      </c>
      <c r="B1" s="121" t="s">
        <v>248</v>
      </c>
      <c r="C1" s="121" t="s">
        <v>249</v>
      </c>
      <c r="D1" s="122" t="s">
        <v>250</v>
      </c>
      <c r="E1" s="123" t="s">
        <v>251</v>
      </c>
      <c r="F1" s="123" t="s">
        <v>252</v>
      </c>
      <c r="G1" s="123" t="s">
        <v>253</v>
      </c>
      <c r="H1" s="124" t="s">
        <v>254</v>
      </c>
      <c r="I1" s="124" t="s">
        <v>255</v>
      </c>
      <c r="J1" s="124" t="s">
        <v>256</v>
      </c>
      <c r="K1" s="125" t="s">
        <v>257</v>
      </c>
      <c r="L1" s="126" t="s">
        <v>258</v>
      </c>
      <c r="M1" s="127" t="s">
        <v>259</v>
      </c>
      <c r="N1" s="128" t="s">
        <v>260</v>
      </c>
      <c r="O1" s="129" t="s">
        <v>261</v>
      </c>
      <c r="P1" s="130" t="s">
        <v>262</v>
      </c>
      <c r="Q1" s="130" t="s">
        <v>263</v>
      </c>
      <c r="R1" s="131" t="s">
        <v>264</v>
      </c>
      <c r="S1" s="131" t="s">
        <v>265</v>
      </c>
      <c r="T1" s="132" t="s">
        <v>266</v>
      </c>
      <c r="U1" s="133" t="s">
        <v>267</v>
      </c>
      <c r="V1" s="134" t="s">
        <v>268</v>
      </c>
      <c r="W1" s="134" t="s">
        <v>269</v>
      </c>
      <c r="X1" s="135" t="s">
        <v>270</v>
      </c>
      <c r="Y1" s="136"/>
      <c r="Z1" s="137" t="s">
        <v>271</v>
      </c>
    </row>
    <row r="2" spans="1:31" ht="16" customHeight="1" x14ac:dyDescent="0.45">
      <c r="A2" s="139" t="s">
        <v>272</v>
      </c>
      <c r="B2" s="2">
        <v>45668</v>
      </c>
      <c r="D2" s="4" t="s">
        <v>181</v>
      </c>
      <c r="E2" s="5" t="s">
        <v>198</v>
      </c>
      <c r="G2" s="5" t="s">
        <v>28</v>
      </c>
      <c r="H2" s="19" t="s">
        <v>182</v>
      </c>
      <c r="L2" s="6">
        <v>8</v>
      </c>
      <c r="M2" s="7">
        <v>3000</v>
      </c>
      <c r="P2" s="10">
        <v>2205</v>
      </c>
      <c r="Q2" s="11">
        <f>M2*P2</f>
        <v>6615000</v>
      </c>
      <c r="Z2" s="18">
        <f t="shared" ref="Z2:Z65" si="0">W2-S2-Q2</f>
        <v>-6615000</v>
      </c>
    </row>
    <row r="3" spans="1:31" s="21" customFormat="1" ht="16" customHeight="1" x14ac:dyDescent="0.45">
      <c r="A3" s="139" t="s">
        <v>272</v>
      </c>
      <c r="B3" s="2">
        <v>45671</v>
      </c>
      <c r="C3" s="3"/>
      <c r="D3" s="4" t="s">
        <v>27</v>
      </c>
      <c r="E3" s="5" t="s">
        <v>198</v>
      </c>
      <c r="F3" s="5"/>
      <c r="G3" s="5" t="s">
        <v>28</v>
      </c>
      <c r="H3" s="19" t="s">
        <v>273</v>
      </c>
      <c r="I3" s="19">
        <v>3206</v>
      </c>
      <c r="J3" s="19"/>
      <c r="K3" s="20"/>
      <c r="L3" s="6"/>
      <c r="M3" s="7">
        <v>907</v>
      </c>
      <c r="N3" s="8"/>
      <c r="O3" s="9"/>
      <c r="P3" s="10">
        <v>4300</v>
      </c>
      <c r="Q3" s="11">
        <f>M3*P3</f>
        <v>3900100</v>
      </c>
      <c r="R3" s="12"/>
      <c r="S3" s="12"/>
      <c r="T3" s="13"/>
      <c r="U3" s="14"/>
      <c r="V3" s="15"/>
      <c r="W3" s="16"/>
      <c r="X3" s="12"/>
      <c r="Y3" s="17"/>
      <c r="Z3" s="18">
        <f t="shared" si="0"/>
        <v>-3900100</v>
      </c>
      <c r="AA3" s="17"/>
      <c r="AB3" s="17"/>
      <c r="AC3" s="17"/>
      <c r="AD3" s="17"/>
      <c r="AE3" s="17"/>
    </row>
    <row r="4" spans="1:31" s="21" customFormat="1" ht="16" customHeight="1" x14ac:dyDescent="0.45">
      <c r="A4" s="139" t="s">
        <v>272</v>
      </c>
      <c r="B4" s="2">
        <v>45681</v>
      </c>
      <c r="C4" s="3"/>
      <c r="D4" s="4" t="s">
        <v>27</v>
      </c>
      <c r="E4" s="5" t="s">
        <v>198</v>
      </c>
      <c r="F4" s="5"/>
      <c r="G4" s="5" t="s">
        <v>28</v>
      </c>
      <c r="H4" s="19" t="s">
        <v>273</v>
      </c>
      <c r="I4" s="19">
        <v>3206</v>
      </c>
      <c r="J4" s="19"/>
      <c r="K4" s="20"/>
      <c r="L4" s="6"/>
      <c r="M4" s="7">
        <v>612.6</v>
      </c>
      <c r="N4" s="8"/>
      <c r="O4" s="9"/>
      <c r="P4" s="10">
        <v>4300</v>
      </c>
      <c r="Q4" s="11">
        <f>M4*P4</f>
        <v>2634180</v>
      </c>
      <c r="R4" s="12"/>
      <c r="S4" s="12"/>
      <c r="T4" s="13"/>
      <c r="U4" s="14"/>
      <c r="V4" s="15"/>
      <c r="W4" s="16"/>
      <c r="X4" s="12"/>
      <c r="Y4" s="17"/>
      <c r="Z4" s="18">
        <f t="shared" si="0"/>
        <v>-2634180</v>
      </c>
      <c r="AA4" s="17"/>
      <c r="AB4" s="17"/>
      <c r="AC4" s="17"/>
      <c r="AD4" s="17"/>
      <c r="AE4" s="17"/>
    </row>
    <row r="5" spans="1:31" s="21" customFormat="1" ht="16" customHeight="1" x14ac:dyDescent="0.45">
      <c r="A5" s="139" t="s">
        <v>272</v>
      </c>
      <c r="B5" s="2">
        <v>45667</v>
      </c>
      <c r="C5" s="3"/>
      <c r="D5" s="4" t="s">
        <v>35</v>
      </c>
      <c r="E5" s="5" t="s">
        <v>10</v>
      </c>
      <c r="F5" s="5"/>
      <c r="G5" s="5" t="s">
        <v>19</v>
      </c>
      <c r="H5" s="19" t="s">
        <v>104</v>
      </c>
      <c r="I5" s="19" t="s">
        <v>53</v>
      </c>
      <c r="J5" s="19"/>
      <c r="K5" s="20"/>
      <c r="L5" s="6">
        <v>5</v>
      </c>
      <c r="M5" s="7"/>
      <c r="N5" s="8">
        <v>2542</v>
      </c>
      <c r="O5" s="9"/>
      <c r="P5" s="10"/>
      <c r="Q5" s="11"/>
      <c r="R5" s="12">
        <v>970</v>
      </c>
      <c r="S5" s="12">
        <f>N5*R5</f>
        <v>2465740</v>
      </c>
      <c r="T5" s="13"/>
      <c r="U5" s="14"/>
      <c r="V5" s="15"/>
      <c r="W5" s="16"/>
      <c r="X5" s="12"/>
      <c r="Y5" s="17"/>
      <c r="Z5" s="18">
        <f t="shared" si="0"/>
        <v>-2465740</v>
      </c>
      <c r="AA5" s="17"/>
      <c r="AB5" s="17"/>
      <c r="AC5" s="17"/>
      <c r="AD5" s="17"/>
      <c r="AE5" s="17"/>
    </row>
    <row r="6" spans="1:31" s="21" customFormat="1" ht="16" customHeight="1" x14ac:dyDescent="0.45">
      <c r="A6" s="139" t="s">
        <v>272</v>
      </c>
      <c r="B6" s="2">
        <v>45667</v>
      </c>
      <c r="C6" s="3"/>
      <c r="D6" s="4" t="s">
        <v>35</v>
      </c>
      <c r="E6" s="5" t="s">
        <v>10</v>
      </c>
      <c r="F6" s="5"/>
      <c r="G6" s="5" t="s">
        <v>19</v>
      </c>
      <c r="H6" s="19" t="s">
        <v>104</v>
      </c>
      <c r="I6" s="19" t="s">
        <v>36</v>
      </c>
      <c r="J6" s="19"/>
      <c r="K6" s="20"/>
      <c r="L6" s="6">
        <v>7</v>
      </c>
      <c r="M6" s="7"/>
      <c r="N6" s="8">
        <v>3625</v>
      </c>
      <c r="O6" s="9"/>
      <c r="P6" s="10"/>
      <c r="Q6" s="11"/>
      <c r="R6" s="12">
        <v>970</v>
      </c>
      <c r="S6" s="12">
        <f>N6*R6</f>
        <v>3516250</v>
      </c>
      <c r="T6" s="13"/>
      <c r="U6" s="14"/>
      <c r="V6" s="15"/>
      <c r="W6" s="16"/>
      <c r="X6" s="12"/>
      <c r="Y6" s="17"/>
      <c r="Z6" s="18">
        <f t="shared" si="0"/>
        <v>-3516250</v>
      </c>
      <c r="AA6" s="17"/>
      <c r="AB6" s="17"/>
      <c r="AC6" s="17"/>
      <c r="AD6" s="17"/>
      <c r="AE6" s="17"/>
    </row>
    <row r="7" spans="1:31" s="21" customFormat="1" ht="16" customHeight="1" x14ac:dyDescent="0.45">
      <c r="A7" s="139" t="s">
        <v>272</v>
      </c>
      <c r="B7" s="2">
        <v>45667</v>
      </c>
      <c r="C7" s="3"/>
      <c r="D7" s="4" t="s">
        <v>35</v>
      </c>
      <c r="E7" s="5" t="s">
        <v>10</v>
      </c>
      <c r="F7" s="5"/>
      <c r="G7" s="5" t="s">
        <v>19</v>
      </c>
      <c r="H7" s="19" t="s">
        <v>104</v>
      </c>
      <c r="I7" s="19" t="s">
        <v>69</v>
      </c>
      <c r="J7" s="19"/>
      <c r="K7" s="20"/>
      <c r="L7" s="6">
        <v>7</v>
      </c>
      <c r="M7" s="7"/>
      <c r="N7" s="8">
        <v>3600</v>
      </c>
      <c r="O7" s="9"/>
      <c r="P7" s="10"/>
      <c r="Q7" s="11"/>
      <c r="R7" s="12">
        <v>970</v>
      </c>
      <c r="S7" s="12">
        <f>N7*R7</f>
        <v>3492000</v>
      </c>
      <c r="T7" s="13"/>
      <c r="U7" s="14"/>
      <c r="V7" s="15"/>
      <c r="W7" s="16"/>
      <c r="X7" s="12"/>
      <c r="Y7" s="17"/>
      <c r="Z7" s="18">
        <f t="shared" si="0"/>
        <v>-3492000</v>
      </c>
      <c r="AA7" s="17"/>
      <c r="AB7" s="17"/>
      <c r="AC7" s="17"/>
      <c r="AD7" s="17"/>
      <c r="AE7" s="17"/>
    </row>
    <row r="8" spans="1:31" s="21" customFormat="1" ht="16" customHeight="1" x14ac:dyDescent="0.45">
      <c r="A8" s="139" t="s">
        <v>272</v>
      </c>
      <c r="B8" s="2">
        <v>45673</v>
      </c>
      <c r="C8" s="3"/>
      <c r="D8" s="4" t="s">
        <v>35</v>
      </c>
      <c r="E8" s="5" t="s">
        <v>10</v>
      </c>
      <c r="F8" s="5"/>
      <c r="G8" s="5" t="s">
        <v>19</v>
      </c>
      <c r="H8" s="19" t="s">
        <v>104</v>
      </c>
      <c r="I8" s="19" t="s">
        <v>36</v>
      </c>
      <c r="J8" s="19"/>
      <c r="K8" s="20"/>
      <c r="L8" s="6">
        <v>10</v>
      </c>
      <c r="M8" s="7"/>
      <c r="N8" s="8">
        <v>3745</v>
      </c>
      <c r="O8" s="9"/>
      <c r="P8" s="10"/>
      <c r="Q8" s="11"/>
      <c r="R8" s="12">
        <v>970</v>
      </c>
      <c r="S8" s="12">
        <f>N8*R8</f>
        <v>3632650</v>
      </c>
      <c r="T8" s="13"/>
      <c r="U8" s="14"/>
      <c r="V8" s="15"/>
      <c r="W8" s="16"/>
      <c r="X8" s="12"/>
      <c r="Y8" s="17"/>
      <c r="Z8" s="18">
        <f t="shared" si="0"/>
        <v>-3632650</v>
      </c>
      <c r="AA8" s="17"/>
      <c r="AB8" s="17"/>
      <c r="AC8" s="17"/>
      <c r="AD8" s="17"/>
      <c r="AE8" s="17"/>
    </row>
    <row r="9" spans="1:31" ht="16" customHeight="1" x14ac:dyDescent="0.45">
      <c r="A9" s="139" t="s">
        <v>272</v>
      </c>
      <c r="B9" s="2">
        <v>45680</v>
      </c>
      <c r="D9" s="4" t="s">
        <v>3</v>
      </c>
      <c r="E9" s="5" t="s">
        <v>10</v>
      </c>
      <c r="G9" s="5" t="s">
        <v>17</v>
      </c>
      <c r="H9" s="19" t="s">
        <v>2</v>
      </c>
      <c r="I9" s="19" t="s">
        <v>207</v>
      </c>
      <c r="K9" s="73"/>
      <c r="L9" s="6">
        <v>9</v>
      </c>
      <c r="M9" s="7">
        <v>76.400000000000006</v>
      </c>
      <c r="N9" s="8">
        <v>1113</v>
      </c>
      <c r="R9" s="12">
        <v>500</v>
      </c>
      <c r="S9" s="12">
        <f>N9*R9</f>
        <v>556500</v>
      </c>
      <c r="Z9" s="18">
        <f t="shared" si="0"/>
        <v>-556500</v>
      </c>
    </row>
    <row r="10" spans="1:31" ht="16" customHeight="1" x14ac:dyDescent="0.45">
      <c r="A10" s="139" t="s">
        <v>272</v>
      </c>
      <c r="B10" s="2">
        <v>45670</v>
      </c>
      <c r="D10" s="4" t="s">
        <v>3</v>
      </c>
      <c r="E10" s="5" t="s">
        <v>211</v>
      </c>
      <c r="G10" s="5" t="s">
        <v>1</v>
      </c>
      <c r="H10" s="19" t="s">
        <v>2</v>
      </c>
      <c r="I10" s="19" t="s">
        <v>274</v>
      </c>
      <c r="L10" s="6">
        <v>1</v>
      </c>
      <c r="M10" s="7">
        <v>11.6</v>
      </c>
      <c r="N10" s="8">
        <v>176</v>
      </c>
      <c r="R10" s="12">
        <v>500</v>
      </c>
      <c r="S10" s="12">
        <v>110000</v>
      </c>
      <c r="Z10" s="18">
        <f t="shared" si="0"/>
        <v>-110000</v>
      </c>
    </row>
    <row r="11" spans="1:31" ht="16" customHeight="1" x14ac:dyDescent="0.45">
      <c r="A11" s="139" t="s">
        <v>272</v>
      </c>
      <c r="B11" s="2">
        <v>45670</v>
      </c>
      <c r="D11" s="4" t="s">
        <v>3</v>
      </c>
      <c r="E11" s="5" t="s">
        <v>211</v>
      </c>
      <c r="G11" s="5" t="s">
        <v>1</v>
      </c>
      <c r="H11" s="19" t="s">
        <v>2</v>
      </c>
      <c r="I11" s="19" t="s">
        <v>275</v>
      </c>
      <c r="L11" s="6">
        <v>1</v>
      </c>
      <c r="M11" s="7">
        <v>8.6</v>
      </c>
      <c r="N11" s="8">
        <v>130</v>
      </c>
      <c r="R11" s="12">
        <v>500</v>
      </c>
      <c r="S11" s="12">
        <v>110000</v>
      </c>
      <c r="Z11" s="18">
        <f t="shared" si="0"/>
        <v>-110000</v>
      </c>
    </row>
    <row r="12" spans="1:31" ht="16" customHeight="1" x14ac:dyDescent="0.45">
      <c r="A12" s="139" t="s">
        <v>272</v>
      </c>
      <c r="B12" s="2">
        <v>45670</v>
      </c>
      <c r="D12" s="4" t="s">
        <v>3</v>
      </c>
      <c r="E12" s="5" t="s">
        <v>211</v>
      </c>
      <c r="G12" s="5" t="s">
        <v>1</v>
      </c>
      <c r="H12" s="19" t="s">
        <v>2</v>
      </c>
      <c r="I12" s="19" t="s">
        <v>276</v>
      </c>
      <c r="L12" s="6">
        <v>1</v>
      </c>
      <c r="M12" s="7">
        <v>8.9</v>
      </c>
      <c r="N12" s="8">
        <v>135</v>
      </c>
      <c r="R12" s="12">
        <v>500</v>
      </c>
      <c r="S12" s="12">
        <v>110000</v>
      </c>
      <c r="Z12" s="18">
        <f t="shared" si="0"/>
        <v>-110000</v>
      </c>
    </row>
    <row r="13" spans="1:31" ht="16" customHeight="1" x14ac:dyDescent="0.45">
      <c r="A13" s="139" t="s">
        <v>272</v>
      </c>
      <c r="B13" s="2">
        <v>45670</v>
      </c>
      <c r="D13" s="4" t="s">
        <v>3</v>
      </c>
      <c r="E13" s="5" t="s">
        <v>211</v>
      </c>
      <c r="G13" s="5" t="s">
        <v>1</v>
      </c>
      <c r="H13" s="19" t="s">
        <v>2</v>
      </c>
      <c r="I13" s="19" t="s">
        <v>277</v>
      </c>
      <c r="L13" s="6">
        <v>1</v>
      </c>
      <c r="M13" s="7">
        <v>8.6</v>
      </c>
      <c r="N13" s="8">
        <v>127</v>
      </c>
      <c r="R13" s="12">
        <v>500</v>
      </c>
      <c r="S13" s="12">
        <v>110000</v>
      </c>
      <c r="Z13" s="18">
        <f t="shared" si="0"/>
        <v>-110000</v>
      </c>
    </row>
    <row r="14" spans="1:31" ht="16" customHeight="1" x14ac:dyDescent="0.45">
      <c r="A14" s="139" t="s">
        <v>272</v>
      </c>
      <c r="B14" s="2">
        <v>45673</v>
      </c>
      <c r="D14" s="4" t="s">
        <v>3</v>
      </c>
      <c r="E14" s="5" t="s">
        <v>211</v>
      </c>
      <c r="G14" s="5" t="s">
        <v>1</v>
      </c>
      <c r="H14" s="19" t="s">
        <v>2</v>
      </c>
      <c r="I14" s="19" t="s">
        <v>278</v>
      </c>
      <c r="J14" s="19" t="s">
        <v>186</v>
      </c>
      <c r="K14" s="20">
        <v>1</v>
      </c>
      <c r="L14" s="6">
        <v>7</v>
      </c>
      <c r="M14" s="7">
        <v>97.3</v>
      </c>
      <c r="N14" s="8">
        <v>1401</v>
      </c>
      <c r="R14" s="12">
        <v>500</v>
      </c>
      <c r="S14" s="12">
        <f>N14*R14</f>
        <v>700500</v>
      </c>
      <c r="Z14" s="18">
        <f t="shared" si="0"/>
        <v>-700500</v>
      </c>
    </row>
    <row r="15" spans="1:31" ht="16" customHeight="1" x14ac:dyDescent="0.45">
      <c r="A15" s="139" t="s">
        <v>272</v>
      </c>
      <c r="B15" s="2">
        <v>45673</v>
      </c>
      <c r="D15" s="4" t="s">
        <v>3</v>
      </c>
      <c r="E15" s="5" t="s">
        <v>211</v>
      </c>
      <c r="G15" s="5" t="s">
        <v>1</v>
      </c>
      <c r="H15" s="19" t="s">
        <v>2</v>
      </c>
      <c r="I15" s="19" t="s">
        <v>278</v>
      </c>
      <c r="J15" s="19" t="s">
        <v>175</v>
      </c>
      <c r="K15" s="20">
        <v>2</v>
      </c>
      <c r="L15" s="6">
        <v>7</v>
      </c>
      <c r="M15" s="7">
        <v>96.8</v>
      </c>
      <c r="N15" s="8">
        <v>1385</v>
      </c>
      <c r="R15" s="12">
        <v>500</v>
      </c>
      <c r="S15" s="12">
        <f>N15*R15</f>
        <v>692500</v>
      </c>
      <c r="Z15" s="18">
        <f t="shared" si="0"/>
        <v>-692500</v>
      </c>
    </row>
    <row r="16" spans="1:31" s="21" customFormat="1" ht="16" customHeight="1" x14ac:dyDescent="0.45">
      <c r="A16" s="139" t="s">
        <v>272</v>
      </c>
      <c r="B16" s="2">
        <v>45673</v>
      </c>
      <c r="C16" s="3"/>
      <c r="D16" s="4" t="s">
        <v>3</v>
      </c>
      <c r="E16" s="5" t="s">
        <v>211</v>
      </c>
      <c r="F16" s="5"/>
      <c r="G16" s="5" t="s">
        <v>1</v>
      </c>
      <c r="H16" s="19" t="s">
        <v>2</v>
      </c>
      <c r="I16" s="19" t="s">
        <v>279</v>
      </c>
      <c r="J16" s="19" t="s">
        <v>170</v>
      </c>
      <c r="K16" s="73">
        <v>24</v>
      </c>
      <c r="L16" s="6">
        <v>8</v>
      </c>
      <c r="M16" s="7">
        <v>75.8</v>
      </c>
      <c r="N16" s="8">
        <v>1083</v>
      </c>
      <c r="O16" s="9"/>
      <c r="P16" s="10"/>
      <c r="Q16" s="11"/>
      <c r="R16" s="12">
        <v>550</v>
      </c>
      <c r="S16" s="12">
        <f>N16*R16</f>
        <v>595650</v>
      </c>
      <c r="T16" s="13"/>
      <c r="U16" s="14"/>
      <c r="V16" s="15"/>
      <c r="W16" s="16"/>
      <c r="X16" s="12"/>
      <c r="Y16" s="17"/>
      <c r="Z16" s="18">
        <f t="shared" si="0"/>
        <v>-595650</v>
      </c>
      <c r="AA16" s="17"/>
      <c r="AB16" s="17"/>
      <c r="AC16" s="17"/>
      <c r="AD16" s="17"/>
      <c r="AE16" s="17"/>
    </row>
    <row r="17" spans="1:31" s="21" customFormat="1" ht="16" customHeight="1" x14ac:dyDescent="0.45">
      <c r="A17" s="139" t="s">
        <v>272</v>
      </c>
      <c r="B17" s="2">
        <v>45674</v>
      </c>
      <c r="C17" s="3"/>
      <c r="D17" s="4" t="s">
        <v>52</v>
      </c>
      <c r="E17" s="5" t="s">
        <v>211</v>
      </c>
      <c r="F17" s="5"/>
      <c r="G17" s="5" t="s">
        <v>1</v>
      </c>
      <c r="H17" s="19" t="s">
        <v>2</v>
      </c>
      <c r="I17" s="19" t="s">
        <v>279</v>
      </c>
      <c r="J17" s="19" t="s">
        <v>280</v>
      </c>
      <c r="K17" s="20">
        <v>23</v>
      </c>
      <c r="L17" s="6">
        <v>10</v>
      </c>
      <c r="M17" s="7">
        <v>97.2</v>
      </c>
      <c r="N17" s="8">
        <v>1241</v>
      </c>
      <c r="O17" s="9">
        <v>1299</v>
      </c>
      <c r="P17" s="10"/>
      <c r="Q17" s="11"/>
      <c r="R17" s="12">
        <v>130</v>
      </c>
      <c r="S17" s="12">
        <f>N17*R17</f>
        <v>161330</v>
      </c>
      <c r="T17" s="13"/>
      <c r="U17" s="14"/>
      <c r="V17" s="15"/>
      <c r="W17" s="16"/>
      <c r="X17" s="12"/>
      <c r="Y17" s="17"/>
      <c r="Z17" s="18">
        <f t="shared" si="0"/>
        <v>-161330</v>
      </c>
      <c r="AA17" s="17"/>
      <c r="AB17" s="17"/>
      <c r="AC17" s="17"/>
      <c r="AD17" s="17"/>
      <c r="AE17" s="17"/>
    </row>
    <row r="18" spans="1:31" s="21" customFormat="1" ht="16" customHeight="1" x14ac:dyDescent="0.45">
      <c r="A18" s="139" t="s">
        <v>272</v>
      </c>
      <c r="B18" s="2">
        <v>45677</v>
      </c>
      <c r="C18" s="3"/>
      <c r="D18" s="4" t="s">
        <v>3</v>
      </c>
      <c r="E18" s="5" t="s">
        <v>211</v>
      </c>
      <c r="F18" s="5"/>
      <c r="G18" s="5" t="s">
        <v>1</v>
      </c>
      <c r="H18" s="19" t="s">
        <v>2</v>
      </c>
      <c r="I18" s="19" t="s">
        <v>56</v>
      </c>
      <c r="J18" s="140" t="s">
        <v>139</v>
      </c>
      <c r="K18" s="73" t="s">
        <v>239</v>
      </c>
      <c r="L18" s="6">
        <v>15</v>
      </c>
      <c r="M18" s="7">
        <v>193.8</v>
      </c>
      <c r="N18" s="8">
        <v>3015</v>
      </c>
      <c r="O18" s="9"/>
      <c r="P18" s="10"/>
      <c r="Q18" s="11"/>
      <c r="R18" s="12">
        <v>500</v>
      </c>
      <c r="S18" s="12">
        <f>N18*R18</f>
        <v>1507500</v>
      </c>
      <c r="T18" s="13"/>
      <c r="U18" s="14"/>
      <c r="V18" s="15"/>
      <c r="W18" s="16"/>
      <c r="X18" s="12"/>
      <c r="Y18" s="17"/>
      <c r="Z18" s="18">
        <f t="shared" si="0"/>
        <v>-1507500</v>
      </c>
      <c r="AA18" s="17"/>
      <c r="AB18" s="17"/>
      <c r="AC18" s="17"/>
      <c r="AD18" s="17"/>
      <c r="AE18" s="17"/>
    </row>
    <row r="19" spans="1:31" s="21" customFormat="1" ht="16" customHeight="1" x14ac:dyDescent="0.45">
      <c r="A19" s="139" t="s">
        <v>272</v>
      </c>
      <c r="B19" s="23">
        <v>45660</v>
      </c>
      <c r="C19" s="24"/>
      <c r="D19" s="25" t="s">
        <v>211</v>
      </c>
      <c r="E19" s="26" t="s">
        <v>1</v>
      </c>
      <c r="F19" s="26"/>
      <c r="G19" s="26" t="s">
        <v>1</v>
      </c>
      <c r="H19" s="27" t="s">
        <v>11</v>
      </c>
      <c r="I19" s="27" t="s">
        <v>14</v>
      </c>
      <c r="J19" s="27"/>
      <c r="K19" s="38" t="s">
        <v>281</v>
      </c>
      <c r="L19" s="29">
        <v>8</v>
      </c>
      <c r="M19" s="30"/>
      <c r="N19" s="31"/>
      <c r="O19" s="32">
        <v>2693</v>
      </c>
      <c r="P19" s="91"/>
      <c r="Q19" s="92"/>
      <c r="R19" s="93">
        <v>2350</v>
      </c>
      <c r="S19" s="93">
        <f>O19*R19</f>
        <v>6328550</v>
      </c>
      <c r="T19" s="33"/>
      <c r="U19" s="34"/>
      <c r="V19" s="35">
        <v>4700</v>
      </c>
      <c r="W19" s="36">
        <f t="shared" ref="W19:W30" si="1">O19*V19</f>
        <v>12657100</v>
      </c>
      <c r="X19" s="93"/>
      <c r="Z19" s="18">
        <f t="shared" si="0"/>
        <v>6328550</v>
      </c>
      <c r="AA19" s="17"/>
      <c r="AB19" s="17"/>
      <c r="AC19" s="17"/>
      <c r="AD19" s="17"/>
      <c r="AE19" s="17"/>
    </row>
    <row r="20" spans="1:31" s="21" customFormat="1" ht="16" customHeight="1" x14ac:dyDescent="0.45">
      <c r="A20" s="139" t="s">
        <v>272</v>
      </c>
      <c r="B20" s="23">
        <v>45664</v>
      </c>
      <c r="C20" s="24"/>
      <c r="D20" s="25" t="s">
        <v>282</v>
      </c>
      <c r="E20" s="26" t="s">
        <v>1</v>
      </c>
      <c r="F20" s="26"/>
      <c r="G20" s="26" t="s">
        <v>1</v>
      </c>
      <c r="H20" s="27" t="s">
        <v>283</v>
      </c>
      <c r="I20" s="27" t="s">
        <v>284</v>
      </c>
      <c r="J20" s="27"/>
      <c r="K20" s="28"/>
      <c r="L20" s="29">
        <v>1</v>
      </c>
      <c r="M20" s="30"/>
      <c r="N20" s="31">
        <v>54</v>
      </c>
      <c r="O20" s="32">
        <v>48</v>
      </c>
      <c r="P20" s="91"/>
      <c r="Q20" s="92"/>
      <c r="R20" s="93"/>
      <c r="S20" s="93"/>
      <c r="T20" s="33"/>
      <c r="U20" s="34"/>
      <c r="V20" s="35">
        <v>5200</v>
      </c>
      <c r="W20" s="36">
        <f t="shared" si="1"/>
        <v>249600</v>
      </c>
      <c r="X20" s="93"/>
      <c r="Z20" s="18">
        <f t="shared" si="0"/>
        <v>249600</v>
      </c>
      <c r="AA20" s="17"/>
      <c r="AB20" s="17"/>
      <c r="AC20" s="17"/>
      <c r="AD20" s="17"/>
      <c r="AE20" s="17"/>
    </row>
    <row r="21" spans="1:31" s="21" customFormat="1" ht="16" customHeight="1" x14ac:dyDescent="0.45">
      <c r="A21" s="139" t="s">
        <v>272</v>
      </c>
      <c r="B21" s="23">
        <v>45664</v>
      </c>
      <c r="C21" s="24"/>
      <c r="D21" s="25" t="s">
        <v>37</v>
      </c>
      <c r="E21" s="26" t="s">
        <v>1</v>
      </c>
      <c r="F21" s="26"/>
      <c r="G21" s="26" t="s">
        <v>1</v>
      </c>
      <c r="H21" s="27" t="s">
        <v>285</v>
      </c>
      <c r="I21" s="27" t="s">
        <v>284</v>
      </c>
      <c r="J21" s="27"/>
      <c r="K21" s="28"/>
      <c r="L21" s="29">
        <v>1</v>
      </c>
      <c r="M21" s="30"/>
      <c r="N21" s="31">
        <v>50</v>
      </c>
      <c r="O21" s="32">
        <v>49</v>
      </c>
      <c r="P21" s="91"/>
      <c r="Q21" s="92"/>
      <c r="R21" s="93"/>
      <c r="S21" s="93"/>
      <c r="T21" s="33"/>
      <c r="U21" s="34"/>
      <c r="V21" s="35">
        <v>2950</v>
      </c>
      <c r="W21" s="36">
        <f t="shared" si="1"/>
        <v>144550</v>
      </c>
      <c r="X21" s="93"/>
      <c r="Z21" s="18">
        <f t="shared" si="0"/>
        <v>144550</v>
      </c>
      <c r="AA21" s="17"/>
      <c r="AB21" s="17"/>
      <c r="AC21" s="17"/>
      <c r="AD21" s="17"/>
      <c r="AE21" s="17"/>
    </row>
    <row r="22" spans="1:31" s="21" customFormat="1" ht="16" customHeight="1" x14ac:dyDescent="0.45">
      <c r="A22" s="139" t="s">
        <v>272</v>
      </c>
      <c r="B22" s="23">
        <v>45677</v>
      </c>
      <c r="C22" s="24"/>
      <c r="D22" s="25" t="s">
        <v>3</v>
      </c>
      <c r="E22" s="26" t="s">
        <v>1</v>
      </c>
      <c r="F22" s="26"/>
      <c r="G22" s="26" t="s">
        <v>1</v>
      </c>
      <c r="H22" s="27" t="s">
        <v>244</v>
      </c>
      <c r="I22" s="27" t="s">
        <v>119</v>
      </c>
      <c r="J22" s="27"/>
      <c r="K22" s="28"/>
      <c r="L22" s="29"/>
      <c r="M22" s="30"/>
      <c r="N22" s="31">
        <v>95</v>
      </c>
      <c r="O22" s="32">
        <v>86</v>
      </c>
      <c r="P22" s="91"/>
      <c r="Q22" s="92"/>
      <c r="R22" s="93">
        <v>800</v>
      </c>
      <c r="S22" s="93">
        <v>110000</v>
      </c>
      <c r="T22" s="33"/>
      <c r="U22" s="34"/>
      <c r="V22" s="35">
        <v>4750</v>
      </c>
      <c r="W22" s="36">
        <f t="shared" si="1"/>
        <v>408500</v>
      </c>
      <c r="X22" s="93"/>
      <c r="Z22" s="18">
        <f t="shared" si="0"/>
        <v>298500</v>
      </c>
      <c r="AA22" s="17"/>
      <c r="AB22" s="17"/>
      <c r="AC22" s="17"/>
      <c r="AD22" s="17"/>
      <c r="AE22" s="17"/>
    </row>
    <row r="23" spans="1:31" s="21" customFormat="1" ht="16" customHeight="1" x14ac:dyDescent="0.45">
      <c r="A23" s="139" t="s">
        <v>272</v>
      </c>
      <c r="B23" s="23">
        <v>45677</v>
      </c>
      <c r="C23" s="24"/>
      <c r="D23" s="25" t="s">
        <v>3</v>
      </c>
      <c r="E23" s="26" t="s">
        <v>1</v>
      </c>
      <c r="F23" s="26"/>
      <c r="G23" s="26" t="s">
        <v>1</v>
      </c>
      <c r="H23" s="27" t="s">
        <v>244</v>
      </c>
      <c r="I23" s="27" t="s">
        <v>246</v>
      </c>
      <c r="J23" s="27"/>
      <c r="K23" s="28"/>
      <c r="L23" s="29"/>
      <c r="M23" s="30"/>
      <c r="N23" s="31">
        <v>87</v>
      </c>
      <c r="O23" s="32">
        <v>79</v>
      </c>
      <c r="P23" s="91"/>
      <c r="Q23" s="92"/>
      <c r="R23" s="93">
        <v>800</v>
      </c>
      <c r="S23" s="93">
        <v>110000</v>
      </c>
      <c r="T23" s="33"/>
      <c r="U23" s="34"/>
      <c r="V23" s="35">
        <v>4750</v>
      </c>
      <c r="W23" s="36">
        <f t="shared" si="1"/>
        <v>375250</v>
      </c>
      <c r="X23" s="93"/>
      <c r="Z23" s="18">
        <f t="shared" si="0"/>
        <v>265250</v>
      </c>
      <c r="AA23" s="17"/>
      <c r="AB23" s="17"/>
      <c r="AC23" s="17"/>
      <c r="AD23" s="17"/>
      <c r="AE23" s="17"/>
    </row>
    <row r="24" spans="1:31" s="21" customFormat="1" ht="16" customHeight="1" x14ac:dyDescent="0.45">
      <c r="A24" s="139" t="s">
        <v>272</v>
      </c>
      <c r="B24" s="23">
        <v>45677</v>
      </c>
      <c r="C24" s="24"/>
      <c r="D24" s="25" t="s">
        <v>3</v>
      </c>
      <c r="E24" s="26" t="s">
        <v>1</v>
      </c>
      <c r="F24" s="26"/>
      <c r="G24" s="26" t="s">
        <v>1</v>
      </c>
      <c r="H24" s="27" t="s">
        <v>244</v>
      </c>
      <c r="I24" s="27" t="s">
        <v>286</v>
      </c>
      <c r="J24" s="27"/>
      <c r="K24" s="28"/>
      <c r="L24" s="29"/>
      <c r="M24" s="30"/>
      <c r="N24" s="31">
        <v>88</v>
      </c>
      <c r="O24" s="32">
        <v>80</v>
      </c>
      <c r="P24" s="91"/>
      <c r="Q24" s="92"/>
      <c r="R24" s="93">
        <v>800</v>
      </c>
      <c r="S24" s="93">
        <v>110000</v>
      </c>
      <c r="T24" s="33"/>
      <c r="U24" s="34"/>
      <c r="V24" s="35">
        <v>4750</v>
      </c>
      <c r="W24" s="36">
        <f t="shared" si="1"/>
        <v>380000</v>
      </c>
      <c r="X24" s="93"/>
      <c r="Z24" s="18">
        <f t="shared" si="0"/>
        <v>270000</v>
      </c>
      <c r="AA24" s="17"/>
      <c r="AB24" s="17"/>
      <c r="AC24" s="17"/>
      <c r="AD24" s="17"/>
      <c r="AE24" s="17"/>
    </row>
    <row r="25" spans="1:31" s="21" customFormat="1" ht="16" customHeight="1" x14ac:dyDescent="0.45">
      <c r="A25" s="139" t="s">
        <v>272</v>
      </c>
      <c r="B25" s="23">
        <v>45679</v>
      </c>
      <c r="C25" s="24"/>
      <c r="D25" s="25" t="s">
        <v>211</v>
      </c>
      <c r="E25" s="26" t="s">
        <v>1</v>
      </c>
      <c r="F25" s="26"/>
      <c r="G25" s="26" t="s">
        <v>1</v>
      </c>
      <c r="H25" s="27" t="s">
        <v>11</v>
      </c>
      <c r="I25" s="27" t="s">
        <v>274</v>
      </c>
      <c r="J25" s="27"/>
      <c r="K25" s="38"/>
      <c r="L25" s="29">
        <v>1</v>
      </c>
      <c r="M25" s="30"/>
      <c r="N25" s="31"/>
      <c r="O25" s="32">
        <v>98</v>
      </c>
      <c r="P25" s="91"/>
      <c r="Q25" s="92"/>
      <c r="R25" s="93">
        <v>2350</v>
      </c>
      <c r="S25" s="93">
        <f t="shared" ref="S25:S30" si="2">O25*R25</f>
        <v>230300</v>
      </c>
      <c r="T25" s="33"/>
      <c r="U25" s="34"/>
      <c r="V25" s="35">
        <v>4700</v>
      </c>
      <c r="W25" s="36">
        <f t="shared" si="1"/>
        <v>460600</v>
      </c>
      <c r="X25" s="93"/>
      <c r="Z25" s="18">
        <f t="shared" si="0"/>
        <v>230300</v>
      </c>
      <c r="AA25" s="17"/>
      <c r="AB25" s="17"/>
      <c r="AC25" s="17"/>
      <c r="AD25" s="17"/>
      <c r="AE25" s="17"/>
    </row>
    <row r="26" spans="1:31" ht="16" customHeight="1" x14ac:dyDescent="0.45">
      <c r="A26" s="139" t="s">
        <v>272</v>
      </c>
      <c r="B26" s="23">
        <v>45679</v>
      </c>
      <c r="C26" s="24"/>
      <c r="D26" s="25" t="s">
        <v>211</v>
      </c>
      <c r="E26" s="26" t="s">
        <v>1</v>
      </c>
      <c r="F26" s="26"/>
      <c r="G26" s="26" t="s">
        <v>1</v>
      </c>
      <c r="H26" s="27" t="s">
        <v>11</v>
      </c>
      <c r="I26" s="27" t="s">
        <v>287</v>
      </c>
      <c r="J26" s="27"/>
      <c r="K26" s="38"/>
      <c r="L26" s="29">
        <v>1</v>
      </c>
      <c r="M26" s="30"/>
      <c r="N26" s="31"/>
      <c r="O26" s="32">
        <v>99</v>
      </c>
      <c r="P26" s="91"/>
      <c r="Q26" s="92"/>
      <c r="R26" s="93">
        <v>2350</v>
      </c>
      <c r="S26" s="93">
        <f t="shared" si="2"/>
        <v>232650</v>
      </c>
      <c r="T26" s="33"/>
      <c r="U26" s="34"/>
      <c r="V26" s="35">
        <v>4700</v>
      </c>
      <c r="W26" s="36">
        <f t="shared" si="1"/>
        <v>465300</v>
      </c>
      <c r="X26" s="93"/>
      <c r="Y26" s="21"/>
      <c r="Z26" s="18">
        <f t="shared" si="0"/>
        <v>232650</v>
      </c>
    </row>
    <row r="27" spans="1:31" ht="16" customHeight="1" x14ac:dyDescent="0.45">
      <c r="A27" s="139" t="s">
        <v>272</v>
      </c>
      <c r="B27" s="23">
        <v>45679</v>
      </c>
      <c r="C27" s="24"/>
      <c r="D27" s="25" t="s">
        <v>211</v>
      </c>
      <c r="E27" s="26" t="s">
        <v>1</v>
      </c>
      <c r="F27" s="26"/>
      <c r="G27" s="26" t="s">
        <v>1</v>
      </c>
      <c r="H27" s="27" t="s">
        <v>11</v>
      </c>
      <c r="I27" s="27" t="s">
        <v>275</v>
      </c>
      <c r="J27" s="27"/>
      <c r="K27" s="38"/>
      <c r="L27" s="29">
        <v>1</v>
      </c>
      <c r="M27" s="30"/>
      <c r="N27" s="31"/>
      <c r="O27" s="32">
        <v>104</v>
      </c>
      <c r="P27" s="91"/>
      <c r="Q27" s="92"/>
      <c r="R27" s="93">
        <v>2350</v>
      </c>
      <c r="S27" s="93">
        <f t="shared" si="2"/>
        <v>244400</v>
      </c>
      <c r="T27" s="33"/>
      <c r="U27" s="34"/>
      <c r="V27" s="35">
        <v>4700</v>
      </c>
      <c r="W27" s="36">
        <f t="shared" si="1"/>
        <v>488800</v>
      </c>
      <c r="X27" s="93"/>
      <c r="Y27" s="21"/>
      <c r="Z27" s="18">
        <f t="shared" si="0"/>
        <v>244400</v>
      </c>
    </row>
    <row r="28" spans="1:31" ht="16" customHeight="1" x14ac:dyDescent="0.45">
      <c r="A28" s="139" t="s">
        <v>272</v>
      </c>
      <c r="B28" s="23">
        <v>45679</v>
      </c>
      <c r="C28" s="24"/>
      <c r="D28" s="25" t="s">
        <v>211</v>
      </c>
      <c r="E28" s="26" t="s">
        <v>1</v>
      </c>
      <c r="F28" s="26"/>
      <c r="G28" s="26" t="s">
        <v>1</v>
      </c>
      <c r="H28" s="27" t="s">
        <v>11</v>
      </c>
      <c r="I28" s="27" t="s">
        <v>277</v>
      </c>
      <c r="J28" s="27"/>
      <c r="K28" s="38"/>
      <c r="L28" s="29">
        <v>1</v>
      </c>
      <c r="M28" s="30"/>
      <c r="N28" s="31"/>
      <c r="O28" s="32">
        <v>100</v>
      </c>
      <c r="P28" s="91"/>
      <c r="Q28" s="92"/>
      <c r="R28" s="93">
        <v>2350</v>
      </c>
      <c r="S28" s="93">
        <f t="shared" si="2"/>
        <v>235000</v>
      </c>
      <c r="T28" s="33"/>
      <c r="U28" s="34"/>
      <c r="V28" s="35">
        <v>4700</v>
      </c>
      <c r="W28" s="36">
        <f t="shared" si="1"/>
        <v>470000</v>
      </c>
      <c r="X28" s="93"/>
      <c r="Y28" s="21"/>
      <c r="Z28" s="18">
        <f t="shared" si="0"/>
        <v>235000</v>
      </c>
    </row>
    <row r="29" spans="1:31" s="21" customFormat="1" ht="16" customHeight="1" x14ac:dyDescent="0.45">
      <c r="A29" s="139" t="s">
        <v>272</v>
      </c>
      <c r="B29" s="23">
        <v>45679</v>
      </c>
      <c r="C29" s="24"/>
      <c r="D29" s="25" t="s">
        <v>240</v>
      </c>
      <c r="E29" s="26" t="s">
        <v>59</v>
      </c>
      <c r="F29" s="26" t="s">
        <v>288</v>
      </c>
      <c r="G29" s="26" t="s">
        <v>59</v>
      </c>
      <c r="H29" s="27" t="s">
        <v>134</v>
      </c>
      <c r="I29" s="27" t="s">
        <v>241</v>
      </c>
      <c r="J29" s="27"/>
      <c r="K29" s="28" t="s">
        <v>289</v>
      </c>
      <c r="L29" s="29">
        <v>4</v>
      </c>
      <c r="M29" s="30"/>
      <c r="N29" s="31"/>
      <c r="O29" s="32">
        <v>1362</v>
      </c>
      <c r="P29" s="91"/>
      <c r="Q29" s="92"/>
      <c r="R29" s="93">
        <v>2350</v>
      </c>
      <c r="S29" s="93">
        <f t="shared" si="2"/>
        <v>3200700</v>
      </c>
      <c r="T29" s="33"/>
      <c r="U29" s="34"/>
      <c r="V29" s="35">
        <v>4700</v>
      </c>
      <c r="W29" s="36">
        <f t="shared" si="1"/>
        <v>6401400</v>
      </c>
      <c r="X29" s="93"/>
      <c r="Z29" s="18">
        <f t="shared" si="0"/>
        <v>3200700</v>
      </c>
      <c r="AA29" s="17"/>
      <c r="AB29" s="17"/>
      <c r="AC29" s="17"/>
      <c r="AD29" s="17"/>
      <c r="AE29" s="17"/>
    </row>
    <row r="30" spans="1:31" s="21" customFormat="1" ht="16" customHeight="1" x14ac:dyDescent="0.45">
      <c r="A30" s="139" t="s">
        <v>272</v>
      </c>
      <c r="B30" s="23">
        <v>45679</v>
      </c>
      <c r="C30" s="24"/>
      <c r="D30" s="25" t="s">
        <v>211</v>
      </c>
      <c r="E30" s="26" t="s">
        <v>1</v>
      </c>
      <c r="F30" s="26" t="s">
        <v>290</v>
      </c>
      <c r="G30" s="26" t="s">
        <v>1</v>
      </c>
      <c r="H30" s="97" t="s">
        <v>11</v>
      </c>
      <c r="I30" s="97" t="s">
        <v>190</v>
      </c>
      <c r="J30" s="27"/>
      <c r="K30" s="117" t="s">
        <v>291</v>
      </c>
      <c r="L30" s="29">
        <v>10</v>
      </c>
      <c r="M30" s="30"/>
      <c r="N30" s="31"/>
      <c r="O30" s="32">
        <v>2748</v>
      </c>
      <c r="P30" s="91"/>
      <c r="Q30" s="92"/>
      <c r="R30" s="93">
        <v>2350</v>
      </c>
      <c r="S30" s="93">
        <f t="shared" si="2"/>
        <v>6457800</v>
      </c>
      <c r="T30" s="33"/>
      <c r="U30" s="34"/>
      <c r="V30" s="35">
        <v>4700</v>
      </c>
      <c r="W30" s="36">
        <f t="shared" si="1"/>
        <v>12915600</v>
      </c>
      <c r="X30" s="93"/>
      <c r="Z30" s="18">
        <f t="shared" si="0"/>
        <v>6457800</v>
      </c>
      <c r="AA30" s="17"/>
      <c r="AB30" s="17"/>
      <c r="AC30" s="17"/>
      <c r="AD30" s="17"/>
      <c r="AE30" s="17"/>
    </row>
    <row r="31" spans="1:31" s="21" customFormat="1" ht="16" customHeight="1" x14ac:dyDescent="0.45">
      <c r="A31" s="139" t="s">
        <v>272</v>
      </c>
      <c r="B31" s="23">
        <v>45679</v>
      </c>
      <c r="C31" s="24"/>
      <c r="D31" s="25"/>
      <c r="E31" s="26" t="s">
        <v>1</v>
      </c>
      <c r="F31" s="26"/>
      <c r="G31" s="26" t="s">
        <v>1</v>
      </c>
      <c r="H31" s="27" t="s">
        <v>283</v>
      </c>
      <c r="I31" s="27" t="s">
        <v>292</v>
      </c>
      <c r="J31" s="27"/>
      <c r="K31" s="28"/>
      <c r="L31" s="29"/>
      <c r="M31" s="30"/>
      <c r="N31" s="31"/>
      <c r="O31" s="32">
        <v>1</v>
      </c>
      <c r="P31" s="91"/>
      <c r="Q31" s="92"/>
      <c r="R31" s="93"/>
      <c r="S31" s="93"/>
      <c r="T31" s="33"/>
      <c r="U31" s="34"/>
      <c r="V31" s="35"/>
      <c r="W31" s="36">
        <v>150000</v>
      </c>
      <c r="X31" s="93"/>
      <c r="Z31" s="18">
        <f t="shared" si="0"/>
        <v>150000</v>
      </c>
      <c r="AA31" s="17"/>
      <c r="AB31" s="17"/>
      <c r="AC31" s="17"/>
      <c r="AD31" s="17"/>
      <c r="AE31" s="17"/>
    </row>
    <row r="32" spans="1:31" ht="16" customHeight="1" x14ac:dyDescent="0.45">
      <c r="A32" s="139" t="s">
        <v>272</v>
      </c>
      <c r="B32" s="2">
        <v>45667</v>
      </c>
      <c r="D32" s="4" t="s">
        <v>181</v>
      </c>
      <c r="E32" s="5" t="s">
        <v>93</v>
      </c>
      <c r="G32" s="5" t="s">
        <v>28</v>
      </c>
      <c r="H32" s="19" t="s">
        <v>182</v>
      </c>
      <c r="K32" s="20" t="s">
        <v>200</v>
      </c>
      <c r="L32" s="6">
        <v>6</v>
      </c>
      <c r="M32" s="7">
        <v>2250</v>
      </c>
      <c r="P32" s="10">
        <v>2205</v>
      </c>
      <c r="Q32" s="11">
        <f>M32*P32</f>
        <v>4961250</v>
      </c>
      <c r="Z32" s="18">
        <f t="shared" si="0"/>
        <v>-4961250</v>
      </c>
    </row>
    <row r="33" spans="1:31" ht="16" customHeight="1" x14ac:dyDescent="0.45">
      <c r="A33" s="139" t="s">
        <v>272</v>
      </c>
      <c r="B33" s="2">
        <v>45667</v>
      </c>
      <c r="D33" s="4" t="s">
        <v>181</v>
      </c>
      <c r="E33" s="5" t="s">
        <v>93</v>
      </c>
      <c r="G33" s="5" t="s">
        <v>28</v>
      </c>
      <c r="H33" s="19" t="s">
        <v>182</v>
      </c>
      <c r="K33" s="20" t="s">
        <v>191</v>
      </c>
      <c r="L33" s="6">
        <v>2</v>
      </c>
      <c r="M33" s="7">
        <v>729.7</v>
      </c>
      <c r="P33" s="10">
        <v>1874</v>
      </c>
      <c r="Q33" s="11">
        <f>M33*P33</f>
        <v>1367457.8</v>
      </c>
      <c r="Z33" s="18">
        <f t="shared" si="0"/>
        <v>-1367457.8</v>
      </c>
    </row>
    <row r="34" spans="1:31" ht="16" customHeight="1" x14ac:dyDescent="0.45">
      <c r="A34" s="139" t="s">
        <v>272</v>
      </c>
      <c r="B34" s="2">
        <v>45666</v>
      </c>
      <c r="D34" s="4" t="s">
        <v>80</v>
      </c>
      <c r="E34" s="5" t="s">
        <v>30</v>
      </c>
      <c r="G34" s="5" t="s">
        <v>31</v>
      </c>
      <c r="H34" s="19" t="s">
        <v>143</v>
      </c>
      <c r="M34" s="7">
        <v>500</v>
      </c>
      <c r="P34" s="10">
        <v>2491</v>
      </c>
      <c r="Q34" s="11">
        <f>M34*P34</f>
        <v>1245500</v>
      </c>
      <c r="Z34" s="18">
        <f t="shared" si="0"/>
        <v>-1245500</v>
      </c>
    </row>
    <row r="35" spans="1:31" ht="16" customHeight="1" x14ac:dyDescent="0.45">
      <c r="A35" s="139" t="s">
        <v>272</v>
      </c>
      <c r="B35" s="2">
        <v>45666</v>
      </c>
      <c r="D35" s="4" t="s">
        <v>80</v>
      </c>
      <c r="E35" s="5" t="s">
        <v>30</v>
      </c>
      <c r="G35" s="5" t="s">
        <v>31</v>
      </c>
      <c r="H35" s="19" t="s">
        <v>100</v>
      </c>
      <c r="M35" s="7">
        <v>1548</v>
      </c>
      <c r="P35" s="10">
        <v>2668</v>
      </c>
      <c r="Q35" s="11">
        <f>M35*P35</f>
        <v>4130064</v>
      </c>
      <c r="Z35" s="18">
        <f t="shared" si="0"/>
        <v>-4130064</v>
      </c>
    </row>
    <row r="36" spans="1:31" ht="16" customHeight="1" x14ac:dyDescent="0.45">
      <c r="A36" s="139" t="s">
        <v>272</v>
      </c>
      <c r="B36" s="2">
        <v>45665</v>
      </c>
      <c r="D36" s="4" t="s">
        <v>93</v>
      </c>
      <c r="E36" s="5" t="s">
        <v>27</v>
      </c>
      <c r="G36" s="5" t="s">
        <v>28</v>
      </c>
      <c r="H36" s="19" t="s">
        <v>128</v>
      </c>
      <c r="M36" s="7">
        <v>664.8</v>
      </c>
      <c r="N36" s="8" t="s">
        <v>293</v>
      </c>
      <c r="R36" s="12">
        <v>1100</v>
      </c>
      <c r="S36" s="12">
        <f t="shared" ref="S36:S43" si="3">M36*R36</f>
        <v>731280</v>
      </c>
      <c r="Z36" s="18">
        <f t="shared" si="0"/>
        <v>-731280</v>
      </c>
    </row>
    <row r="37" spans="1:31" ht="16" customHeight="1" x14ac:dyDescent="0.45">
      <c r="A37" s="139" t="s">
        <v>272</v>
      </c>
      <c r="B37" s="2">
        <v>45665</v>
      </c>
      <c r="D37" s="4" t="s">
        <v>93</v>
      </c>
      <c r="E37" s="5" t="s">
        <v>27</v>
      </c>
      <c r="G37" s="5" t="s">
        <v>28</v>
      </c>
      <c r="H37" s="19" t="s">
        <v>101</v>
      </c>
      <c r="M37" s="7">
        <v>1645</v>
      </c>
      <c r="R37" s="12">
        <v>1100</v>
      </c>
      <c r="S37" s="12">
        <f t="shared" si="3"/>
        <v>1809500</v>
      </c>
      <c r="Z37" s="18">
        <f t="shared" si="0"/>
        <v>-1809500</v>
      </c>
    </row>
    <row r="38" spans="1:31" s="21" customFormat="1" ht="16" customHeight="1" x14ac:dyDescent="0.45">
      <c r="A38" s="139" t="s">
        <v>272</v>
      </c>
      <c r="B38" s="2">
        <v>45665</v>
      </c>
      <c r="C38" s="3"/>
      <c r="D38" s="4" t="s">
        <v>93</v>
      </c>
      <c r="E38" s="5" t="s">
        <v>27</v>
      </c>
      <c r="F38" s="5"/>
      <c r="G38" s="5" t="s">
        <v>28</v>
      </c>
      <c r="H38" s="19" t="s">
        <v>95</v>
      </c>
      <c r="I38" s="19"/>
      <c r="J38" s="19"/>
      <c r="K38" s="20"/>
      <c r="L38" s="6"/>
      <c r="M38" s="7">
        <v>40</v>
      </c>
      <c r="N38" s="8"/>
      <c r="O38" s="9"/>
      <c r="P38" s="10"/>
      <c r="Q38" s="11"/>
      <c r="R38" s="12">
        <v>1100</v>
      </c>
      <c r="S38" s="12">
        <f t="shared" si="3"/>
        <v>44000</v>
      </c>
      <c r="T38" s="13"/>
      <c r="U38" s="14"/>
      <c r="V38" s="15"/>
      <c r="W38" s="16"/>
      <c r="X38" s="12"/>
      <c r="Y38" s="17"/>
      <c r="Z38" s="18">
        <f t="shared" si="0"/>
        <v>-44000</v>
      </c>
      <c r="AA38" s="17"/>
      <c r="AB38" s="17"/>
      <c r="AC38" s="17"/>
      <c r="AD38" s="17"/>
      <c r="AE38" s="17"/>
    </row>
    <row r="39" spans="1:31" ht="16" customHeight="1" x14ac:dyDescent="0.45">
      <c r="A39" s="139" t="s">
        <v>272</v>
      </c>
      <c r="B39" s="2">
        <v>45672</v>
      </c>
      <c r="D39" s="4" t="s">
        <v>93</v>
      </c>
      <c r="E39" s="5" t="s">
        <v>27</v>
      </c>
      <c r="G39" s="5" t="s">
        <v>28</v>
      </c>
      <c r="H39" s="19" t="s">
        <v>101</v>
      </c>
      <c r="K39" s="73"/>
      <c r="L39" s="6">
        <v>6</v>
      </c>
      <c r="M39" s="7">
        <v>2467.5</v>
      </c>
      <c r="R39" s="12">
        <v>1100</v>
      </c>
      <c r="S39" s="12">
        <f t="shared" si="3"/>
        <v>2714250</v>
      </c>
      <c r="Z39" s="18">
        <f t="shared" si="0"/>
        <v>-2714250</v>
      </c>
    </row>
    <row r="40" spans="1:31" ht="16" customHeight="1" x14ac:dyDescent="0.45">
      <c r="A40" s="139" t="s">
        <v>272</v>
      </c>
      <c r="B40" s="2">
        <v>45674</v>
      </c>
      <c r="D40" s="4" t="s">
        <v>198</v>
      </c>
      <c r="E40" s="5" t="s">
        <v>27</v>
      </c>
      <c r="G40" s="5" t="s">
        <v>28</v>
      </c>
      <c r="H40" s="19" t="s">
        <v>294</v>
      </c>
      <c r="I40" s="19">
        <v>3206</v>
      </c>
      <c r="K40" s="73"/>
      <c r="M40" s="7">
        <v>54</v>
      </c>
      <c r="R40" s="12">
        <v>1200</v>
      </c>
      <c r="S40" s="12">
        <f t="shared" si="3"/>
        <v>64800</v>
      </c>
      <c r="Z40" s="18">
        <f t="shared" si="0"/>
        <v>-64800</v>
      </c>
    </row>
    <row r="41" spans="1:31" ht="16" customHeight="1" x14ac:dyDescent="0.45">
      <c r="A41" s="139" t="s">
        <v>272</v>
      </c>
      <c r="B41" s="2">
        <v>45674</v>
      </c>
      <c r="D41" s="4" t="s">
        <v>198</v>
      </c>
      <c r="E41" s="5" t="s">
        <v>27</v>
      </c>
      <c r="G41" s="5" t="s">
        <v>28</v>
      </c>
      <c r="H41" s="19" t="s">
        <v>295</v>
      </c>
      <c r="K41" s="73"/>
      <c r="M41" s="7">
        <v>816.2</v>
      </c>
      <c r="R41" s="12">
        <v>1100</v>
      </c>
      <c r="S41" s="12">
        <f t="shared" si="3"/>
        <v>897820</v>
      </c>
      <c r="Z41" s="18">
        <f t="shared" si="0"/>
        <v>-897820</v>
      </c>
    </row>
    <row r="42" spans="1:31" ht="16" customHeight="1" x14ac:dyDescent="0.45">
      <c r="A42" s="139" t="s">
        <v>272</v>
      </c>
      <c r="B42" s="2">
        <v>45678</v>
      </c>
      <c r="D42" s="4" t="s">
        <v>198</v>
      </c>
      <c r="E42" s="5" t="s">
        <v>27</v>
      </c>
      <c r="G42" s="5" t="s">
        <v>28</v>
      </c>
      <c r="H42" s="19" t="s">
        <v>294</v>
      </c>
      <c r="M42" s="7">
        <v>83.68</v>
      </c>
      <c r="R42" s="12">
        <v>1200</v>
      </c>
      <c r="S42" s="12">
        <f t="shared" si="3"/>
        <v>100416.00000000001</v>
      </c>
      <c r="Z42" s="18">
        <f t="shared" si="0"/>
        <v>-100416.00000000001</v>
      </c>
    </row>
    <row r="43" spans="1:31" ht="16" customHeight="1" x14ac:dyDescent="0.45">
      <c r="A43" s="139" t="s">
        <v>272</v>
      </c>
      <c r="B43" s="2">
        <v>45680</v>
      </c>
      <c r="D43" s="4" t="s">
        <v>198</v>
      </c>
      <c r="E43" s="5" t="s">
        <v>27</v>
      </c>
      <c r="G43" s="5" t="s">
        <v>28</v>
      </c>
      <c r="H43" s="19" t="s">
        <v>294</v>
      </c>
      <c r="I43" s="19">
        <v>3206</v>
      </c>
      <c r="M43" s="7">
        <v>177.22</v>
      </c>
      <c r="R43" s="12">
        <v>1200</v>
      </c>
      <c r="S43" s="12">
        <f t="shared" si="3"/>
        <v>212664</v>
      </c>
      <c r="Z43" s="18">
        <f t="shared" si="0"/>
        <v>-212664</v>
      </c>
    </row>
    <row r="44" spans="1:31" ht="16" customHeight="1" x14ac:dyDescent="0.45">
      <c r="A44" s="139" t="s">
        <v>272</v>
      </c>
      <c r="B44" s="23">
        <v>45673</v>
      </c>
      <c r="C44" s="24"/>
      <c r="D44" s="25" t="s">
        <v>4</v>
      </c>
      <c r="E44" s="26" t="s">
        <v>5</v>
      </c>
      <c r="F44" s="26"/>
      <c r="G44" s="26" t="s">
        <v>5</v>
      </c>
      <c r="H44" s="27" t="s">
        <v>110</v>
      </c>
      <c r="I44" s="27" t="s">
        <v>23</v>
      </c>
      <c r="J44" s="27"/>
      <c r="K44" s="38"/>
      <c r="L44" s="29">
        <v>5</v>
      </c>
      <c r="M44" s="30"/>
      <c r="N44" s="31"/>
      <c r="O44" s="32">
        <v>279</v>
      </c>
      <c r="P44" s="91"/>
      <c r="Q44" s="92"/>
      <c r="R44" s="93">
        <v>130</v>
      </c>
      <c r="S44" s="93">
        <f>O44*R44</f>
        <v>36270</v>
      </c>
      <c r="T44" s="33"/>
      <c r="U44" s="34"/>
      <c r="V44" s="35">
        <v>6200</v>
      </c>
      <c r="W44" s="36">
        <f>O44*V44</f>
        <v>1729800</v>
      </c>
      <c r="X44" s="93"/>
      <c r="Y44" s="21"/>
      <c r="Z44" s="18">
        <f t="shared" si="0"/>
        <v>1693530</v>
      </c>
    </row>
    <row r="45" spans="1:31" ht="16" customHeight="1" x14ac:dyDescent="0.45">
      <c r="A45" s="139" t="s">
        <v>272</v>
      </c>
      <c r="B45" s="23">
        <v>45673</v>
      </c>
      <c r="C45" s="24"/>
      <c r="D45" s="25" t="s">
        <v>4</v>
      </c>
      <c r="E45" s="26" t="s">
        <v>5</v>
      </c>
      <c r="F45" s="26"/>
      <c r="G45" s="26" t="s">
        <v>5</v>
      </c>
      <c r="H45" s="27" t="s">
        <v>110</v>
      </c>
      <c r="I45" s="27" t="s">
        <v>24</v>
      </c>
      <c r="J45" s="27"/>
      <c r="K45" s="38"/>
      <c r="L45" s="29">
        <v>8</v>
      </c>
      <c r="M45" s="30"/>
      <c r="N45" s="31"/>
      <c r="O45" s="32">
        <v>539</v>
      </c>
      <c r="P45" s="91"/>
      <c r="Q45" s="92"/>
      <c r="R45" s="93">
        <v>130</v>
      </c>
      <c r="S45" s="93">
        <f>O45*R45</f>
        <v>70070</v>
      </c>
      <c r="T45" s="33"/>
      <c r="U45" s="34"/>
      <c r="V45" s="35">
        <v>6200</v>
      </c>
      <c r="W45" s="36">
        <f>O45*V45</f>
        <v>3341800</v>
      </c>
      <c r="X45" s="93"/>
      <c r="Y45" s="21"/>
      <c r="Z45" s="18">
        <f t="shared" si="0"/>
        <v>3271730</v>
      </c>
    </row>
    <row r="46" spans="1:31" s="21" customFormat="1" ht="16" customHeight="1" x14ac:dyDescent="0.45">
      <c r="A46" s="139" t="s">
        <v>272</v>
      </c>
      <c r="B46" s="23">
        <v>45674</v>
      </c>
      <c r="C46" s="24"/>
      <c r="D46" s="25" t="s">
        <v>37</v>
      </c>
      <c r="E46" s="26" t="s">
        <v>5</v>
      </c>
      <c r="F46" s="26"/>
      <c r="G46" s="26" t="s">
        <v>5</v>
      </c>
      <c r="H46" s="27" t="s">
        <v>129</v>
      </c>
      <c r="I46" s="27" t="s">
        <v>296</v>
      </c>
      <c r="J46" s="27"/>
      <c r="K46" s="38"/>
      <c r="L46" s="29">
        <v>5</v>
      </c>
      <c r="M46" s="30">
        <v>99.1</v>
      </c>
      <c r="N46" s="31"/>
      <c r="O46" s="32">
        <v>504</v>
      </c>
      <c r="P46" s="91"/>
      <c r="Q46" s="92"/>
      <c r="R46" s="93">
        <v>1850</v>
      </c>
      <c r="S46" s="93">
        <f>M46*R46</f>
        <v>183335</v>
      </c>
      <c r="T46" s="33"/>
      <c r="U46" s="34"/>
      <c r="V46" s="35">
        <v>1270</v>
      </c>
      <c r="W46" s="36">
        <f>O46*V46</f>
        <v>640080</v>
      </c>
      <c r="X46" s="93"/>
      <c r="Z46" s="18">
        <f t="shared" si="0"/>
        <v>456745</v>
      </c>
      <c r="AA46" s="17"/>
      <c r="AB46" s="17"/>
      <c r="AC46" s="17"/>
      <c r="AD46" s="17"/>
      <c r="AE46" s="17"/>
    </row>
    <row r="47" spans="1:31" s="21" customFormat="1" ht="16" customHeight="1" x14ac:dyDescent="0.45">
      <c r="A47" s="139" t="s">
        <v>272</v>
      </c>
      <c r="B47" s="23">
        <v>45674</v>
      </c>
      <c r="C47" s="24"/>
      <c r="D47" s="25" t="s">
        <v>37</v>
      </c>
      <c r="E47" s="26" t="s">
        <v>5</v>
      </c>
      <c r="F47" s="26"/>
      <c r="G47" s="26" t="s">
        <v>5</v>
      </c>
      <c r="H47" s="27" t="s">
        <v>129</v>
      </c>
      <c r="I47" s="27" t="s">
        <v>297</v>
      </c>
      <c r="J47" s="27"/>
      <c r="K47" s="38"/>
      <c r="L47" s="29">
        <v>2</v>
      </c>
      <c r="M47" s="30">
        <v>38.799999999999997</v>
      </c>
      <c r="N47" s="31"/>
      <c r="O47" s="32">
        <v>206</v>
      </c>
      <c r="P47" s="91"/>
      <c r="Q47" s="92"/>
      <c r="R47" s="93">
        <v>1850</v>
      </c>
      <c r="S47" s="93">
        <f>M47*R47</f>
        <v>71780</v>
      </c>
      <c r="T47" s="33"/>
      <c r="U47" s="34"/>
      <c r="V47" s="35">
        <v>1270</v>
      </c>
      <c r="W47" s="36">
        <f>O47*V47</f>
        <v>261620</v>
      </c>
      <c r="X47" s="93"/>
      <c r="Z47" s="18">
        <f t="shared" si="0"/>
        <v>189840</v>
      </c>
      <c r="AA47" s="17"/>
      <c r="AB47" s="17"/>
      <c r="AC47" s="17"/>
      <c r="AD47" s="17"/>
      <c r="AE47" s="17"/>
    </row>
    <row r="48" spans="1:31" s="21" customFormat="1" ht="16" customHeight="1" x14ac:dyDescent="0.45">
      <c r="A48" s="139" t="s">
        <v>272</v>
      </c>
      <c r="B48" s="23">
        <v>45665</v>
      </c>
      <c r="C48" s="24"/>
      <c r="D48" s="25" t="s">
        <v>66</v>
      </c>
      <c r="E48" s="26" t="s">
        <v>203</v>
      </c>
      <c r="F48" s="26"/>
      <c r="G48" s="26" t="s">
        <v>203</v>
      </c>
      <c r="H48" s="27" t="s">
        <v>298</v>
      </c>
      <c r="I48" s="27" t="s">
        <v>151</v>
      </c>
      <c r="J48" s="27"/>
      <c r="K48" s="28" t="s">
        <v>57</v>
      </c>
      <c r="L48" s="29">
        <v>4</v>
      </c>
      <c r="M48" s="30"/>
      <c r="N48" s="31">
        <v>880</v>
      </c>
      <c r="O48" s="32"/>
      <c r="P48" s="91"/>
      <c r="Q48" s="92"/>
      <c r="R48" s="93">
        <v>850</v>
      </c>
      <c r="S48" s="93">
        <f>N48*R48</f>
        <v>748000</v>
      </c>
      <c r="T48" s="33"/>
      <c r="U48" s="34"/>
      <c r="V48" s="35">
        <v>1350</v>
      </c>
      <c r="W48" s="36">
        <f>N48*V48</f>
        <v>1188000</v>
      </c>
      <c r="X48" s="93"/>
      <c r="Z48" s="18">
        <f t="shared" si="0"/>
        <v>440000</v>
      </c>
      <c r="AA48" s="17"/>
      <c r="AB48" s="17"/>
      <c r="AC48" s="17"/>
      <c r="AD48" s="17"/>
      <c r="AE48" s="17"/>
    </row>
    <row r="49" spans="1:31" s="21" customFormat="1" ht="16" customHeight="1" x14ac:dyDescent="0.45">
      <c r="A49" s="139" t="s">
        <v>272</v>
      </c>
      <c r="B49" s="23">
        <v>45665</v>
      </c>
      <c r="C49" s="24"/>
      <c r="D49" s="25" t="s">
        <v>109</v>
      </c>
      <c r="E49" s="26" t="s">
        <v>203</v>
      </c>
      <c r="F49" s="26"/>
      <c r="G49" s="26" t="s">
        <v>203</v>
      </c>
      <c r="H49" s="27" t="s">
        <v>298</v>
      </c>
      <c r="I49" s="27" t="s">
        <v>151</v>
      </c>
      <c r="J49" s="27"/>
      <c r="K49" s="28" t="s">
        <v>58</v>
      </c>
      <c r="L49" s="29">
        <v>1</v>
      </c>
      <c r="M49" s="30"/>
      <c r="N49" s="31">
        <v>135</v>
      </c>
      <c r="O49" s="32"/>
      <c r="P49" s="91"/>
      <c r="Q49" s="92"/>
      <c r="R49" s="93"/>
      <c r="S49" s="93"/>
      <c r="T49" s="33"/>
      <c r="U49" s="34"/>
      <c r="V49" s="35">
        <v>1350</v>
      </c>
      <c r="W49" s="36">
        <f>N49*V49</f>
        <v>182250</v>
      </c>
      <c r="X49" s="93"/>
      <c r="Z49" s="18">
        <f t="shared" si="0"/>
        <v>182250</v>
      </c>
      <c r="AA49" s="17"/>
      <c r="AB49" s="17"/>
      <c r="AC49" s="17"/>
      <c r="AD49" s="17"/>
      <c r="AE49" s="17"/>
    </row>
    <row r="50" spans="1:31" ht="16" customHeight="1" x14ac:dyDescent="0.45">
      <c r="A50" s="139" t="s">
        <v>272</v>
      </c>
      <c r="B50" s="23">
        <v>45672</v>
      </c>
      <c r="C50" s="24"/>
      <c r="D50" s="25" t="s">
        <v>30</v>
      </c>
      <c r="E50" s="26" t="s">
        <v>61</v>
      </c>
      <c r="F50" s="26"/>
      <c r="G50" s="26" t="s">
        <v>61</v>
      </c>
      <c r="H50" s="27" t="s">
        <v>111</v>
      </c>
      <c r="I50" s="27"/>
      <c r="J50" s="27"/>
      <c r="K50" s="38"/>
      <c r="L50" s="29">
        <v>53</v>
      </c>
      <c r="M50" s="30"/>
      <c r="N50" s="31">
        <v>25218</v>
      </c>
      <c r="O50" s="32"/>
      <c r="P50" s="91"/>
      <c r="Q50" s="92"/>
      <c r="R50" s="93">
        <v>700</v>
      </c>
      <c r="S50" s="93">
        <f>N50*R50</f>
        <v>17652600</v>
      </c>
      <c r="T50" s="33"/>
      <c r="U50" s="34"/>
      <c r="V50" s="35">
        <v>810</v>
      </c>
      <c r="W50" s="36">
        <f>N50*V50</f>
        <v>20426580</v>
      </c>
      <c r="X50" s="93"/>
      <c r="Y50" s="21"/>
      <c r="Z50" s="18">
        <f t="shared" si="0"/>
        <v>2773980</v>
      </c>
    </row>
    <row r="51" spans="1:31" s="21" customFormat="1" ht="16" customHeight="1" x14ac:dyDescent="0.45">
      <c r="A51" s="139" t="s">
        <v>272</v>
      </c>
      <c r="B51" s="23">
        <v>45653</v>
      </c>
      <c r="C51" s="24"/>
      <c r="D51" s="25" t="s">
        <v>70</v>
      </c>
      <c r="E51" s="26" t="s">
        <v>17</v>
      </c>
      <c r="F51" s="26" t="s">
        <v>299</v>
      </c>
      <c r="G51" s="26" t="s">
        <v>17</v>
      </c>
      <c r="H51" s="27" t="s">
        <v>88</v>
      </c>
      <c r="I51" s="27" t="s">
        <v>34</v>
      </c>
      <c r="J51" s="27"/>
      <c r="K51" s="38"/>
      <c r="L51" s="29">
        <v>40</v>
      </c>
      <c r="M51" s="30"/>
      <c r="N51" s="31">
        <v>10572</v>
      </c>
      <c r="O51" s="32"/>
      <c r="P51" s="91"/>
      <c r="Q51" s="92"/>
      <c r="R51" s="93" t="s">
        <v>242</v>
      </c>
      <c r="S51" s="93"/>
      <c r="T51" s="33"/>
      <c r="U51" s="34"/>
      <c r="V51" s="35">
        <v>2190</v>
      </c>
      <c r="W51" s="36">
        <f>N51*V51</f>
        <v>23152680</v>
      </c>
      <c r="X51" s="93"/>
      <c r="Z51" s="18">
        <f t="shared" si="0"/>
        <v>23152680</v>
      </c>
      <c r="AA51" s="17"/>
      <c r="AB51" s="17"/>
      <c r="AC51" s="17"/>
      <c r="AD51" s="17"/>
      <c r="AE51" s="17"/>
    </row>
    <row r="52" spans="1:31" s="21" customFormat="1" ht="16" customHeight="1" x14ac:dyDescent="0.45">
      <c r="A52" s="139" t="s">
        <v>272</v>
      </c>
      <c r="B52" s="23">
        <v>45659</v>
      </c>
      <c r="C52" s="24"/>
      <c r="D52" s="25" t="s">
        <v>10</v>
      </c>
      <c r="E52" s="26" t="s">
        <v>17</v>
      </c>
      <c r="F52" s="26" t="s">
        <v>300</v>
      </c>
      <c r="G52" s="26" t="s">
        <v>17</v>
      </c>
      <c r="H52" s="27" t="s">
        <v>11</v>
      </c>
      <c r="I52" s="27" t="s">
        <v>301</v>
      </c>
      <c r="J52" s="27"/>
      <c r="K52" s="28"/>
      <c r="L52" s="29">
        <v>2</v>
      </c>
      <c r="M52" s="30"/>
      <c r="N52" s="31"/>
      <c r="O52" s="32">
        <v>1345</v>
      </c>
      <c r="P52" s="91"/>
      <c r="Q52" s="92"/>
      <c r="R52" s="93">
        <v>1850</v>
      </c>
      <c r="S52" s="93">
        <f>O52*R52</f>
        <v>2488250</v>
      </c>
      <c r="T52" s="33"/>
      <c r="U52" s="34"/>
      <c r="V52" s="35">
        <v>4400</v>
      </c>
      <c r="W52" s="36">
        <f>O52*V52</f>
        <v>5918000</v>
      </c>
      <c r="X52" s="93"/>
      <c r="Z52" s="18">
        <f t="shared" si="0"/>
        <v>3429750</v>
      </c>
      <c r="AA52" s="17"/>
      <c r="AB52" s="17"/>
      <c r="AC52" s="17"/>
      <c r="AD52" s="17"/>
      <c r="AE52" s="17"/>
    </row>
    <row r="53" spans="1:31" s="21" customFormat="1" ht="16" customHeight="1" x14ac:dyDescent="0.45">
      <c r="A53" s="139" t="s">
        <v>272</v>
      </c>
      <c r="B53" s="2">
        <v>45661</v>
      </c>
      <c r="C53" s="3"/>
      <c r="D53" s="4" t="s">
        <v>27</v>
      </c>
      <c r="E53" s="5" t="s">
        <v>37</v>
      </c>
      <c r="F53" s="5"/>
      <c r="G53" s="5" t="s">
        <v>28</v>
      </c>
      <c r="H53" s="19" t="s">
        <v>32</v>
      </c>
      <c r="I53" s="19"/>
      <c r="J53" s="19"/>
      <c r="K53" s="20"/>
      <c r="L53" s="6">
        <v>15</v>
      </c>
      <c r="M53" s="7">
        <v>262.5</v>
      </c>
      <c r="N53" s="8"/>
      <c r="O53" s="9"/>
      <c r="P53" s="10"/>
      <c r="Q53" s="11"/>
      <c r="R53" s="12">
        <v>2000</v>
      </c>
      <c r="S53" s="12">
        <f t="shared" ref="S53:S59" si="4">M53*R53</f>
        <v>525000</v>
      </c>
      <c r="T53" s="13"/>
      <c r="U53" s="14"/>
      <c r="V53" s="15"/>
      <c r="W53" s="16"/>
      <c r="X53" s="12"/>
      <c r="Y53" s="17"/>
      <c r="Z53" s="18">
        <f t="shared" si="0"/>
        <v>-525000</v>
      </c>
      <c r="AA53" s="17"/>
      <c r="AB53" s="17"/>
      <c r="AC53" s="17"/>
      <c r="AD53" s="17"/>
      <c r="AE53" s="17"/>
    </row>
    <row r="54" spans="1:31" s="21" customFormat="1" ht="16" customHeight="1" x14ac:dyDescent="0.45">
      <c r="A54" s="139" t="s">
        <v>272</v>
      </c>
      <c r="B54" s="2">
        <v>45661</v>
      </c>
      <c r="C54" s="3"/>
      <c r="D54" s="4" t="s">
        <v>27</v>
      </c>
      <c r="E54" s="5" t="s">
        <v>37</v>
      </c>
      <c r="F54" s="5"/>
      <c r="G54" s="5" t="s">
        <v>28</v>
      </c>
      <c r="H54" s="19" t="s">
        <v>33</v>
      </c>
      <c r="I54" s="19"/>
      <c r="J54" s="19"/>
      <c r="K54" s="20"/>
      <c r="L54" s="6">
        <v>170</v>
      </c>
      <c r="M54" s="7">
        <v>2949</v>
      </c>
      <c r="N54" s="8"/>
      <c r="O54" s="9"/>
      <c r="P54" s="10"/>
      <c r="Q54" s="11"/>
      <c r="R54" s="12">
        <v>2000</v>
      </c>
      <c r="S54" s="12">
        <f t="shared" si="4"/>
        <v>5898000</v>
      </c>
      <c r="T54" s="13"/>
      <c r="U54" s="14"/>
      <c r="V54" s="15"/>
      <c r="W54" s="16"/>
      <c r="X54" s="12"/>
      <c r="Y54" s="17"/>
      <c r="Z54" s="18">
        <f t="shared" si="0"/>
        <v>-5898000</v>
      </c>
      <c r="AA54" s="17"/>
      <c r="AB54" s="17"/>
      <c r="AC54" s="17"/>
      <c r="AD54" s="17"/>
      <c r="AE54" s="17"/>
    </row>
    <row r="55" spans="1:31" s="21" customFormat="1" ht="16" customHeight="1" x14ac:dyDescent="0.45">
      <c r="A55" s="139" t="s">
        <v>272</v>
      </c>
      <c r="B55" s="2">
        <v>45667</v>
      </c>
      <c r="C55" s="3"/>
      <c r="D55" s="4" t="s">
        <v>27</v>
      </c>
      <c r="E55" s="5" t="s">
        <v>37</v>
      </c>
      <c r="F55" s="5"/>
      <c r="G55" s="5" t="s">
        <v>28</v>
      </c>
      <c r="H55" s="19" t="s">
        <v>33</v>
      </c>
      <c r="I55" s="19"/>
      <c r="J55" s="19"/>
      <c r="K55" s="20"/>
      <c r="L55" s="6">
        <v>63</v>
      </c>
      <c r="M55" s="7">
        <v>1102.5</v>
      </c>
      <c r="N55" s="8"/>
      <c r="O55" s="9"/>
      <c r="P55" s="10"/>
      <c r="Q55" s="11"/>
      <c r="R55" s="12">
        <v>2000</v>
      </c>
      <c r="S55" s="12">
        <f t="shared" si="4"/>
        <v>2205000</v>
      </c>
      <c r="T55" s="13"/>
      <c r="U55" s="14"/>
      <c r="V55" s="15"/>
      <c r="W55" s="16"/>
      <c r="X55" s="12"/>
      <c r="Y55" s="17"/>
      <c r="Z55" s="18">
        <f t="shared" si="0"/>
        <v>-2205000</v>
      </c>
      <c r="AA55" s="17"/>
      <c r="AB55" s="17"/>
      <c r="AC55" s="17"/>
      <c r="AD55" s="17"/>
      <c r="AE55" s="17"/>
    </row>
    <row r="56" spans="1:31" s="21" customFormat="1" ht="16" customHeight="1" x14ac:dyDescent="0.45">
      <c r="A56" s="139" t="s">
        <v>272</v>
      </c>
      <c r="B56" s="2">
        <v>45667</v>
      </c>
      <c r="C56" s="3"/>
      <c r="D56" s="4" t="s">
        <v>123</v>
      </c>
      <c r="E56" s="5" t="s">
        <v>37</v>
      </c>
      <c r="F56" s="5"/>
      <c r="G56" s="5" t="s">
        <v>5</v>
      </c>
      <c r="H56" s="19" t="s">
        <v>131</v>
      </c>
      <c r="I56" s="19"/>
      <c r="J56" s="19"/>
      <c r="K56" s="20"/>
      <c r="L56" s="6">
        <v>7</v>
      </c>
      <c r="M56" s="7">
        <v>143.5</v>
      </c>
      <c r="N56" s="8"/>
      <c r="O56" s="9"/>
      <c r="P56" s="10"/>
      <c r="Q56" s="11"/>
      <c r="R56" s="12">
        <v>3700</v>
      </c>
      <c r="S56" s="12">
        <f t="shared" si="4"/>
        <v>530950</v>
      </c>
      <c r="T56" s="13"/>
      <c r="U56" s="14"/>
      <c r="V56" s="15"/>
      <c r="W56" s="16"/>
      <c r="X56" s="12"/>
      <c r="Y56" s="17"/>
      <c r="Z56" s="18">
        <f t="shared" si="0"/>
        <v>-530950</v>
      </c>
      <c r="AA56" s="17"/>
      <c r="AB56" s="17"/>
      <c r="AC56" s="17"/>
      <c r="AD56" s="17"/>
      <c r="AE56" s="17"/>
    </row>
    <row r="57" spans="1:31" ht="16" customHeight="1" x14ac:dyDescent="0.45">
      <c r="A57" s="139" t="s">
        <v>272</v>
      </c>
      <c r="B57" s="2">
        <v>45674</v>
      </c>
      <c r="D57" s="4" t="s">
        <v>27</v>
      </c>
      <c r="E57" s="5" t="s">
        <v>37</v>
      </c>
      <c r="G57" s="5" t="s">
        <v>28</v>
      </c>
      <c r="H57" s="19" t="s">
        <v>32</v>
      </c>
      <c r="L57" s="6">
        <v>24</v>
      </c>
      <c r="M57" s="7">
        <v>420</v>
      </c>
      <c r="R57" s="12">
        <v>2000</v>
      </c>
      <c r="S57" s="12">
        <f t="shared" si="4"/>
        <v>840000</v>
      </c>
      <c r="Z57" s="18">
        <f t="shared" si="0"/>
        <v>-840000</v>
      </c>
    </row>
    <row r="58" spans="1:31" ht="16" customHeight="1" x14ac:dyDescent="0.45">
      <c r="A58" s="139" t="s">
        <v>272</v>
      </c>
      <c r="B58" s="2">
        <v>45674</v>
      </c>
      <c r="D58" s="4" t="s">
        <v>27</v>
      </c>
      <c r="E58" s="5" t="s">
        <v>37</v>
      </c>
      <c r="G58" s="5" t="s">
        <v>28</v>
      </c>
      <c r="H58" s="19" t="s">
        <v>33</v>
      </c>
      <c r="L58" s="6">
        <v>126</v>
      </c>
      <c r="M58" s="7">
        <v>2205</v>
      </c>
      <c r="R58" s="12">
        <v>2000</v>
      </c>
      <c r="S58" s="12">
        <f t="shared" si="4"/>
        <v>4410000</v>
      </c>
      <c r="Z58" s="18">
        <f t="shared" si="0"/>
        <v>-4410000</v>
      </c>
    </row>
    <row r="59" spans="1:31" ht="16" customHeight="1" x14ac:dyDescent="0.45">
      <c r="A59" s="139" t="s">
        <v>272</v>
      </c>
      <c r="B59" s="2">
        <v>45681</v>
      </c>
      <c r="D59" s="4" t="s">
        <v>27</v>
      </c>
      <c r="E59" s="5" t="s">
        <v>37</v>
      </c>
      <c r="G59" s="5" t="s">
        <v>28</v>
      </c>
      <c r="H59" s="19" t="s">
        <v>112</v>
      </c>
      <c r="K59" s="73"/>
      <c r="L59" s="6">
        <v>180</v>
      </c>
      <c r="M59" s="7">
        <v>3150</v>
      </c>
      <c r="R59" s="12">
        <v>2000</v>
      </c>
      <c r="S59" s="12">
        <f t="shared" si="4"/>
        <v>6300000</v>
      </c>
      <c r="Z59" s="18">
        <f t="shared" si="0"/>
        <v>-6300000</v>
      </c>
    </row>
    <row r="60" spans="1:31" ht="16" customHeight="1" x14ac:dyDescent="0.45">
      <c r="A60" s="139" t="s">
        <v>272</v>
      </c>
      <c r="B60" s="2">
        <v>45675</v>
      </c>
      <c r="D60" s="4" t="s">
        <v>31</v>
      </c>
      <c r="E60" s="5" t="s">
        <v>302</v>
      </c>
      <c r="G60" s="5" t="s">
        <v>31</v>
      </c>
      <c r="H60" s="19" t="s">
        <v>303</v>
      </c>
      <c r="M60" s="7">
        <v>175</v>
      </c>
      <c r="Z60" s="18">
        <f t="shared" si="0"/>
        <v>0</v>
      </c>
    </row>
    <row r="61" spans="1:31" ht="16" customHeight="1" x14ac:dyDescent="0.45">
      <c r="A61" s="139" t="s">
        <v>272</v>
      </c>
      <c r="B61" s="2">
        <v>45666</v>
      </c>
      <c r="C61" s="24"/>
      <c r="D61" s="4" t="s">
        <v>37</v>
      </c>
      <c r="E61" s="5" t="s">
        <v>28</v>
      </c>
      <c r="G61" s="5" t="s">
        <v>28</v>
      </c>
      <c r="H61" s="19" t="s">
        <v>38</v>
      </c>
      <c r="I61" s="19" t="s">
        <v>39</v>
      </c>
      <c r="K61" s="73" t="s">
        <v>40</v>
      </c>
      <c r="L61" s="6">
        <v>32</v>
      </c>
      <c r="M61" s="7">
        <v>485.3</v>
      </c>
      <c r="O61" s="9">
        <v>755</v>
      </c>
      <c r="P61" s="141"/>
      <c r="Q61" s="95"/>
      <c r="R61" s="119">
        <v>2500</v>
      </c>
      <c r="S61" s="12">
        <f t="shared" ref="S61:S68" si="5">O61*R61</f>
        <v>1887500</v>
      </c>
      <c r="T61" s="33"/>
      <c r="U61" s="34"/>
      <c r="V61" s="15">
        <v>6400</v>
      </c>
      <c r="W61" s="16">
        <f t="shared" ref="W61:W75" si="6">O61*V61</f>
        <v>4832000</v>
      </c>
      <c r="Z61" s="18">
        <f t="shared" si="0"/>
        <v>2944500</v>
      </c>
    </row>
    <row r="62" spans="1:31" ht="16" customHeight="1" x14ac:dyDescent="0.45">
      <c r="A62" s="139" t="s">
        <v>272</v>
      </c>
      <c r="B62" s="2">
        <v>45666</v>
      </c>
      <c r="C62" s="24"/>
      <c r="D62" s="4" t="s">
        <v>37</v>
      </c>
      <c r="E62" s="5" t="s">
        <v>28</v>
      </c>
      <c r="G62" s="5" t="s">
        <v>28</v>
      </c>
      <c r="H62" s="19" t="s">
        <v>38</v>
      </c>
      <c r="I62" s="19" t="s">
        <v>39</v>
      </c>
      <c r="K62" s="73" t="s">
        <v>41</v>
      </c>
      <c r="L62" s="6">
        <v>33</v>
      </c>
      <c r="M62" s="7">
        <v>491.7</v>
      </c>
      <c r="O62" s="9">
        <v>764</v>
      </c>
      <c r="P62" s="141"/>
      <c r="Q62" s="95"/>
      <c r="R62" s="119">
        <v>2500</v>
      </c>
      <c r="S62" s="12">
        <f t="shared" si="5"/>
        <v>1910000</v>
      </c>
      <c r="T62" s="33"/>
      <c r="U62" s="34"/>
      <c r="V62" s="15">
        <v>6400</v>
      </c>
      <c r="W62" s="16">
        <f t="shared" si="6"/>
        <v>4889600</v>
      </c>
      <c r="Z62" s="18">
        <f t="shared" si="0"/>
        <v>2979600</v>
      </c>
    </row>
    <row r="63" spans="1:31" ht="16" customHeight="1" x14ac:dyDescent="0.45">
      <c r="A63" s="139" t="s">
        <v>272</v>
      </c>
      <c r="B63" s="2">
        <v>45666</v>
      </c>
      <c r="C63" s="24"/>
      <c r="D63" s="4" t="s">
        <v>37</v>
      </c>
      <c r="E63" s="5" t="s">
        <v>28</v>
      </c>
      <c r="G63" s="5" t="s">
        <v>28</v>
      </c>
      <c r="H63" s="19" t="s">
        <v>38</v>
      </c>
      <c r="I63" s="19" t="s">
        <v>39</v>
      </c>
      <c r="K63" s="73" t="s">
        <v>42</v>
      </c>
      <c r="L63" s="6">
        <v>31</v>
      </c>
      <c r="M63" s="7">
        <v>475.6</v>
      </c>
      <c r="O63" s="9">
        <v>744</v>
      </c>
      <c r="P63" s="141"/>
      <c r="Q63" s="95"/>
      <c r="R63" s="119">
        <v>2500</v>
      </c>
      <c r="S63" s="12">
        <f t="shared" si="5"/>
        <v>1860000</v>
      </c>
      <c r="T63" s="33"/>
      <c r="U63" s="34"/>
      <c r="V63" s="15">
        <v>6400</v>
      </c>
      <c r="W63" s="16">
        <f t="shared" si="6"/>
        <v>4761600</v>
      </c>
      <c r="Z63" s="18">
        <f t="shared" si="0"/>
        <v>2901600</v>
      </c>
    </row>
    <row r="64" spans="1:31" ht="16" customHeight="1" x14ac:dyDescent="0.45">
      <c r="A64" s="139" t="s">
        <v>272</v>
      </c>
      <c r="B64" s="2">
        <v>45666</v>
      </c>
      <c r="C64" s="24"/>
      <c r="D64" s="4" t="s">
        <v>37</v>
      </c>
      <c r="E64" s="5" t="s">
        <v>28</v>
      </c>
      <c r="G64" s="5" t="s">
        <v>28</v>
      </c>
      <c r="H64" s="19" t="s">
        <v>38</v>
      </c>
      <c r="I64" s="19" t="s">
        <v>39</v>
      </c>
      <c r="K64" s="73" t="s">
        <v>43</v>
      </c>
      <c r="L64" s="6">
        <v>32</v>
      </c>
      <c r="M64" s="7">
        <v>478</v>
      </c>
      <c r="O64" s="9">
        <v>743</v>
      </c>
      <c r="P64" s="141"/>
      <c r="Q64" s="95"/>
      <c r="R64" s="119">
        <v>2500</v>
      </c>
      <c r="S64" s="12">
        <f t="shared" si="5"/>
        <v>1857500</v>
      </c>
      <c r="T64" s="33"/>
      <c r="U64" s="34"/>
      <c r="V64" s="15">
        <v>6400</v>
      </c>
      <c r="W64" s="16">
        <f t="shared" si="6"/>
        <v>4755200</v>
      </c>
      <c r="Z64" s="18">
        <f t="shared" si="0"/>
        <v>2897700</v>
      </c>
    </row>
    <row r="65" spans="1:31" ht="16" customHeight="1" x14ac:dyDescent="0.45">
      <c r="A65" s="139" t="s">
        <v>272</v>
      </c>
      <c r="B65" s="2">
        <v>45666</v>
      </c>
      <c r="C65" s="24"/>
      <c r="D65" s="4" t="s">
        <v>37</v>
      </c>
      <c r="E65" s="5" t="s">
        <v>28</v>
      </c>
      <c r="G65" s="5" t="s">
        <v>28</v>
      </c>
      <c r="H65" s="19" t="s">
        <v>38</v>
      </c>
      <c r="I65" s="19" t="s">
        <v>39</v>
      </c>
      <c r="K65" s="73" t="s">
        <v>44</v>
      </c>
      <c r="L65" s="6">
        <v>31</v>
      </c>
      <c r="M65" s="7">
        <v>458.2</v>
      </c>
      <c r="O65" s="9">
        <v>724</v>
      </c>
      <c r="P65" s="141"/>
      <c r="Q65" s="95"/>
      <c r="R65" s="119">
        <v>2500</v>
      </c>
      <c r="S65" s="12">
        <f t="shared" si="5"/>
        <v>1810000</v>
      </c>
      <c r="T65" s="33"/>
      <c r="U65" s="34"/>
      <c r="V65" s="15">
        <v>6400</v>
      </c>
      <c r="W65" s="16">
        <f t="shared" si="6"/>
        <v>4633600</v>
      </c>
      <c r="Z65" s="18">
        <f t="shared" si="0"/>
        <v>2823600</v>
      </c>
    </row>
    <row r="66" spans="1:31" ht="16" customHeight="1" x14ac:dyDescent="0.45">
      <c r="A66" s="139" t="s">
        <v>272</v>
      </c>
      <c r="B66" s="2">
        <v>45666</v>
      </c>
      <c r="C66" s="24"/>
      <c r="D66" s="4" t="s">
        <v>37</v>
      </c>
      <c r="E66" s="5" t="s">
        <v>28</v>
      </c>
      <c r="G66" s="5" t="s">
        <v>28</v>
      </c>
      <c r="H66" s="19" t="s">
        <v>38</v>
      </c>
      <c r="I66" s="19" t="s">
        <v>39</v>
      </c>
      <c r="K66" s="73" t="s">
        <v>45</v>
      </c>
      <c r="L66" s="6">
        <v>32</v>
      </c>
      <c r="M66" s="7">
        <v>475.3</v>
      </c>
      <c r="O66" s="9">
        <v>738</v>
      </c>
      <c r="P66" s="141"/>
      <c r="Q66" s="95"/>
      <c r="R66" s="119">
        <v>2500</v>
      </c>
      <c r="S66" s="12">
        <f t="shared" si="5"/>
        <v>1845000</v>
      </c>
      <c r="T66" s="33"/>
      <c r="U66" s="34"/>
      <c r="V66" s="15">
        <v>6400</v>
      </c>
      <c r="W66" s="16">
        <f t="shared" si="6"/>
        <v>4723200</v>
      </c>
      <c r="Z66" s="18">
        <f t="shared" ref="Z66:Z129" si="7">W66-S66-Q66</f>
        <v>2878200</v>
      </c>
    </row>
    <row r="67" spans="1:31" ht="16" customHeight="1" x14ac:dyDescent="0.45">
      <c r="A67" s="139" t="s">
        <v>272</v>
      </c>
      <c r="B67" s="2">
        <v>45666</v>
      </c>
      <c r="C67" s="24"/>
      <c r="D67" s="4" t="s">
        <v>37</v>
      </c>
      <c r="E67" s="5" t="s">
        <v>28</v>
      </c>
      <c r="G67" s="5" t="s">
        <v>28</v>
      </c>
      <c r="H67" s="19" t="s">
        <v>38</v>
      </c>
      <c r="I67" s="19" t="s">
        <v>39</v>
      </c>
      <c r="K67" s="73" t="s">
        <v>144</v>
      </c>
      <c r="L67" s="6">
        <v>32</v>
      </c>
      <c r="M67" s="7">
        <v>473.6</v>
      </c>
      <c r="O67" s="9">
        <v>734</v>
      </c>
      <c r="P67" s="141"/>
      <c r="Q67" s="95"/>
      <c r="R67" s="119">
        <v>2500</v>
      </c>
      <c r="S67" s="12">
        <f t="shared" si="5"/>
        <v>1835000</v>
      </c>
      <c r="T67" s="33"/>
      <c r="U67" s="34"/>
      <c r="V67" s="15">
        <v>6400</v>
      </c>
      <c r="W67" s="16">
        <f t="shared" si="6"/>
        <v>4697600</v>
      </c>
      <c r="Z67" s="18">
        <f t="shared" si="7"/>
        <v>2862600</v>
      </c>
    </row>
    <row r="68" spans="1:31" ht="16" customHeight="1" x14ac:dyDescent="0.45">
      <c r="A68" s="139" t="s">
        <v>272</v>
      </c>
      <c r="B68" s="2">
        <v>45666</v>
      </c>
      <c r="C68" s="24"/>
      <c r="D68" s="4" t="s">
        <v>37</v>
      </c>
      <c r="E68" s="5" t="s">
        <v>28</v>
      </c>
      <c r="G68" s="5" t="s">
        <v>28</v>
      </c>
      <c r="H68" s="19" t="s">
        <v>38</v>
      </c>
      <c r="I68" s="19" t="s">
        <v>39</v>
      </c>
      <c r="K68" s="73" t="s">
        <v>146</v>
      </c>
      <c r="L68" s="6">
        <v>23</v>
      </c>
      <c r="M68" s="7">
        <v>341.5</v>
      </c>
      <c r="O68" s="9">
        <v>531</v>
      </c>
      <c r="P68" s="141"/>
      <c r="Q68" s="95"/>
      <c r="R68" s="119">
        <v>2500</v>
      </c>
      <c r="S68" s="12">
        <f t="shared" si="5"/>
        <v>1327500</v>
      </c>
      <c r="T68" s="33"/>
      <c r="U68" s="34"/>
      <c r="V68" s="15">
        <v>6400</v>
      </c>
      <c r="W68" s="16">
        <f t="shared" si="6"/>
        <v>3398400</v>
      </c>
      <c r="Z68" s="18">
        <f t="shared" si="7"/>
        <v>2070900</v>
      </c>
    </row>
    <row r="69" spans="1:31" ht="16" customHeight="1" x14ac:dyDescent="0.45">
      <c r="A69" s="139" t="s">
        <v>272</v>
      </c>
      <c r="B69" s="2">
        <v>45671</v>
      </c>
      <c r="C69" s="24"/>
      <c r="D69" s="4" t="s">
        <v>37</v>
      </c>
      <c r="E69" s="5" t="s">
        <v>28</v>
      </c>
      <c r="G69" s="5" t="s">
        <v>28</v>
      </c>
      <c r="H69" s="19" t="s">
        <v>38</v>
      </c>
      <c r="I69" s="19" t="s">
        <v>39</v>
      </c>
      <c r="K69" s="73" t="s">
        <v>46</v>
      </c>
      <c r="L69" s="6">
        <v>32</v>
      </c>
      <c r="M69" s="7">
        <v>474.4</v>
      </c>
      <c r="O69" s="9">
        <v>732</v>
      </c>
      <c r="P69" s="141"/>
      <c r="Q69" s="95"/>
      <c r="R69" s="12">
        <v>2500</v>
      </c>
      <c r="S69" s="12">
        <f t="shared" ref="S69:S81" si="8">M69*R69</f>
        <v>1186000</v>
      </c>
      <c r="T69" s="33"/>
      <c r="U69" s="34"/>
      <c r="V69" s="15">
        <v>6400</v>
      </c>
      <c r="W69" s="16">
        <f t="shared" si="6"/>
        <v>4684800</v>
      </c>
      <c r="Z69" s="18">
        <f t="shared" si="7"/>
        <v>3498800</v>
      </c>
    </row>
    <row r="70" spans="1:31" ht="16" customHeight="1" x14ac:dyDescent="0.45">
      <c r="A70" s="139" t="s">
        <v>272</v>
      </c>
      <c r="B70" s="2">
        <v>45671</v>
      </c>
      <c r="C70" s="24"/>
      <c r="D70" s="4" t="s">
        <v>37</v>
      </c>
      <c r="E70" s="5" t="s">
        <v>28</v>
      </c>
      <c r="G70" s="5" t="s">
        <v>28</v>
      </c>
      <c r="H70" s="19" t="s">
        <v>38</v>
      </c>
      <c r="I70" s="19" t="s">
        <v>39</v>
      </c>
      <c r="K70" s="20" t="s">
        <v>48</v>
      </c>
      <c r="L70" s="6">
        <v>32</v>
      </c>
      <c r="M70" s="7">
        <v>481.5</v>
      </c>
      <c r="O70" s="9">
        <v>750</v>
      </c>
      <c r="P70" s="141"/>
      <c r="Q70" s="95"/>
      <c r="R70" s="119">
        <v>2500</v>
      </c>
      <c r="S70" s="12">
        <f t="shared" si="8"/>
        <v>1203750</v>
      </c>
      <c r="T70" s="33"/>
      <c r="U70" s="34"/>
      <c r="V70" s="15">
        <v>6400</v>
      </c>
      <c r="W70" s="16">
        <f t="shared" si="6"/>
        <v>4800000</v>
      </c>
      <c r="Z70" s="18">
        <f t="shared" si="7"/>
        <v>3596250</v>
      </c>
    </row>
    <row r="71" spans="1:31" ht="16" customHeight="1" x14ac:dyDescent="0.45">
      <c r="A71" s="139" t="s">
        <v>272</v>
      </c>
      <c r="B71" s="2">
        <v>45680</v>
      </c>
      <c r="C71" s="24"/>
      <c r="D71" s="4" t="s">
        <v>37</v>
      </c>
      <c r="E71" s="5" t="s">
        <v>28</v>
      </c>
      <c r="G71" s="5" t="s">
        <v>28</v>
      </c>
      <c r="H71" s="19" t="s">
        <v>38</v>
      </c>
      <c r="I71" s="19" t="s">
        <v>39</v>
      </c>
      <c r="J71" s="140"/>
      <c r="K71" s="73" t="s">
        <v>50</v>
      </c>
      <c r="L71" s="6">
        <v>32</v>
      </c>
      <c r="M71" s="7">
        <v>474.1</v>
      </c>
      <c r="O71" s="9">
        <v>754</v>
      </c>
      <c r="P71" s="141"/>
      <c r="Q71" s="95"/>
      <c r="R71" s="12">
        <v>2500</v>
      </c>
      <c r="S71" s="12">
        <f t="shared" si="8"/>
        <v>1185250</v>
      </c>
      <c r="T71" s="33"/>
      <c r="U71" s="34"/>
      <c r="V71" s="15">
        <v>6400</v>
      </c>
      <c r="W71" s="16">
        <f t="shared" si="6"/>
        <v>4825600</v>
      </c>
      <c r="Z71" s="18">
        <f t="shared" si="7"/>
        <v>3640350</v>
      </c>
    </row>
    <row r="72" spans="1:31" ht="16" customHeight="1" x14ac:dyDescent="0.45">
      <c r="A72" s="139" t="s">
        <v>272</v>
      </c>
      <c r="B72" s="2">
        <v>45680</v>
      </c>
      <c r="C72" s="24"/>
      <c r="D72" s="4" t="s">
        <v>37</v>
      </c>
      <c r="E72" s="5" t="s">
        <v>28</v>
      </c>
      <c r="G72" s="5" t="s">
        <v>28</v>
      </c>
      <c r="H72" s="19" t="s">
        <v>38</v>
      </c>
      <c r="I72" s="19" t="s">
        <v>39</v>
      </c>
      <c r="K72" s="73" t="s">
        <v>51</v>
      </c>
      <c r="L72" s="6">
        <v>32</v>
      </c>
      <c r="M72" s="7">
        <v>475.1</v>
      </c>
      <c r="O72" s="9">
        <v>733</v>
      </c>
      <c r="P72" s="141"/>
      <c r="Q72" s="95"/>
      <c r="R72" s="12">
        <v>2500</v>
      </c>
      <c r="S72" s="12">
        <f t="shared" si="8"/>
        <v>1187750</v>
      </c>
      <c r="T72" s="33"/>
      <c r="U72" s="34"/>
      <c r="V72" s="15">
        <v>6400</v>
      </c>
      <c r="W72" s="16">
        <f t="shared" si="6"/>
        <v>4691200</v>
      </c>
      <c r="Z72" s="18">
        <f t="shared" si="7"/>
        <v>3503450</v>
      </c>
    </row>
    <row r="73" spans="1:31" ht="16" customHeight="1" x14ac:dyDescent="0.45">
      <c r="A73" s="139" t="s">
        <v>272</v>
      </c>
      <c r="B73" s="2">
        <v>45680</v>
      </c>
      <c r="C73" s="24"/>
      <c r="D73" s="4" t="s">
        <v>37</v>
      </c>
      <c r="E73" s="5" t="s">
        <v>28</v>
      </c>
      <c r="G73" s="5" t="s">
        <v>28</v>
      </c>
      <c r="H73" s="19" t="s">
        <v>38</v>
      </c>
      <c r="I73" s="19" t="s">
        <v>39</v>
      </c>
      <c r="K73" s="73" t="s">
        <v>83</v>
      </c>
      <c r="L73" s="6">
        <v>33</v>
      </c>
      <c r="M73" s="7">
        <v>501.2</v>
      </c>
      <c r="O73" s="9">
        <v>779</v>
      </c>
      <c r="P73" s="141"/>
      <c r="Q73" s="95"/>
      <c r="R73" s="12">
        <v>2500</v>
      </c>
      <c r="S73" s="12">
        <f t="shared" si="8"/>
        <v>1253000</v>
      </c>
      <c r="T73" s="33"/>
      <c r="U73" s="34"/>
      <c r="V73" s="15">
        <v>6400</v>
      </c>
      <c r="W73" s="16">
        <f t="shared" si="6"/>
        <v>4985600</v>
      </c>
      <c r="Z73" s="18">
        <f t="shared" si="7"/>
        <v>3732600</v>
      </c>
    </row>
    <row r="74" spans="1:31" ht="16" customHeight="1" x14ac:dyDescent="0.45">
      <c r="A74" s="139" t="s">
        <v>272</v>
      </c>
      <c r="B74" s="2">
        <v>45680</v>
      </c>
      <c r="C74" s="24"/>
      <c r="D74" s="4" t="s">
        <v>37</v>
      </c>
      <c r="E74" s="5" t="s">
        <v>28</v>
      </c>
      <c r="G74" s="5" t="s">
        <v>28</v>
      </c>
      <c r="H74" s="19" t="s">
        <v>38</v>
      </c>
      <c r="I74" s="19" t="s">
        <v>39</v>
      </c>
      <c r="K74" s="73" t="s">
        <v>84</v>
      </c>
      <c r="L74" s="6">
        <v>32</v>
      </c>
      <c r="M74" s="7">
        <v>476.2</v>
      </c>
      <c r="O74" s="9">
        <v>741</v>
      </c>
      <c r="P74" s="141"/>
      <c r="Q74" s="95"/>
      <c r="R74" s="12">
        <v>2500</v>
      </c>
      <c r="S74" s="12">
        <f t="shared" si="8"/>
        <v>1190500</v>
      </c>
      <c r="T74" s="33"/>
      <c r="U74" s="34"/>
      <c r="V74" s="15">
        <v>6400</v>
      </c>
      <c r="W74" s="16">
        <f t="shared" si="6"/>
        <v>4742400</v>
      </c>
      <c r="Z74" s="18">
        <f t="shared" si="7"/>
        <v>3551900</v>
      </c>
    </row>
    <row r="75" spans="1:31" s="21" customFormat="1" ht="16" customHeight="1" x14ac:dyDescent="0.45">
      <c r="A75" s="139" t="s">
        <v>272</v>
      </c>
      <c r="B75" s="23">
        <v>45680</v>
      </c>
      <c r="C75" s="24"/>
      <c r="D75" s="25" t="s">
        <v>37</v>
      </c>
      <c r="E75" s="26" t="s">
        <v>28</v>
      </c>
      <c r="F75" s="26"/>
      <c r="G75" s="26" t="s">
        <v>28</v>
      </c>
      <c r="H75" s="27" t="s">
        <v>32</v>
      </c>
      <c r="I75" s="27" t="s">
        <v>47</v>
      </c>
      <c r="J75" s="27"/>
      <c r="K75" s="38" t="s">
        <v>45</v>
      </c>
      <c r="L75" s="29">
        <v>15</v>
      </c>
      <c r="M75" s="30">
        <v>241.5</v>
      </c>
      <c r="N75" s="31"/>
      <c r="O75" s="32">
        <v>410</v>
      </c>
      <c r="P75" s="91"/>
      <c r="Q75" s="92"/>
      <c r="R75" s="93">
        <v>2500</v>
      </c>
      <c r="S75" s="93">
        <f t="shared" si="8"/>
        <v>603750</v>
      </c>
      <c r="T75" s="33"/>
      <c r="U75" s="34"/>
      <c r="V75" s="35">
        <v>5650</v>
      </c>
      <c r="W75" s="36">
        <f t="shared" si="6"/>
        <v>2316500</v>
      </c>
      <c r="X75" s="93"/>
      <c r="Z75" s="18">
        <f t="shared" si="7"/>
        <v>1712750</v>
      </c>
      <c r="AA75" s="17"/>
      <c r="AB75" s="17"/>
      <c r="AC75" s="17"/>
      <c r="AD75" s="17"/>
      <c r="AE75" s="17"/>
    </row>
    <row r="76" spans="1:31" s="21" customFormat="1" ht="16" customHeight="1" x14ac:dyDescent="0.45">
      <c r="A76" s="139" t="s">
        <v>272</v>
      </c>
      <c r="B76" s="2">
        <v>45660</v>
      </c>
      <c r="C76" s="3"/>
      <c r="D76" s="4" t="s">
        <v>0</v>
      </c>
      <c r="E76" s="5" t="s">
        <v>3</v>
      </c>
      <c r="F76" s="5"/>
      <c r="G76" s="5" t="s">
        <v>1</v>
      </c>
      <c r="H76" s="19" t="s">
        <v>2</v>
      </c>
      <c r="I76" s="19"/>
      <c r="J76" s="19"/>
      <c r="K76" s="20"/>
      <c r="L76" s="6">
        <v>41</v>
      </c>
      <c r="M76" s="7">
        <v>706</v>
      </c>
      <c r="N76" s="8"/>
      <c r="O76" s="9"/>
      <c r="P76" s="10"/>
      <c r="Q76" s="11"/>
      <c r="R76" s="12">
        <v>3800</v>
      </c>
      <c r="S76" s="12">
        <f t="shared" si="8"/>
        <v>2682800</v>
      </c>
      <c r="T76" s="13"/>
      <c r="U76" s="14"/>
      <c r="V76" s="15"/>
      <c r="W76" s="16"/>
      <c r="X76" s="12"/>
      <c r="Y76" s="17"/>
      <c r="Z76" s="18">
        <f t="shared" si="7"/>
        <v>-2682800</v>
      </c>
      <c r="AA76" s="17"/>
      <c r="AB76" s="17"/>
      <c r="AC76" s="17"/>
      <c r="AD76" s="17"/>
      <c r="AE76" s="17"/>
    </row>
    <row r="77" spans="1:31" s="21" customFormat="1" ht="16" customHeight="1" x14ac:dyDescent="0.45">
      <c r="A77" s="139" t="s">
        <v>272</v>
      </c>
      <c r="B77" s="2">
        <v>45660</v>
      </c>
      <c r="C77" s="3"/>
      <c r="D77" s="4" t="s">
        <v>0</v>
      </c>
      <c r="E77" s="5" t="s">
        <v>3</v>
      </c>
      <c r="F77" s="5"/>
      <c r="G77" s="5" t="s">
        <v>1</v>
      </c>
      <c r="H77" s="19" t="s">
        <v>2</v>
      </c>
      <c r="I77" s="19"/>
      <c r="J77" s="19"/>
      <c r="K77" s="20"/>
      <c r="L77" s="6">
        <v>1</v>
      </c>
      <c r="M77" s="7">
        <v>-4.5</v>
      </c>
      <c r="N77" s="8"/>
      <c r="O77" s="9"/>
      <c r="P77" s="10"/>
      <c r="Q77" s="11"/>
      <c r="R77" s="12">
        <v>3800</v>
      </c>
      <c r="S77" s="12">
        <f t="shared" si="8"/>
        <v>-17100</v>
      </c>
      <c r="T77" s="13"/>
      <c r="U77" s="14"/>
      <c r="V77" s="15"/>
      <c r="W77" s="16"/>
      <c r="X77" s="12"/>
      <c r="Y77" s="17"/>
      <c r="Z77" s="18">
        <f t="shared" si="7"/>
        <v>17100</v>
      </c>
      <c r="AA77" s="17"/>
      <c r="AB77" s="17"/>
      <c r="AC77" s="17"/>
      <c r="AD77" s="17"/>
      <c r="AE77" s="17"/>
    </row>
    <row r="78" spans="1:31" s="21" customFormat="1" ht="16" customHeight="1" x14ac:dyDescent="0.45">
      <c r="A78" s="139" t="s">
        <v>272</v>
      </c>
      <c r="B78" s="2">
        <v>45660</v>
      </c>
      <c r="C78" s="3"/>
      <c r="D78" s="4" t="s">
        <v>226</v>
      </c>
      <c r="E78" s="5" t="s">
        <v>3</v>
      </c>
      <c r="F78" s="5"/>
      <c r="G78" s="5" t="s">
        <v>1</v>
      </c>
      <c r="H78" s="19" t="s">
        <v>237</v>
      </c>
      <c r="I78" s="19"/>
      <c r="J78" s="19"/>
      <c r="K78" s="20"/>
      <c r="L78" s="6">
        <v>3</v>
      </c>
      <c r="M78" s="7">
        <v>30</v>
      </c>
      <c r="N78" s="8"/>
      <c r="O78" s="9"/>
      <c r="P78" s="10"/>
      <c r="Q78" s="11"/>
      <c r="R78" s="12">
        <v>18500</v>
      </c>
      <c r="S78" s="12">
        <f t="shared" si="8"/>
        <v>555000</v>
      </c>
      <c r="T78" s="13"/>
      <c r="U78" s="14"/>
      <c r="V78" s="15"/>
      <c r="W78" s="16"/>
      <c r="X78" s="12"/>
      <c r="Y78" s="17"/>
      <c r="Z78" s="18">
        <f t="shared" si="7"/>
        <v>-555000</v>
      </c>
      <c r="AA78" s="17"/>
      <c r="AB78" s="17"/>
      <c r="AC78" s="17"/>
      <c r="AD78" s="17"/>
      <c r="AE78" s="17"/>
    </row>
    <row r="79" spans="1:31" s="21" customFormat="1" ht="16" customHeight="1" x14ac:dyDescent="0.45">
      <c r="A79" s="139" t="s">
        <v>272</v>
      </c>
      <c r="B79" s="2">
        <v>45671</v>
      </c>
      <c r="C79" s="3"/>
      <c r="D79" s="4" t="s">
        <v>0</v>
      </c>
      <c r="E79" s="5" t="s">
        <v>3</v>
      </c>
      <c r="F79" s="5"/>
      <c r="G79" s="5" t="s">
        <v>17</v>
      </c>
      <c r="H79" s="19" t="s">
        <v>2</v>
      </c>
      <c r="I79" s="19"/>
      <c r="J79" s="19"/>
      <c r="K79" s="20"/>
      <c r="L79" s="6">
        <v>5</v>
      </c>
      <c r="M79" s="7">
        <v>90</v>
      </c>
      <c r="N79" s="8"/>
      <c r="O79" s="9"/>
      <c r="P79" s="10"/>
      <c r="Q79" s="11"/>
      <c r="R79" s="12">
        <v>3800</v>
      </c>
      <c r="S79" s="12">
        <f t="shared" si="8"/>
        <v>342000</v>
      </c>
      <c r="T79" s="13"/>
      <c r="U79" s="14"/>
      <c r="V79" s="15"/>
      <c r="W79" s="16"/>
      <c r="X79" s="12"/>
      <c r="Y79" s="17"/>
      <c r="Z79" s="18">
        <f t="shared" si="7"/>
        <v>-342000</v>
      </c>
      <c r="AA79" s="17"/>
      <c r="AB79" s="17"/>
      <c r="AC79" s="17"/>
      <c r="AD79" s="17"/>
      <c r="AE79" s="17"/>
    </row>
    <row r="80" spans="1:31" ht="16" customHeight="1" x14ac:dyDescent="0.45">
      <c r="A80" s="139" t="s">
        <v>272</v>
      </c>
      <c r="B80" s="2">
        <v>45672</v>
      </c>
      <c r="D80" s="4" t="s">
        <v>0</v>
      </c>
      <c r="E80" s="5" t="s">
        <v>3</v>
      </c>
      <c r="G80" s="5" t="s">
        <v>1</v>
      </c>
      <c r="H80" s="19" t="s">
        <v>2</v>
      </c>
      <c r="L80" s="6">
        <v>6</v>
      </c>
      <c r="M80" s="7">
        <v>108</v>
      </c>
      <c r="O80" s="9" t="s">
        <v>60</v>
      </c>
      <c r="R80" s="12">
        <v>3800</v>
      </c>
      <c r="S80" s="12">
        <f t="shared" si="8"/>
        <v>410400</v>
      </c>
      <c r="Z80" s="18">
        <f t="shared" si="7"/>
        <v>-410400</v>
      </c>
    </row>
    <row r="81" spans="1:31" ht="16" customHeight="1" x14ac:dyDescent="0.45">
      <c r="A81" s="139" t="s">
        <v>272</v>
      </c>
      <c r="B81" s="2">
        <v>45680</v>
      </c>
      <c r="D81" s="4" t="s">
        <v>0</v>
      </c>
      <c r="E81" s="5" t="s">
        <v>3</v>
      </c>
      <c r="G81" s="5" t="s">
        <v>1</v>
      </c>
      <c r="H81" s="19" t="s">
        <v>2</v>
      </c>
      <c r="K81" s="73"/>
      <c r="L81" s="6">
        <v>24</v>
      </c>
      <c r="M81" s="7">
        <v>432</v>
      </c>
      <c r="R81" s="12">
        <v>3800</v>
      </c>
      <c r="S81" s="12">
        <f t="shared" si="8"/>
        <v>1641600</v>
      </c>
      <c r="Z81" s="18">
        <f t="shared" si="7"/>
        <v>-1641600</v>
      </c>
    </row>
    <row r="82" spans="1:31" ht="16" customHeight="1" x14ac:dyDescent="0.45">
      <c r="A82" s="139" t="s">
        <v>272</v>
      </c>
      <c r="B82" s="2">
        <v>45673</v>
      </c>
      <c r="D82" s="4" t="s">
        <v>3</v>
      </c>
      <c r="E82" s="5" t="s">
        <v>52</v>
      </c>
      <c r="G82" s="5" t="s">
        <v>1</v>
      </c>
      <c r="H82" s="19" t="s">
        <v>2</v>
      </c>
      <c r="I82" s="19" t="s">
        <v>279</v>
      </c>
      <c r="J82" s="19" t="s">
        <v>169</v>
      </c>
      <c r="K82" s="73">
        <v>23</v>
      </c>
      <c r="L82" s="6">
        <v>10</v>
      </c>
      <c r="M82" s="7">
        <v>117.7</v>
      </c>
      <c r="N82" s="8">
        <v>1662</v>
      </c>
      <c r="R82" s="12">
        <v>550</v>
      </c>
      <c r="S82" s="12">
        <f>N82*R82</f>
        <v>914100</v>
      </c>
      <c r="Z82" s="18">
        <f t="shared" si="7"/>
        <v>-914100</v>
      </c>
    </row>
    <row r="83" spans="1:31" ht="16" customHeight="1" x14ac:dyDescent="0.45">
      <c r="A83" s="139" t="s">
        <v>272</v>
      </c>
      <c r="B83" s="23">
        <v>45678</v>
      </c>
      <c r="C83" s="24"/>
      <c r="D83" s="25" t="s">
        <v>10</v>
      </c>
      <c r="E83" s="26" t="s">
        <v>19</v>
      </c>
      <c r="F83" s="26"/>
      <c r="G83" s="26" t="s">
        <v>19</v>
      </c>
      <c r="H83" s="27" t="s">
        <v>20</v>
      </c>
      <c r="I83" s="27" t="s">
        <v>18</v>
      </c>
      <c r="J83" s="27"/>
      <c r="K83" s="28"/>
      <c r="L83" s="29">
        <v>3</v>
      </c>
      <c r="M83" s="30"/>
      <c r="N83" s="31"/>
      <c r="O83" s="32">
        <v>2201</v>
      </c>
      <c r="P83" s="91"/>
      <c r="Q83" s="92"/>
      <c r="R83" s="93">
        <v>1850</v>
      </c>
      <c r="S83" s="93">
        <f t="shared" ref="S83:S93" si="9">O83*R83</f>
        <v>4071850</v>
      </c>
      <c r="T83" s="33"/>
      <c r="U83" s="34"/>
      <c r="V83" s="35">
        <v>3595</v>
      </c>
      <c r="W83" s="36">
        <f t="shared" ref="W83:W92" si="10">O83*V83</f>
        <v>7912595</v>
      </c>
      <c r="X83" s="93"/>
      <c r="Y83" s="21"/>
      <c r="Z83" s="18">
        <f t="shared" si="7"/>
        <v>3840745</v>
      </c>
    </row>
    <row r="84" spans="1:31" s="21" customFormat="1" ht="16" customHeight="1" x14ac:dyDescent="0.45">
      <c r="A84" s="139" t="s">
        <v>272</v>
      </c>
      <c r="B84" s="23">
        <v>45678</v>
      </c>
      <c r="C84" s="24"/>
      <c r="D84" s="25" t="s">
        <v>10</v>
      </c>
      <c r="E84" s="26" t="s">
        <v>19</v>
      </c>
      <c r="F84" s="26"/>
      <c r="G84" s="26" t="s">
        <v>19</v>
      </c>
      <c r="H84" s="27" t="s">
        <v>20</v>
      </c>
      <c r="I84" s="27" t="s">
        <v>65</v>
      </c>
      <c r="J84" s="27"/>
      <c r="K84" s="28"/>
      <c r="L84" s="29">
        <v>4</v>
      </c>
      <c r="M84" s="30"/>
      <c r="N84" s="31"/>
      <c r="O84" s="32">
        <v>3149</v>
      </c>
      <c r="P84" s="91"/>
      <c r="Q84" s="92"/>
      <c r="R84" s="93">
        <v>1850</v>
      </c>
      <c r="S84" s="93">
        <f t="shared" si="9"/>
        <v>5825650</v>
      </c>
      <c r="T84" s="33"/>
      <c r="U84" s="34"/>
      <c r="V84" s="35">
        <v>3595</v>
      </c>
      <c r="W84" s="36">
        <f t="shared" si="10"/>
        <v>11320655</v>
      </c>
      <c r="X84" s="93"/>
      <c r="Z84" s="18">
        <f t="shared" si="7"/>
        <v>5495005</v>
      </c>
      <c r="AA84" s="17"/>
      <c r="AB84" s="17"/>
      <c r="AC84" s="17"/>
      <c r="AD84" s="17"/>
      <c r="AE84" s="17"/>
    </row>
    <row r="85" spans="1:31" ht="16" customHeight="1" x14ac:dyDescent="0.45">
      <c r="A85" s="139" t="s">
        <v>272</v>
      </c>
      <c r="B85" s="23">
        <v>45678</v>
      </c>
      <c r="C85" s="24"/>
      <c r="D85" s="25" t="s">
        <v>10</v>
      </c>
      <c r="E85" s="26" t="s">
        <v>19</v>
      </c>
      <c r="F85" s="26"/>
      <c r="G85" s="26" t="s">
        <v>19</v>
      </c>
      <c r="H85" s="27" t="s">
        <v>20</v>
      </c>
      <c r="I85" s="27" t="s">
        <v>16</v>
      </c>
      <c r="J85" s="27"/>
      <c r="K85" s="28"/>
      <c r="L85" s="29">
        <v>4</v>
      </c>
      <c r="M85" s="30"/>
      <c r="N85" s="31"/>
      <c r="O85" s="32">
        <v>3304</v>
      </c>
      <c r="P85" s="91"/>
      <c r="Q85" s="92"/>
      <c r="R85" s="93">
        <v>1850</v>
      </c>
      <c r="S85" s="93">
        <f t="shared" si="9"/>
        <v>6112400</v>
      </c>
      <c r="T85" s="33"/>
      <c r="U85" s="34"/>
      <c r="V85" s="35">
        <v>3595</v>
      </c>
      <c r="W85" s="36">
        <f t="shared" si="10"/>
        <v>11877880</v>
      </c>
      <c r="X85" s="93"/>
      <c r="Y85" s="21"/>
      <c r="Z85" s="18">
        <f t="shared" si="7"/>
        <v>5765480</v>
      </c>
    </row>
    <row r="86" spans="1:31" s="21" customFormat="1" ht="16" customHeight="1" x14ac:dyDescent="0.45">
      <c r="A86" s="139" t="s">
        <v>272</v>
      </c>
      <c r="B86" s="23">
        <v>45678</v>
      </c>
      <c r="C86" s="24"/>
      <c r="D86" s="25" t="s">
        <v>10</v>
      </c>
      <c r="E86" s="26" t="s">
        <v>19</v>
      </c>
      <c r="F86" s="26"/>
      <c r="G86" s="26" t="s">
        <v>19</v>
      </c>
      <c r="H86" s="27" t="s">
        <v>79</v>
      </c>
      <c r="I86" s="27" t="s">
        <v>177</v>
      </c>
      <c r="J86" s="27"/>
      <c r="K86" s="28"/>
      <c r="L86" s="29">
        <v>5</v>
      </c>
      <c r="M86" s="30"/>
      <c r="N86" s="31"/>
      <c r="O86" s="32">
        <v>3151</v>
      </c>
      <c r="P86" s="91"/>
      <c r="Q86" s="92"/>
      <c r="R86" s="93">
        <v>1850</v>
      </c>
      <c r="S86" s="93">
        <f t="shared" si="9"/>
        <v>5829350</v>
      </c>
      <c r="T86" s="33"/>
      <c r="U86" s="34"/>
      <c r="V86" s="35">
        <v>3750</v>
      </c>
      <c r="W86" s="36">
        <f t="shared" si="10"/>
        <v>11816250</v>
      </c>
      <c r="X86" s="93"/>
      <c r="Z86" s="18">
        <f t="shared" si="7"/>
        <v>5986900</v>
      </c>
      <c r="AA86" s="17"/>
      <c r="AB86" s="17"/>
      <c r="AC86" s="17"/>
      <c r="AD86" s="17"/>
      <c r="AE86" s="17"/>
    </row>
    <row r="87" spans="1:31" ht="16" customHeight="1" x14ac:dyDescent="0.45">
      <c r="A87" s="139" t="s">
        <v>272</v>
      </c>
      <c r="B87" s="2">
        <v>45665</v>
      </c>
      <c r="C87" s="24"/>
      <c r="D87" s="4" t="s">
        <v>30</v>
      </c>
      <c r="E87" s="5" t="s">
        <v>31</v>
      </c>
      <c r="G87" s="5" t="s">
        <v>31</v>
      </c>
      <c r="H87" s="19" t="s">
        <v>103</v>
      </c>
      <c r="O87" s="9">
        <v>970</v>
      </c>
      <c r="P87" s="141"/>
      <c r="Q87" s="95"/>
      <c r="R87" s="12">
        <v>1410</v>
      </c>
      <c r="S87" s="12">
        <f t="shared" si="9"/>
        <v>1367700</v>
      </c>
      <c r="T87" s="33"/>
      <c r="U87" s="34"/>
      <c r="V87" s="15">
        <v>2900</v>
      </c>
      <c r="W87" s="16">
        <f t="shared" si="10"/>
        <v>2813000</v>
      </c>
      <c r="Z87" s="18">
        <f t="shared" si="7"/>
        <v>1445300</v>
      </c>
    </row>
    <row r="88" spans="1:31" ht="16" customHeight="1" x14ac:dyDescent="0.45">
      <c r="A88" s="139" t="s">
        <v>272</v>
      </c>
      <c r="B88" s="2">
        <v>45665</v>
      </c>
      <c r="C88" s="24"/>
      <c r="D88" s="4" t="s">
        <v>30</v>
      </c>
      <c r="E88" s="5" t="s">
        <v>31</v>
      </c>
      <c r="G88" s="5" t="s">
        <v>31</v>
      </c>
      <c r="H88" s="19" t="s">
        <v>96</v>
      </c>
      <c r="L88" s="6">
        <v>6</v>
      </c>
      <c r="O88" s="9">
        <v>2000</v>
      </c>
      <c r="P88" s="141"/>
      <c r="Q88" s="95"/>
      <c r="R88" s="12">
        <v>1113</v>
      </c>
      <c r="S88" s="12">
        <f t="shared" si="9"/>
        <v>2226000</v>
      </c>
      <c r="T88" s="33"/>
      <c r="U88" s="34"/>
      <c r="V88" s="15">
        <v>2200</v>
      </c>
      <c r="W88" s="16">
        <f t="shared" si="10"/>
        <v>4400000</v>
      </c>
      <c r="Z88" s="18">
        <f t="shared" si="7"/>
        <v>2174000</v>
      </c>
    </row>
    <row r="89" spans="1:31" ht="16" customHeight="1" x14ac:dyDescent="0.45">
      <c r="A89" s="139" t="s">
        <v>272</v>
      </c>
      <c r="B89" s="2">
        <v>45665</v>
      </c>
      <c r="C89" s="24"/>
      <c r="D89" s="4" t="s">
        <v>30</v>
      </c>
      <c r="E89" s="5" t="s">
        <v>31</v>
      </c>
      <c r="G89" s="5" t="s">
        <v>31</v>
      </c>
      <c r="H89" s="19" t="s">
        <v>133</v>
      </c>
      <c r="L89" s="6">
        <v>6</v>
      </c>
      <c r="O89" s="9">
        <v>4485</v>
      </c>
      <c r="P89" s="141"/>
      <c r="Q89" s="95"/>
      <c r="R89" s="12">
        <v>1470</v>
      </c>
      <c r="S89" s="12">
        <f t="shared" si="9"/>
        <v>6592950</v>
      </c>
      <c r="T89" s="33"/>
      <c r="U89" s="34"/>
      <c r="V89" s="15">
        <v>2450</v>
      </c>
      <c r="W89" s="16">
        <f t="shared" si="10"/>
        <v>10988250</v>
      </c>
      <c r="Z89" s="18">
        <f t="shared" si="7"/>
        <v>4395300</v>
      </c>
    </row>
    <row r="90" spans="1:31" ht="16" customHeight="1" x14ac:dyDescent="0.45">
      <c r="A90" s="139" t="s">
        <v>272</v>
      </c>
      <c r="B90" s="2">
        <v>45665</v>
      </c>
      <c r="C90" s="24"/>
      <c r="D90" s="4" t="s">
        <v>30</v>
      </c>
      <c r="E90" s="5" t="s">
        <v>31</v>
      </c>
      <c r="G90" s="5" t="s">
        <v>31</v>
      </c>
      <c r="H90" s="19" t="s">
        <v>113</v>
      </c>
      <c r="L90" s="6">
        <v>6</v>
      </c>
      <c r="O90" s="9">
        <v>5800</v>
      </c>
      <c r="P90" s="141"/>
      <c r="Q90" s="95"/>
      <c r="R90" s="12">
        <v>1230</v>
      </c>
      <c r="S90" s="12">
        <f t="shared" si="9"/>
        <v>7134000</v>
      </c>
      <c r="T90" s="33"/>
      <c r="U90" s="34"/>
      <c r="V90" s="15">
        <v>1350</v>
      </c>
      <c r="W90" s="16">
        <f t="shared" si="10"/>
        <v>7830000</v>
      </c>
      <c r="Z90" s="18">
        <f t="shared" si="7"/>
        <v>696000</v>
      </c>
    </row>
    <row r="91" spans="1:31" ht="16" customHeight="1" x14ac:dyDescent="0.45">
      <c r="A91" s="139" t="s">
        <v>272</v>
      </c>
      <c r="B91" s="2">
        <v>45677</v>
      </c>
      <c r="C91" s="24"/>
      <c r="D91" s="4" t="s">
        <v>30</v>
      </c>
      <c r="E91" s="76" t="s">
        <v>31</v>
      </c>
      <c r="F91" s="76"/>
      <c r="G91" s="76" t="s">
        <v>31</v>
      </c>
      <c r="H91" s="19" t="s">
        <v>96</v>
      </c>
      <c r="I91" s="17"/>
      <c r="J91" s="17"/>
      <c r="K91" s="78"/>
      <c r="L91" s="111">
        <v>5</v>
      </c>
      <c r="M91" s="79"/>
      <c r="N91" s="80"/>
      <c r="O91" s="81">
        <v>2500</v>
      </c>
      <c r="P91" s="142"/>
      <c r="Q91" s="87"/>
      <c r="R91" s="12">
        <v>1113</v>
      </c>
      <c r="S91" s="12">
        <f t="shared" si="9"/>
        <v>2782500</v>
      </c>
      <c r="T91" s="94"/>
      <c r="U91" s="102"/>
      <c r="V91" s="84">
        <v>2200</v>
      </c>
      <c r="W91" s="85">
        <f t="shared" si="10"/>
        <v>5500000</v>
      </c>
      <c r="Z91" s="18">
        <f t="shared" si="7"/>
        <v>2717500</v>
      </c>
    </row>
    <row r="92" spans="1:31" ht="16" customHeight="1" x14ac:dyDescent="0.45">
      <c r="A92" s="139" t="s">
        <v>272</v>
      </c>
      <c r="B92" s="2">
        <v>45677</v>
      </c>
      <c r="C92" s="24"/>
      <c r="D92" s="4" t="s">
        <v>30</v>
      </c>
      <c r="E92" s="5" t="s">
        <v>31</v>
      </c>
      <c r="G92" s="5" t="s">
        <v>31</v>
      </c>
      <c r="H92" s="19" t="s">
        <v>133</v>
      </c>
      <c r="L92" s="6">
        <v>1</v>
      </c>
      <c r="O92" s="9">
        <v>700</v>
      </c>
      <c r="P92" s="141"/>
      <c r="Q92" s="95"/>
      <c r="R92" s="12">
        <v>1470</v>
      </c>
      <c r="S92" s="12">
        <f t="shared" si="9"/>
        <v>1029000</v>
      </c>
      <c r="T92" s="33"/>
      <c r="U92" s="34"/>
      <c r="V92" s="15">
        <v>2450</v>
      </c>
      <c r="W92" s="16">
        <f t="shared" si="10"/>
        <v>1715000</v>
      </c>
      <c r="Z92" s="18">
        <f t="shared" si="7"/>
        <v>686000</v>
      </c>
    </row>
    <row r="93" spans="1:31" ht="16" customHeight="1" x14ac:dyDescent="0.45">
      <c r="A93" s="139" t="s">
        <v>272</v>
      </c>
      <c r="B93" s="2">
        <v>46001</v>
      </c>
      <c r="D93" s="4" t="s">
        <v>30</v>
      </c>
      <c r="E93" s="5" t="s">
        <v>31</v>
      </c>
      <c r="G93" s="5" t="s">
        <v>31</v>
      </c>
      <c r="H93" s="19" t="s">
        <v>304</v>
      </c>
      <c r="O93" s="9">
        <v>-130</v>
      </c>
      <c r="P93" s="141"/>
      <c r="Q93" s="95"/>
      <c r="R93" s="12">
        <v>1230</v>
      </c>
      <c r="S93" s="12">
        <f t="shared" si="9"/>
        <v>-159900</v>
      </c>
      <c r="V93" s="15" t="s">
        <v>305</v>
      </c>
      <c r="Z93" s="18">
        <f t="shared" si="7"/>
        <v>159900</v>
      </c>
    </row>
    <row r="94" spans="1:31" ht="16" customHeight="1" x14ac:dyDescent="0.45">
      <c r="A94" s="139" t="s">
        <v>272</v>
      </c>
      <c r="B94" s="2">
        <v>46022</v>
      </c>
      <c r="C94" s="24"/>
      <c r="E94" s="5" t="s">
        <v>31</v>
      </c>
      <c r="G94" s="5" t="s">
        <v>31</v>
      </c>
      <c r="H94" s="19" t="s">
        <v>188</v>
      </c>
      <c r="K94" s="73"/>
      <c r="P94" s="141"/>
      <c r="Q94" s="95"/>
      <c r="T94" s="33"/>
      <c r="U94" s="34"/>
      <c r="W94" s="16">
        <v>-1317825</v>
      </c>
      <c r="Z94" s="18">
        <f t="shared" si="7"/>
        <v>-1317825</v>
      </c>
    </row>
    <row r="95" spans="1:31" ht="16" customHeight="1" x14ac:dyDescent="0.45">
      <c r="A95" s="139" t="s">
        <v>272</v>
      </c>
      <c r="B95" s="2">
        <v>45667</v>
      </c>
      <c r="D95" s="4" t="s">
        <v>3</v>
      </c>
      <c r="E95" s="5" t="s">
        <v>109</v>
      </c>
      <c r="G95" s="5" t="s">
        <v>1</v>
      </c>
      <c r="H95" s="19" t="s">
        <v>2</v>
      </c>
      <c r="I95" s="19" t="s">
        <v>215</v>
      </c>
      <c r="L95" s="6">
        <v>1</v>
      </c>
      <c r="M95" s="7">
        <v>11.2</v>
      </c>
      <c r="N95" s="8">
        <v>175</v>
      </c>
      <c r="R95" s="12">
        <v>500</v>
      </c>
      <c r="S95" s="12">
        <v>110000</v>
      </c>
      <c r="Z95" s="18">
        <f t="shared" si="7"/>
        <v>-110000</v>
      </c>
    </row>
    <row r="96" spans="1:31" ht="16" customHeight="1" x14ac:dyDescent="0.45">
      <c r="A96" s="139" t="s">
        <v>272</v>
      </c>
      <c r="B96" s="2">
        <v>45680</v>
      </c>
      <c r="D96" s="4" t="s">
        <v>3</v>
      </c>
      <c r="E96" s="5" t="s">
        <v>109</v>
      </c>
      <c r="G96" s="5" t="s">
        <v>1</v>
      </c>
      <c r="H96" s="19" t="s">
        <v>306</v>
      </c>
      <c r="I96" s="19" t="s">
        <v>307</v>
      </c>
      <c r="K96" s="73"/>
      <c r="L96" s="6">
        <v>3</v>
      </c>
      <c r="M96" s="7">
        <v>3.1</v>
      </c>
      <c r="N96" s="8">
        <v>94</v>
      </c>
      <c r="R96" s="12">
        <v>500</v>
      </c>
      <c r="S96" s="12">
        <v>110000</v>
      </c>
      <c r="Z96" s="18">
        <f t="shared" si="7"/>
        <v>-110000</v>
      </c>
    </row>
    <row r="97" spans="1:31" ht="16" customHeight="1" x14ac:dyDescent="0.45">
      <c r="A97" s="139" t="s">
        <v>272</v>
      </c>
      <c r="B97" s="2">
        <v>45688</v>
      </c>
      <c r="D97" s="4" t="s">
        <v>27</v>
      </c>
      <c r="H97" s="19" t="s">
        <v>201</v>
      </c>
      <c r="M97" s="7">
        <v>2226.1999999999998</v>
      </c>
      <c r="P97" s="10">
        <v>2390</v>
      </c>
      <c r="Q97" s="11">
        <f>M97*P97</f>
        <v>5320618</v>
      </c>
      <c r="Z97" s="18">
        <f t="shared" si="7"/>
        <v>-5320618</v>
      </c>
    </row>
    <row r="98" spans="1:31" ht="16" customHeight="1" x14ac:dyDescent="0.45">
      <c r="A98" s="139" t="s">
        <v>272</v>
      </c>
      <c r="B98" s="2">
        <v>45688</v>
      </c>
      <c r="D98" s="4" t="s">
        <v>159</v>
      </c>
      <c r="G98" s="5" t="s">
        <v>28</v>
      </c>
      <c r="H98" s="19" t="s">
        <v>202</v>
      </c>
      <c r="K98" s="73"/>
      <c r="N98" s="8">
        <v>11627</v>
      </c>
      <c r="V98" s="15">
        <v>130</v>
      </c>
      <c r="W98" s="16">
        <f>N98*V98</f>
        <v>1511510</v>
      </c>
      <c r="Z98" s="18">
        <f t="shared" si="7"/>
        <v>1511510</v>
      </c>
    </row>
    <row r="99" spans="1:31" ht="16" customHeight="1" x14ac:dyDescent="0.45">
      <c r="A99" s="1">
        <v>2502</v>
      </c>
      <c r="B99" s="2">
        <v>45713</v>
      </c>
      <c r="D99" s="4" t="s">
        <v>308</v>
      </c>
      <c r="E99" s="5" t="s">
        <v>0</v>
      </c>
      <c r="G99" s="5" t="s">
        <v>1</v>
      </c>
      <c r="H99" s="19" t="s">
        <v>309</v>
      </c>
      <c r="L99" s="6">
        <v>240</v>
      </c>
      <c r="M99" s="7">
        <v>6648</v>
      </c>
      <c r="P99" s="10">
        <v>3635</v>
      </c>
      <c r="Q99" s="11">
        <f>M99*P99</f>
        <v>24165480</v>
      </c>
      <c r="Z99" s="18">
        <f t="shared" si="7"/>
        <v>-24165480</v>
      </c>
    </row>
    <row r="100" spans="1:31" s="21" customFormat="1" ht="16" customHeight="1" x14ac:dyDescent="0.45">
      <c r="A100" s="1">
        <v>2502</v>
      </c>
      <c r="B100" s="2">
        <v>45691</v>
      </c>
      <c r="C100" s="3"/>
      <c r="D100" s="4" t="s">
        <v>0</v>
      </c>
      <c r="E100" s="76" t="s">
        <v>3</v>
      </c>
      <c r="F100" s="76"/>
      <c r="G100" s="76" t="s">
        <v>1</v>
      </c>
      <c r="H100" s="17" t="s">
        <v>2</v>
      </c>
      <c r="I100" s="17"/>
      <c r="J100" s="17"/>
      <c r="K100" s="78"/>
      <c r="L100" s="111">
        <v>13</v>
      </c>
      <c r="M100" s="79">
        <v>234</v>
      </c>
      <c r="N100" s="80"/>
      <c r="O100" s="81"/>
      <c r="P100" s="114"/>
      <c r="Q100" s="105"/>
      <c r="R100" s="12">
        <v>3800</v>
      </c>
      <c r="S100" s="12">
        <f t="shared" ref="S100:S110" si="11">M100*R100</f>
        <v>889200</v>
      </c>
      <c r="T100" s="82"/>
      <c r="U100" s="83"/>
      <c r="V100" s="84"/>
      <c r="W100" s="85"/>
      <c r="X100" s="12"/>
      <c r="Y100" s="17"/>
      <c r="Z100" s="18">
        <f t="shared" si="7"/>
        <v>-889200</v>
      </c>
      <c r="AA100" s="17"/>
      <c r="AB100" s="17"/>
      <c r="AC100" s="17"/>
      <c r="AD100" s="17"/>
      <c r="AE100" s="17"/>
    </row>
    <row r="101" spans="1:31" s="21" customFormat="1" ht="16" customHeight="1" x14ac:dyDescent="0.45">
      <c r="A101" s="1">
        <v>2502</v>
      </c>
      <c r="B101" s="2">
        <v>45692</v>
      </c>
      <c r="C101" s="3"/>
      <c r="D101" s="4" t="s">
        <v>0</v>
      </c>
      <c r="E101" s="76" t="s">
        <v>3</v>
      </c>
      <c r="F101" s="76"/>
      <c r="G101" s="76" t="s">
        <v>1</v>
      </c>
      <c r="H101" s="17" t="s">
        <v>2</v>
      </c>
      <c r="I101" s="17"/>
      <c r="J101" s="17"/>
      <c r="K101" s="78"/>
      <c r="L101" s="111">
        <v>1</v>
      </c>
      <c r="M101" s="79">
        <v>18</v>
      </c>
      <c r="N101" s="80"/>
      <c r="O101" s="81"/>
      <c r="P101" s="114"/>
      <c r="Q101" s="105"/>
      <c r="R101" s="12">
        <v>3800</v>
      </c>
      <c r="S101" s="12">
        <f t="shared" si="11"/>
        <v>68400</v>
      </c>
      <c r="T101" s="82"/>
      <c r="U101" s="83"/>
      <c r="V101" s="84"/>
      <c r="W101" s="85"/>
      <c r="X101" s="12"/>
      <c r="Y101" s="17"/>
      <c r="Z101" s="18">
        <f t="shared" si="7"/>
        <v>-68400</v>
      </c>
      <c r="AA101" s="17"/>
      <c r="AB101" s="17"/>
      <c r="AC101" s="17"/>
      <c r="AD101" s="17"/>
      <c r="AE101" s="17"/>
    </row>
    <row r="102" spans="1:31" s="21" customFormat="1" ht="16" customHeight="1" x14ac:dyDescent="0.45">
      <c r="A102" s="1">
        <v>2502</v>
      </c>
      <c r="B102" s="2">
        <v>45699</v>
      </c>
      <c r="C102" s="3"/>
      <c r="D102" s="4" t="s">
        <v>0</v>
      </c>
      <c r="E102" s="76" t="s">
        <v>3</v>
      </c>
      <c r="F102" s="76"/>
      <c r="G102" s="76" t="s">
        <v>1</v>
      </c>
      <c r="H102" s="17" t="s">
        <v>2</v>
      </c>
      <c r="I102" s="17"/>
      <c r="J102" s="17"/>
      <c r="K102" s="113"/>
      <c r="L102" s="111">
        <v>6</v>
      </c>
      <c r="M102" s="79">
        <v>108</v>
      </c>
      <c r="N102" s="80"/>
      <c r="O102" s="81"/>
      <c r="P102" s="114"/>
      <c r="Q102" s="105"/>
      <c r="R102" s="12">
        <v>3800</v>
      </c>
      <c r="S102" s="12">
        <f t="shared" si="11"/>
        <v>410400</v>
      </c>
      <c r="T102" s="82"/>
      <c r="U102" s="83"/>
      <c r="V102" s="84"/>
      <c r="W102" s="85"/>
      <c r="X102" s="12"/>
      <c r="Y102" s="17"/>
      <c r="Z102" s="18">
        <f t="shared" si="7"/>
        <v>-410400</v>
      </c>
      <c r="AA102" s="17"/>
      <c r="AB102" s="17"/>
      <c r="AC102" s="17"/>
      <c r="AD102" s="17"/>
      <c r="AE102" s="17"/>
    </row>
    <row r="103" spans="1:31" s="39" customFormat="1" ht="16" customHeight="1" x14ac:dyDescent="0.45">
      <c r="A103" s="1">
        <v>2502</v>
      </c>
      <c r="B103" s="2">
        <v>45706</v>
      </c>
      <c r="C103" s="3"/>
      <c r="D103" s="4" t="s">
        <v>0</v>
      </c>
      <c r="E103" s="76" t="s">
        <v>3</v>
      </c>
      <c r="F103" s="76"/>
      <c r="G103" s="76" t="s">
        <v>1</v>
      </c>
      <c r="H103" s="17" t="s">
        <v>2</v>
      </c>
      <c r="I103" s="17"/>
      <c r="J103" s="17"/>
      <c r="K103" s="78"/>
      <c r="L103" s="111">
        <v>18</v>
      </c>
      <c r="M103" s="79">
        <v>324</v>
      </c>
      <c r="N103" s="80"/>
      <c r="O103" s="81"/>
      <c r="P103" s="114"/>
      <c r="Q103" s="105"/>
      <c r="R103" s="12">
        <v>3800</v>
      </c>
      <c r="S103" s="12">
        <f t="shared" si="11"/>
        <v>1231200</v>
      </c>
      <c r="T103" s="82"/>
      <c r="U103" s="83"/>
      <c r="V103" s="84"/>
      <c r="W103" s="85"/>
      <c r="X103" s="12"/>
      <c r="Y103" s="17"/>
      <c r="Z103" s="18">
        <f t="shared" si="7"/>
        <v>-1231200</v>
      </c>
      <c r="AA103" s="17"/>
      <c r="AB103" s="17"/>
      <c r="AC103" s="17"/>
      <c r="AD103" s="17"/>
      <c r="AE103" s="17"/>
    </row>
    <row r="104" spans="1:31" s="39" customFormat="1" ht="16" customHeight="1" x14ac:dyDescent="0.45">
      <c r="A104" s="1">
        <v>2502</v>
      </c>
      <c r="B104" s="2">
        <v>45714</v>
      </c>
      <c r="C104" s="3"/>
      <c r="D104" s="4" t="s">
        <v>226</v>
      </c>
      <c r="E104" s="76" t="s">
        <v>3</v>
      </c>
      <c r="F104" s="76"/>
      <c r="G104" s="76" t="s">
        <v>19</v>
      </c>
      <c r="H104" s="17" t="s">
        <v>227</v>
      </c>
      <c r="I104" s="17"/>
      <c r="J104" s="17"/>
      <c r="K104" s="78"/>
      <c r="L104" s="111">
        <v>16</v>
      </c>
      <c r="M104" s="79">
        <v>240</v>
      </c>
      <c r="N104" s="80"/>
      <c r="O104" s="81"/>
      <c r="P104" s="114"/>
      <c r="Q104" s="105"/>
      <c r="R104" s="12">
        <v>12500</v>
      </c>
      <c r="S104" s="12">
        <f t="shared" si="11"/>
        <v>3000000</v>
      </c>
      <c r="T104" s="82"/>
      <c r="U104" s="83"/>
      <c r="V104" s="84"/>
      <c r="W104" s="85"/>
      <c r="X104" s="12"/>
      <c r="Y104" s="17"/>
      <c r="Z104" s="18">
        <f t="shared" si="7"/>
        <v>-3000000</v>
      </c>
      <c r="AA104" s="17"/>
      <c r="AB104" s="17"/>
      <c r="AC104" s="17"/>
      <c r="AD104" s="17"/>
      <c r="AE104" s="17"/>
    </row>
    <row r="105" spans="1:31" s="39" customFormat="1" ht="16" customHeight="1" x14ac:dyDescent="0.45">
      <c r="A105" s="1">
        <v>2502</v>
      </c>
      <c r="B105" s="2">
        <v>45691</v>
      </c>
      <c r="C105" s="3"/>
      <c r="D105" s="4" t="s">
        <v>198</v>
      </c>
      <c r="E105" s="76" t="s">
        <v>27</v>
      </c>
      <c r="F105" s="76"/>
      <c r="G105" s="76" t="s">
        <v>28</v>
      </c>
      <c r="H105" s="19" t="s">
        <v>310</v>
      </c>
      <c r="I105" s="17"/>
      <c r="J105" s="17"/>
      <c r="K105" s="78"/>
      <c r="L105" s="111">
        <v>2</v>
      </c>
      <c r="M105" s="79">
        <v>557.48</v>
      </c>
      <c r="N105" s="80"/>
      <c r="O105" s="81"/>
      <c r="P105" s="114"/>
      <c r="Q105" s="105"/>
      <c r="R105" s="12">
        <v>1100</v>
      </c>
      <c r="S105" s="12">
        <f t="shared" si="11"/>
        <v>613228</v>
      </c>
      <c r="T105" s="82"/>
      <c r="U105" s="83"/>
      <c r="V105" s="84"/>
      <c r="W105" s="85"/>
      <c r="X105" s="12"/>
      <c r="Y105" s="17"/>
      <c r="Z105" s="18">
        <f t="shared" si="7"/>
        <v>-613228</v>
      </c>
      <c r="AA105" s="17"/>
      <c r="AB105" s="17"/>
      <c r="AC105" s="17"/>
      <c r="AD105" s="17"/>
      <c r="AE105" s="17"/>
    </row>
    <row r="106" spans="1:31" s="39" customFormat="1" ht="16" customHeight="1" x14ac:dyDescent="0.45">
      <c r="A106" s="1">
        <v>2502</v>
      </c>
      <c r="B106" s="2">
        <v>45691</v>
      </c>
      <c r="C106" s="3"/>
      <c r="D106" s="4" t="s">
        <v>198</v>
      </c>
      <c r="E106" s="76" t="s">
        <v>27</v>
      </c>
      <c r="F106" s="76"/>
      <c r="G106" s="76" t="s">
        <v>28</v>
      </c>
      <c r="H106" s="17" t="s">
        <v>294</v>
      </c>
      <c r="I106" s="17">
        <v>3206</v>
      </c>
      <c r="J106" s="17"/>
      <c r="K106" s="78"/>
      <c r="L106" s="111">
        <v>2</v>
      </c>
      <c r="M106" s="79">
        <v>292.2</v>
      </c>
      <c r="N106" s="80"/>
      <c r="O106" s="81"/>
      <c r="P106" s="114"/>
      <c r="Q106" s="105"/>
      <c r="R106" s="12">
        <v>1200</v>
      </c>
      <c r="S106" s="12">
        <f t="shared" si="11"/>
        <v>350640</v>
      </c>
      <c r="T106" s="82"/>
      <c r="U106" s="83"/>
      <c r="V106" s="84"/>
      <c r="W106" s="85"/>
      <c r="X106" s="12"/>
      <c r="Y106" s="17"/>
      <c r="Z106" s="18">
        <f t="shared" si="7"/>
        <v>-350640</v>
      </c>
      <c r="AA106" s="17"/>
      <c r="AB106" s="17"/>
      <c r="AC106" s="17"/>
      <c r="AD106" s="17"/>
      <c r="AE106" s="17"/>
    </row>
    <row r="107" spans="1:31" ht="16" customHeight="1" x14ac:dyDescent="0.45">
      <c r="A107" s="1">
        <v>2502</v>
      </c>
      <c r="B107" s="2">
        <v>45698</v>
      </c>
      <c r="D107" s="4" t="s">
        <v>198</v>
      </c>
      <c r="E107" s="5" t="s">
        <v>27</v>
      </c>
      <c r="G107" s="5" t="s">
        <v>28</v>
      </c>
      <c r="H107" s="19" t="s">
        <v>310</v>
      </c>
      <c r="K107" s="73"/>
      <c r="L107" s="6">
        <v>1</v>
      </c>
      <c r="M107" s="7">
        <v>408.1</v>
      </c>
      <c r="R107" s="12">
        <v>1100</v>
      </c>
      <c r="S107" s="12">
        <f t="shared" si="11"/>
        <v>448910</v>
      </c>
      <c r="Z107" s="18">
        <f t="shared" si="7"/>
        <v>-448910</v>
      </c>
    </row>
    <row r="108" spans="1:31" ht="16" customHeight="1" x14ac:dyDescent="0.45">
      <c r="A108" s="1">
        <v>2502</v>
      </c>
      <c r="B108" s="2">
        <v>45698</v>
      </c>
      <c r="D108" s="4" t="s">
        <v>198</v>
      </c>
      <c r="E108" s="5" t="s">
        <v>27</v>
      </c>
      <c r="G108" s="5" t="s">
        <v>28</v>
      </c>
      <c r="H108" s="19" t="s">
        <v>294</v>
      </c>
      <c r="I108" s="19">
        <v>3206</v>
      </c>
      <c r="K108" s="73"/>
      <c r="L108" s="6">
        <v>2</v>
      </c>
      <c r="M108" s="7">
        <v>449.2</v>
      </c>
      <c r="R108" s="12">
        <v>1200</v>
      </c>
      <c r="S108" s="12">
        <f t="shared" si="11"/>
        <v>539040</v>
      </c>
      <c r="Z108" s="18">
        <f t="shared" si="7"/>
        <v>-539040</v>
      </c>
    </row>
    <row r="109" spans="1:31" ht="16" customHeight="1" x14ac:dyDescent="0.45">
      <c r="A109" s="1">
        <v>2502</v>
      </c>
      <c r="B109" s="2">
        <v>45710</v>
      </c>
      <c r="D109" s="4" t="s">
        <v>198</v>
      </c>
      <c r="E109" s="5" t="s">
        <v>27</v>
      </c>
      <c r="G109" s="5" t="s">
        <v>28</v>
      </c>
      <c r="H109" s="19" t="s">
        <v>294</v>
      </c>
      <c r="I109" s="19">
        <v>3206</v>
      </c>
      <c r="L109" s="6">
        <v>2</v>
      </c>
      <c r="M109" s="7">
        <v>451.2</v>
      </c>
      <c r="R109" s="12">
        <v>1200</v>
      </c>
      <c r="S109" s="12">
        <f t="shared" si="11"/>
        <v>541440</v>
      </c>
      <c r="Z109" s="18">
        <f t="shared" si="7"/>
        <v>-541440</v>
      </c>
    </row>
    <row r="110" spans="1:31" ht="16" customHeight="1" x14ac:dyDescent="0.45">
      <c r="A110" s="1">
        <v>2502</v>
      </c>
      <c r="B110" s="2">
        <v>45710</v>
      </c>
      <c r="D110" s="4" t="s">
        <v>198</v>
      </c>
      <c r="E110" s="5" t="s">
        <v>27</v>
      </c>
      <c r="G110" s="5" t="s">
        <v>28</v>
      </c>
      <c r="H110" s="19" t="s">
        <v>310</v>
      </c>
      <c r="L110" s="6">
        <v>1</v>
      </c>
      <c r="M110" s="7">
        <v>407.1</v>
      </c>
      <c r="R110" s="12">
        <v>1100</v>
      </c>
      <c r="S110" s="12">
        <f t="shared" si="11"/>
        <v>447810</v>
      </c>
      <c r="Z110" s="18">
        <f t="shared" si="7"/>
        <v>-447810</v>
      </c>
    </row>
    <row r="111" spans="1:31" ht="16" customHeight="1" x14ac:dyDescent="0.45">
      <c r="A111" s="1">
        <v>2502</v>
      </c>
      <c r="B111" s="23">
        <v>45713</v>
      </c>
      <c r="C111" s="24"/>
      <c r="D111" s="25" t="s">
        <v>10</v>
      </c>
      <c r="E111" s="26" t="s">
        <v>1</v>
      </c>
      <c r="F111" s="26" t="s">
        <v>311</v>
      </c>
      <c r="G111" s="26" t="s">
        <v>1</v>
      </c>
      <c r="H111" s="27" t="s">
        <v>15</v>
      </c>
      <c r="I111" s="27" t="s">
        <v>21</v>
      </c>
      <c r="J111" s="27"/>
      <c r="K111" s="28"/>
      <c r="L111" s="29">
        <v>2</v>
      </c>
      <c r="M111" s="30"/>
      <c r="N111" s="31"/>
      <c r="O111" s="32">
        <v>1321</v>
      </c>
      <c r="P111" s="91"/>
      <c r="Q111" s="92"/>
      <c r="R111" s="93">
        <v>1850</v>
      </c>
      <c r="S111" s="93">
        <f>O111*R111</f>
        <v>2443850</v>
      </c>
      <c r="T111" s="33"/>
      <c r="U111" s="34"/>
      <c r="V111" s="35">
        <v>3500</v>
      </c>
      <c r="W111" s="36">
        <f>O111*V111</f>
        <v>4623500</v>
      </c>
      <c r="X111" s="93"/>
      <c r="Y111" s="21"/>
      <c r="Z111" s="18">
        <f t="shared" si="7"/>
        <v>2179650</v>
      </c>
    </row>
    <row r="112" spans="1:31" ht="16" customHeight="1" x14ac:dyDescent="0.45">
      <c r="A112" s="1">
        <v>2502</v>
      </c>
      <c r="B112" s="23">
        <v>45692</v>
      </c>
      <c r="C112" s="24"/>
      <c r="D112" s="25" t="s">
        <v>10</v>
      </c>
      <c r="E112" s="26" t="s">
        <v>17</v>
      </c>
      <c r="F112" s="26" t="s">
        <v>312</v>
      </c>
      <c r="G112" s="26" t="s">
        <v>17</v>
      </c>
      <c r="H112" s="97" t="s">
        <v>11</v>
      </c>
      <c r="I112" s="97" t="s">
        <v>313</v>
      </c>
      <c r="J112" s="27"/>
      <c r="K112" s="117"/>
      <c r="L112" s="29"/>
      <c r="M112" s="30"/>
      <c r="N112" s="31">
        <v>1154</v>
      </c>
      <c r="O112" s="32">
        <v>1056</v>
      </c>
      <c r="P112" s="91"/>
      <c r="Q112" s="92"/>
      <c r="R112" s="93">
        <v>1850</v>
      </c>
      <c r="S112" s="93">
        <f>O112*R112</f>
        <v>1953600</v>
      </c>
      <c r="T112" s="33"/>
      <c r="U112" s="34"/>
      <c r="V112" s="35">
        <v>4050</v>
      </c>
      <c r="W112" s="36">
        <f>N112*V112</f>
        <v>4673700</v>
      </c>
      <c r="X112" s="93"/>
      <c r="Y112" s="21"/>
      <c r="Z112" s="18">
        <f t="shared" si="7"/>
        <v>2720100</v>
      </c>
    </row>
    <row r="113" spans="1:31" ht="16" customHeight="1" x14ac:dyDescent="0.45">
      <c r="A113" s="1">
        <v>2502</v>
      </c>
      <c r="B113" s="23">
        <v>45692</v>
      </c>
      <c r="C113" s="24"/>
      <c r="D113" s="25" t="s">
        <v>10</v>
      </c>
      <c r="E113" s="26" t="s">
        <v>19</v>
      </c>
      <c r="F113" s="26" t="s">
        <v>314</v>
      </c>
      <c r="G113" s="26" t="s">
        <v>19</v>
      </c>
      <c r="H113" s="97" t="s">
        <v>20</v>
      </c>
      <c r="I113" s="97" t="s">
        <v>16</v>
      </c>
      <c r="J113" s="27"/>
      <c r="K113" s="117"/>
      <c r="L113" s="29"/>
      <c r="M113" s="30"/>
      <c r="N113" s="31"/>
      <c r="O113" s="32">
        <v>3440</v>
      </c>
      <c r="P113" s="91"/>
      <c r="Q113" s="92"/>
      <c r="R113" s="93">
        <v>1850</v>
      </c>
      <c r="S113" s="93">
        <f>O113*R113</f>
        <v>6364000</v>
      </c>
      <c r="T113" s="33"/>
      <c r="U113" s="34"/>
      <c r="V113" s="35">
        <v>3595</v>
      </c>
      <c r="W113" s="36">
        <f>O113*V113</f>
        <v>12366800</v>
      </c>
      <c r="X113" s="93"/>
      <c r="Y113" s="21"/>
      <c r="Z113" s="18">
        <f t="shared" si="7"/>
        <v>6002800</v>
      </c>
    </row>
    <row r="114" spans="1:31" ht="16" customHeight="1" x14ac:dyDescent="0.45">
      <c r="A114" s="1">
        <v>2502</v>
      </c>
      <c r="B114" s="23">
        <v>45713</v>
      </c>
      <c r="C114" s="24"/>
      <c r="D114" s="25" t="s">
        <v>10</v>
      </c>
      <c r="E114" s="26" t="s">
        <v>19</v>
      </c>
      <c r="F114" s="26"/>
      <c r="G114" s="26" t="s">
        <v>19</v>
      </c>
      <c r="H114" s="27" t="s">
        <v>20</v>
      </c>
      <c r="I114" s="27" t="s">
        <v>16</v>
      </c>
      <c r="J114" s="27"/>
      <c r="K114" s="28"/>
      <c r="L114" s="29">
        <v>10</v>
      </c>
      <c r="M114" s="30"/>
      <c r="N114" s="31"/>
      <c r="O114" s="32">
        <v>7401</v>
      </c>
      <c r="P114" s="91"/>
      <c r="Q114" s="92"/>
      <c r="R114" s="93">
        <v>1850</v>
      </c>
      <c r="S114" s="93">
        <f>O114*R114</f>
        <v>13691850</v>
      </c>
      <c r="T114" s="33"/>
      <c r="U114" s="34"/>
      <c r="V114" s="35">
        <v>3595</v>
      </c>
      <c r="W114" s="36">
        <f>O114*V114</f>
        <v>26606595</v>
      </c>
      <c r="X114" s="93"/>
      <c r="Y114" s="21"/>
      <c r="Z114" s="18">
        <f t="shared" si="7"/>
        <v>12914745</v>
      </c>
    </row>
    <row r="115" spans="1:31" s="21" customFormat="1" ht="16" customHeight="1" x14ac:dyDescent="0.45">
      <c r="A115" s="1">
        <v>2502</v>
      </c>
      <c r="B115" s="23">
        <v>45706</v>
      </c>
      <c r="C115" s="24"/>
      <c r="D115" s="25" t="s">
        <v>66</v>
      </c>
      <c r="E115" s="26" t="s">
        <v>28</v>
      </c>
      <c r="F115" s="26" t="s">
        <v>315</v>
      </c>
      <c r="G115" s="26" t="s">
        <v>316</v>
      </c>
      <c r="H115" s="27" t="s">
        <v>172</v>
      </c>
      <c r="I115" s="27" t="s">
        <v>47</v>
      </c>
      <c r="J115" s="27"/>
      <c r="K115" s="28"/>
      <c r="L115" s="29">
        <v>20</v>
      </c>
      <c r="M115" s="30"/>
      <c r="N115" s="31">
        <v>8471</v>
      </c>
      <c r="O115" s="32">
        <v>7746</v>
      </c>
      <c r="P115" s="91"/>
      <c r="Q115" s="92"/>
      <c r="R115" s="93">
        <v>750</v>
      </c>
      <c r="S115" s="93">
        <f>N115*R115</f>
        <v>6353250</v>
      </c>
      <c r="T115" s="33"/>
      <c r="U115" s="34"/>
      <c r="V115" s="35">
        <v>1312</v>
      </c>
      <c r="W115" s="36">
        <f>O115*V115</f>
        <v>10162752</v>
      </c>
      <c r="X115" s="93"/>
      <c r="Z115" s="18">
        <f t="shared" si="7"/>
        <v>3809502</v>
      </c>
      <c r="AA115" s="17"/>
      <c r="AB115" s="17"/>
      <c r="AC115" s="17"/>
      <c r="AD115" s="17"/>
      <c r="AE115" s="17"/>
    </row>
    <row r="116" spans="1:31" s="21" customFormat="1" ht="16" customHeight="1" x14ac:dyDescent="0.45">
      <c r="A116" s="1">
        <v>2502</v>
      </c>
      <c r="B116" s="2">
        <v>45706</v>
      </c>
      <c r="C116" s="3"/>
      <c r="D116" s="4" t="s">
        <v>66</v>
      </c>
      <c r="E116" s="5" t="s">
        <v>109</v>
      </c>
      <c r="F116" s="5"/>
      <c r="G116" s="5"/>
      <c r="H116" s="19" t="s">
        <v>172</v>
      </c>
      <c r="I116" s="19" t="s">
        <v>47</v>
      </c>
      <c r="J116" s="19"/>
      <c r="K116" s="20"/>
      <c r="L116" s="6">
        <v>1</v>
      </c>
      <c r="M116" s="7"/>
      <c r="N116" s="8">
        <v>442</v>
      </c>
      <c r="O116" s="9"/>
      <c r="P116" s="10"/>
      <c r="Q116" s="11"/>
      <c r="R116" s="12">
        <v>750</v>
      </c>
      <c r="S116" s="12">
        <f>N116*R116</f>
        <v>331500</v>
      </c>
      <c r="T116" s="13"/>
      <c r="U116" s="14"/>
      <c r="V116" s="15"/>
      <c r="W116" s="16"/>
      <c r="X116" s="12"/>
      <c r="Y116" s="17"/>
      <c r="Z116" s="18">
        <f t="shared" si="7"/>
        <v>-331500</v>
      </c>
      <c r="AA116" s="17"/>
      <c r="AB116" s="17"/>
      <c r="AC116" s="17"/>
      <c r="AD116" s="17"/>
      <c r="AE116" s="17"/>
    </row>
    <row r="117" spans="1:31" s="21" customFormat="1" ht="16" customHeight="1" x14ac:dyDescent="0.45">
      <c r="A117" s="1">
        <v>2502</v>
      </c>
      <c r="B117" s="2">
        <v>45714</v>
      </c>
      <c r="C117" s="3"/>
      <c r="D117" s="4" t="s">
        <v>66</v>
      </c>
      <c r="E117" s="5"/>
      <c r="F117" s="5"/>
      <c r="G117" s="5" t="s">
        <v>117</v>
      </c>
      <c r="H117" s="19" t="s">
        <v>172</v>
      </c>
      <c r="I117" s="19" t="s">
        <v>147</v>
      </c>
      <c r="J117" s="19"/>
      <c r="K117" s="20"/>
      <c r="L117" s="6">
        <v>42</v>
      </c>
      <c r="M117" s="7"/>
      <c r="N117" s="8">
        <v>12078</v>
      </c>
      <c r="O117" s="9"/>
      <c r="P117" s="10"/>
      <c r="Q117" s="11"/>
      <c r="R117" s="12">
        <v>750</v>
      </c>
      <c r="S117" s="12">
        <f>N117*R117</f>
        <v>9058500</v>
      </c>
      <c r="T117" s="13"/>
      <c r="U117" s="14"/>
      <c r="V117" s="15"/>
      <c r="W117" s="16"/>
      <c r="X117" s="12"/>
      <c r="Y117" s="17"/>
      <c r="Z117" s="18">
        <f t="shared" si="7"/>
        <v>-9058500</v>
      </c>
      <c r="AA117" s="17"/>
      <c r="AB117" s="17"/>
      <c r="AC117" s="17"/>
      <c r="AD117" s="17"/>
      <c r="AE117" s="17"/>
    </row>
    <row r="118" spans="1:31" s="21" customFormat="1" ht="16" customHeight="1" x14ac:dyDescent="0.45">
      <c r="A118" s="1">
        <v>2502</v>
      </c>
      <c r="B118" s="2">
        <v>45714</v>
      </c>
      <c r="C118" s="3"/>
      <c r="D118" s="4" t="s">
        <v>66</v>
      </c>
      <c r="E118" s="5"/>
      <c r="F118" s="5"/>
      <c r="G118" s="5" t="s">
        <v>185</v>
      </c>
      <c r="H118" s="19" t="s">
        <v>172</v>
      </c>
      <c r="I118" s="19" t="s">
        <v>147</v>
      </c>
      <c r="J118" s="19"/>
      <c r="K118" s="20"/>
      <c r="L118" s="6">
        <v>9</v>
      </c>
      <c r="M118" s="7"/>
      <c r="N118" s="8">
        <v>2577</v>
      </c>
      <c r="O118" s="9"/>
      <c r="P118" s="10"/>
      <c r="Q118" s="11"/>
      <c r="R118" s="12">
        <v>750</v>
      </c>
      <c r="S118" s="12">
        <f>N118*R118</f>
        <v>1932750</v>
      </c>
      <c r="T118" s="13"/>
      <c r="U118" s="14"/>
      <c r="V118" s="15"/>
      <c r="W118" s="16"/>
      <c r="X118" s="12"/>
      <c r="Y118" s="17"/>
      <c r="Z118" s="18">
        <f t="shared" si="7"/>
        <v>-1932750</v>
      </c>
      <c r="AA118" s="17"/>
      <c r="AB118" s="17"/>
      <c r="AC118" s="17"/>
      <c r="AD118" s="17"/>
      <c r="AE118" s="17"/>
    </row>
    <row r="119" spans="1:31" s="21" customFormat="1" ht="16" customHeight="1" x14ac:dyDescent="0.45">
      <c r="A119" s="1">
        <v>2502</v>
      </c>
      <c r="B119" s="2">
        <v>45714</v>
      </c>
      <c r="C119" s="3"/>
      <c r="D119" s="4" t="s">
        <v>66</v>
      </c>
      <c r="E119" s="5"/>
      <c r="F119" s="5"/>
      <c r="G119" s="5" t="s">
        <v>317</v>
      </c>
      <c r="H119" s="19" t="s">
        <v>127</v>
      </c>
      <c r="I119" s="19" t="s">
        <v>318</v>
      </c>
      <c r="J119" s="19"/>
      <c r="K119" s="20"/>
      <c r="L119" s="6">
        <v>12</v>
      </c>
      <c r="M119" s="7"/>
      <c r="N119" s="8">
        <v>3410</v>
      </c>
      <c r="O119" s="9"/>
      <c r="P119" s="10"/>
      <c r="Q119" s="11"/>
      <c r="R119" s="12">
        <v>750</v>
      </c>
      <c r="S119" s="12">
        <f>N119*R119</f>
        <v>2557500</v>
      </c>
      <c r="T119" s="13"/>
      <c r="U119" s="14"/>
      <c r="V119" s="15"/>
      <c r="W119" s="16"/>
      <c r="X119" s="12"/>
      <c r="Y119" s="17"/>
      <c r="Z119" s="18">
        <f t="shared" si="7"/>
        <v>-2557500</v>
      </c>
      <c r="AA119" s="17"/>
      <c r="AB119" s="17"/>
      <c r="AC119" s="17"/>
      <c r="AD119" s="17"/>
      <c r="AE119" s="17"/>
    </row>
    <row r="120" spans="1:31" s="21" customFormat="1" ht="16" customHeight="1" x14ac:dyDescent="0.45">
      <c r="A120" s="1">
        <v>2502</v>
      </c>
      <c r="B120" s="23">
        <v>45692</v>
      </c>
      <c r="C120" s="24"/>
      <c r="D120" s="25" t="s">
        <v>211</v>
      </c>
      <c r="E120" s="26" t="s">
        <v>1</v>
      </c>
      <c r="F120" s="26" t="s">
        <v>319</v>
      </c>
      <c r="G120" s="26" t="s">
        <v>1</v>
      </c>
      <c r="H120" s="97" t="s">
        <v>11</v>
      </c>
      <c r="I120" s="97" t="s">
        <v>63</v>
      </c>
      <c r="J120" s="27"/>
      <c r="K120" s="117" t="s">
        <v>239</v>
      </c>
      <c r="L120" s="29">
        <v>7</v>
      </c>
      <c r="M120" s="30"/>
      <c r="N120" s="31"/>
      <c r="O120" s="32">
        <v>2898</v>
      </c>
      <c r="P120" s="91"/>
      <c r="Q120" s="92"/>
      <c r="R120" s="93">
        <v>2350</v>
      </c>
      <c r="S120" s="93">
        <f t="shared" ref="S120:S125" si="12">O120*R120</f>
        <v>6810300</v>
      </c>
      <c r="T120" s="33"/>
      <c r="U120" s="34"/>
      <c r="V120" s="35">
        <v>4700</v>
      </c>
      <c r="W120" s="36">
        <f t="shared" ref="W120:W126" si="13">O120*V120</f>
        <v>13620600</v>
      </c>
      <c r="X120" s="93"/>
      <c r="Z120" s="18">
        <f t="shared" si="7"/>
        <v>6810300</v>
      </c>
      <c r="AA120" s="17"/>
      <c r="AB120" s="17"/>
      <c r="AC120" s="17"/>
      <c r="AD120" s="17"/>
      <c r="AE120" s="17"/>
    </row>
    <row r="121" spans="1:31" s="21" customFormat="1" ht="16" customHeight="1" x14ac:dyDescent="0.45">
      <c r="A121" s="1">
        <v>2502</v>
      </c>
      <c r="B121" s="23">
        <v>45692</v>
      </c>
      <c r="C121" s="24"/>
      <c r="D121" s="25" t="s">
        <v>211</v>
      </c>
      <c r="E121" s="26" t="s">
        <v>1</v>
      </c>
      <c r="F121" s="26" t="s">
        <v>320</v>
      </c>
      <c r="G121" s="26" t="s">
        <v>1</v>
      </c>
      <c r="H121" s="97" t="s">
        <v>11</v>
      </c>
      <c r="I121" s="97" t="s">
        <v>21</v>
      </c>
      <c r="J121" s="27"/>
      <c r="K121" s="117" t="s">
        <v>321</v>
      </c>
      <c r="L121" s="29">
        <v>2</v>
      </c>
      <c r="M121" s="30"/>
      <c r="N121" s="31"/>
      <c r="O121" s="32">
        <v>323</v>
      </c>
      <c r="P121" s="91"/>
      <c r="Q121" s="92"/>
      <c r="R121" s="93">
        <v>2350</v>
      </c>
      <c r="S121" s="93">
        <f t="shared" si="12"/>
        <v>759050</v>
      </c>
      <c r="T121" s="33"/>
      <c r="U121" s="34"/>
      <c r="V121" s="35">
        <v>4700</v>
      </c>
      <c r="W121" s="36">
        <f t="shared" si="13"/>
        <v>1518100</v>
      </c>
      <c r="X121" s="93"/>
      <c r="Z121" s="18">
        <f t="shared" si="7"/>
        <v>759050</v>
      </c>
      <c r="AA121" s="17"/>
      <c r="AB121" s="17"/>
      <c r="AC121" s="17"/>
      <c r="AD121" s="17"/>
      <c r="AE121" s="17"/>
    </row>
    <row r="122" spans="1:31" s="21" customFormat="1" ht="16" customHeight="1" x14ac:dyDescent="0.45">
      <c r="A122" s="1">
        <v>2502</v>
      </c>
      <c r="B122" s="23">
        <v>45693</v>
      </c>
      <c r="C122" s="24"/>
      <c r="D122" s="25" t="s">
        <v>211</v>
      </c>
      <c r="E122" s="26" t="s">
        <v>1</v>
      </c>
      <c r="F122" s="26" t="s">
        <v>322</v>
      </c>
      <c r="G122" s="26" t="s">
        <v>1</v>
      </c>
      <c r="H122" s="27" t="s">
        <v>11</v>
      </c>
      <c r="I122" s="27" t="s">
        <v>21</v>
      </c>
      <c r="J122" s="27"/>
      <c r="K122" s="28" t="s">
        <v>321</v>
      </c>
      <c r="L122" s="29">
        <v>1</v>
      </c>
      <c r="M122" s="30"/>
      <c r="N122" s="31"/>
      <c r="O122" s="32">
        <v>187</v>
      </c>
      <c r="P122" s="91"/>
      <c r="Q122" s="92"/>
      <c r="R122" s="93">
        <v>2350</v>
      </c>
      <c r="S122" s="93">
        <f t="shared" si="12"/>
        <v>439450</v>
      </c>
      <c r="T122" s="33"/>
      <c r="U122" s="34"/>
      <c r="V122" s="35">
        <v>4700</v>
      </c>
      <c r="W122" s="36">
        <f t="shared" si="13"/>
        <v>878900</v>
      </c>
      <c r="X122" s="93"/>
      <c r="Z122" s="18">
        <f t="shared" si="7"/>
        <v>439450</v>
      </c>
      <c r="AA122" s="17"/>
      <c r="AB122" s="17"/>
      <c r="AC122" s="17"/>
      <c r="AD122" s="17"/>
      <c r="AE122" s="17"/>
    </row>
    <row r="123" spans="1:31" s="21" customFormat="1" ht="16" customHeight="1" x14ac:dyDescent="0.45">
      <c r="A123" s="1">
        <v>2502</v>
      </c>
      <c r="B123" s="23">
        <v>45706</v>
      </c>
      <c r="C123" s="24"/>
      <c r="D123" s="25" t="s">
        <v>211</v>
      </c>
      <c r="E123" s="26" t="s">
        <v>1</v>
      </c>
      <c r="F123" s="26" t="s">
        <v>323</v>
      </c>
      <c r="G123" s="26" t="s">
        <v>1</v>
      </c>
      <c r="H123" s="97" t="s">
        <v>11</v>
      </c>
      <c r="I123" s="97" t="s">
        <v>13</v>
      </c>
      <c r="J123" s="27"/>
      <c r="K123" s="117" t="s">
        <v>57</v>
      </c>
      <c r="L123" s="29">
        <v>8</v>
      </c>
      <c r="M123" s="30"/>
      <c r="N123" s="31"/>
      <c r="O123" s="32">
        <v>2777</v>
      </c>
      <c r="P123" s="91"/>
      <c r="Q123" s="92"/>
      <c r="R123" s="93">
        <v>2350</v>
      </c>
      <c r="S123" s="93">
        <f t="shared" si="12"/>
        <v>6525950</v>
      </c>
      <c r="T123" s="33"/>
      <c r="U123" s="34"/>
      <c r="V123" s="35">
        <v>4700</v>
      </c>
      <c r="W123" s="36">
        <f t="shared" si="13"/>
        <v>13051900</v>
      </c>
      <c r="X123" s="93"/>
      <c r="Z123" s="18">
        <f t="shared" si="7"/>
        <v>6525950</v>
      </c>
      <c r="AA123" s="17"/>
      <c r="AB123" s="17"/>
      <c r="AC123" s="17"/>
      <c r="AD123" s="17"/>
      <c r="AE123" s="17"/>
    </row>
    <row r="124" spans="1:31" s="21" customFormat="1" ht="16" customHeight="1" x14ac:dyDescent="0.45">
      <c r="A124" s="1">
        <v>2502</v>
      </c>
      <c r="B124" s="23">
        <v>45707</v>
      </c>
      <c r="C124" s="24"/>
      <c r="D124" s="25" t="s">
        <v>211</v>
      </c>
      <c r="E124" s="26" t="s">
        <v>1</v>
      </c>
      <c r="F124" s="26" t="s">
        <v>324</v>
      </c>
      <c r="G124" s="26" t="s">
        <v>1</v>
      </c>
      <c r="H124" s="97" t="s">
        <v>11</v>
      </c>
      <c r="I124" s="97" t="s">
        <v>62</v>
      </c>
      <c r="J124" s="27"/>
      <c r="K124" s="117" t="s">
        <v>325</v>
      </c>
      <c r="L124" s="29"/>
      <c r="M124" s="30"/>
      <c r="N124" s="31"/>
      <c r="O124" s="32">
        <v>3268</v>
      </c>
      <c r="P124" s="91"/>
      <c r="Q124" s="92"/>
      <c r="R124" s="93">
        <v>2350</v>
      </c>
      <c r="S124" s="93">
        <f t="shared" si="12"/>
        <v>7679800</v>
      </c>
      <c r="T124" s="33"/>
      <c r="U124" s="34"/>
      <c r="V124" s="35">
        <v>4700</v>
      </c>
      <c r="W124" s="36">
        <f t="shared" si="13"/>
        <v>15359600</v>
      </c>
      <c r="X124" s="93"/>
      <c r="Z124" s="18">
        <f t="shared" si="7"/>
        <v>7679800</v>
      </c>
      <c r="AA124" s="17"/>
      <c r="AB124" s="17"/>
      <c r="AC124" s="17"/>
      <c r="AD124" s="17"/>
      <c r="AE124" s="17"/>
    </row>
    <row r="125" spans="1:31" s="21" customFormat="1" ht="16" customHeight="1" x14ac:dyDescent="0.45">
      <c r="A125" s="1">
        <v>2502</v>
      </c>
      <c r="B125" s="23">
        <v>45707</v>
      </c>
      <c r="C125" s="24"/>
      <c r="D125" s="25" t="s">
        <v>211</v>
      </c>
      <c r="E125" s="26" t="s">
        <v>1</v>
      </c>
      <c r="F125" s="26" t="s">
        <v>326</v>
      </c>
      <c r="G125" s="26" t="s">
        <v>1</v>
      </c>
      <c r="H125" s="97" t="s">
        <v>238</v>
      </c>
      <c r="I125" s="97" t="s">
        <v>62</v>
      </c>
      <c r="J125" s="27"/>
      <c r="K125" s="117" t="s">
        <v>327</v>
      </c>
      <c r="L125" s="29">
        <v>12</v>
      </c>
      <c r="M125" s="30"/>
      <c r="N125" s="31"/>
      <c r="O125" s="32">
        <v>2793</v>
      </c>
      <c r="P125" s="91"/>
      <c r="Q125" s="92"/>
      <c r="R125" s="93">
        <v>2350</v>
      </c>
      <c r="S125" s="93">
        <f t="shared" si="12"/>
        <v>6563550</v>
      </c>
      <c r="T125" s="33"/>
      <c r="U125" s="34"/>
      <c r="V125" s="35">
        <v>4700</v>
      </c>
      <c r="W125" s="36">
        <f t="shared" si="13"/>
        <v>13127100</v>
      </c>
      <c r="X125" s="93"/>
      <c r="Z125" s="18">
        <f t="shared" si="7"/>
        <v>6563550</v>
      </c>
      <c r="AA125" s="17"/>
      <c r="AB125" s="17"/>
      <c r="AC125" s="17"/>
      <c r="AD125" s="17"/>
      <c r="AE125" s="17"/>
    </row>
    <row r="126" spans="1:31" s="21" customFormat="1" ht="16" customHeight="1" x14ac:dyDescent="0.45">
      <c r="A126" s="1">
        <v>2502</v>
      </c>
      <c r="B126" s="23">
        <v>45716</v>
      </c>
      <c r="C126" s="24"/>
      <c r="D126" s="25" t="s">
        <v>211</v>
      </c>
      <c r="E126" s="26" t="s">
        <v>1</v>
      </c>
      <c r="F126" s="26" t="s">
        <v>328</v>
      </c>
      <c r="G126" s="26" t="s">
        <v>1</v>
      </c>
      <c r="H126" s="97" t="s">
        <v>11</v>
      </c>
      <c r="I126" s="97" t="s">
        <v>137</v>
      </c>
      <c r="J126" s="27"/>
      <c r="K126" s="117" t="s">
        <v>57</v>
      </c>
      <c r="L126" s="29"/>
      <c r="M126" s="30"/>
      <c r="N126" s="31"/>
      <c r="O126" s="32">
        <v>1346</v>
      </c>
      <c r="P126" s="91"/>
      <c r="Q126" s="92"/>
      <c r="R126" s="93" t="s">
        <v>329</v>
      </c>
      <c r="S126" s="93"/>
      <c r="T126" s="33"/>
      <c r="U126" s="34"/>
      <c r="V126" s="35">
        <v>4700</v>
      </c>
      <c r="W126" s="36">
        <f t="shared" si="13"/>
        <v>6326200</v>
      </c>
      <c r="X126" s="93"/>
      <c r="Z126" s="18">
        <f t="shared" si="7"/>
        <v>6326200</v>
      </c>
      <c r="AA126" s="17"/>
      <c r="AB126" s="17"/>
      <c r="AC126" s="17"/>
      <c r="AD126" s="17"/>
      <c r="AE126" s="17"/>
    </row>
    <row r="127" spans="1:31" s="21" customFormat="1" ht="16" customHeight="1" x14ac:dyDescent="0.45">
      <c r="A127" s="1">
        <v>2502</v>
      </c>
      <c r="B127" s="2">
        <v>45716</v>
      </c>
      <c r="C127" s="3"/>
      <c r="D127" s="4" t="s">
        <v>211</v>
      </c>
      <c r="E127" s="5"/>
      <c r="F127" s="5"/>
      <c r="G127" s="5" t="s">
        <v>1</v>
      </c>
      <c r="H127" s="19" t="s">
        <v>330</v>
      </c>
      <c r="I127" s="19"/>
      <c r="J127" s="19" t="s">
        <v>243</v>
      </c>
      <c r="K127" s="20"/>
      <c r="L127" s="6"/>
      <c r="M127" s="7"/>
      <c r="N127" s="8"/>
      <c r="O127" s="9">
        <v>-271</v>
      </c>
      <c r="P127" s="10"/>
      <c r="Q127" s="11"/>
      <c r="R127" s="12">
        <v>2350</v>
      </c>
      <c r="S127" s="12">
        <f>O127*R127</f>
        <v>-636850</v>
      </c>
      <c r="T127" s="13"/>
      <c r="U127" s="14"/>
      <c r="V127" s="15"/>
      <c r="W127" s="16"/>
      <c r="X127" s="12"/>
      <c r="Y127" s="17"/>
      <c r="Z127" s="18">
        <f t="shared" si="7"/>
        <v>636850</v>
      </c>
      <c r="AA127" s="17"/>
      <c r="AB127" s="17"/>
      <c r="AC127" s="17"/>
      <c r="AD127" s="17"/>
      <c r="AE127" s="17"/>
    </row>
    <row r="128" spans="1:31" s="21" customFormat="1" ht="16" customHeight="1" x14ac:dyDescent="0.45">
      <c r="A128" s="1">
        <v>2502</v>
      </c>
      <c r="B128" s="2">
        <v>45691</v>
      </c>
      <c r="C128" s="3"/>
      <c r="D128" s="4" t="s">
        <v>93</v>
      </c>
      <c r="E128" s="5" t="s">
        <v>27</v>
      </c>
      <c r="F128" s="5"/>
      <c r="G128" s="5" t="s">
        <v>28</v>
      </c>
      <c r="H128" s="19" t="s">
        <v>101</v>
      </c>
      <c r="I128" s="19"/>
      <c r="J128" s="19"/>
      <c r="K128" s="20"/>
      <c r="L128" s="6">
        <v>6</v>
      </c>
      <c r="M128" s="7">
        <v>2467.5</v>
      </c>
      <c r="N128" s="8"/>
      <c r="O128" s="9"/>
      <c r="P128" s="10"/>
      <c r="Q128" s="11"/>
      <c r="R128" s="12">
        <v>1100</v>
      </c>
      <c r="S128" s="12">
        <f>M128*R128</f>
        <v>2714250</v>
      </c>
      <c r="T128" s="13"/>
      <c r="U128" s="14"/>
      <c r="V128" s="15"/>
      <c r="W128" s="16"/>
      <c r="X128" s="12"/>
      <c r="Y128" s="17"/>
      <c r="Z128" s="18">
        <f t="shared" si="7"/>
        <v>-2714250</v>
      </c>
      <c r="AA128" s="17"/>
      <c r="AB128" s="17"/>
      <c r="AC128" s="17"/>
      <c r="AD128" s="17"/>
      <c r="AE128" s="17"/>
    </row>
    <row r="129" spans="1:31" s="21" customFormat="1" ht="16" customHeight="1" x14ac:dyDescent="0.45">
      <c r="A129" s="1">
        <v>2502</v>
      </c>
      <c r="B129" s="2">
        <v>45702</v>
      </c>
      <c r="C129" s="3"/>
      <c r="D129" s="4" t="s">
        <v>93</v>
      </c>
      <c r="E129" s="5" t="s">
        <v>27</v>
      </c>
      <c r="F129" s="5"/>
      <c r="G129" s="5" t="s">
        <v>28</v>
      </c>
      <c r="H129" s="19" t="s">
        <v>101</v>
      </c>
      <c r="I129" s="19"/>
      <c r="J129" s="19"/>
      <c r="K129" s="20"/>
      <c r="L129" s="6"/>
      <c r="M129" s="7">
        <v>2467.5</v>
      </c>
      <c r="N129" s="8"/>
      <c r="O129" s="9"/>
      <c r="P129" s="10"/>
      <c r="Q129" s="11"/>
      <c r="R129" s="12">
        <v>1100</v>
      </c>
      <c r="S129" s="12">
        <f>M129*R129</f>
        <v>2714250</v>
      </c>
      <c r="T129" s="13"/>
      <c r="U129" s="14"/>
      <c r="V129" s="15"/>
      <c r="W129" s="16"/>
      <c r="X129" s="12"/>
      <c r="Y129" s="17"/>
      <c r="Z129" s="18">
        <f t="shared" si="7"/>
        <v>-2714250</v>
      </c>
      <c r="AA129" s="17"/>
      <c r="AB129" s="17"/>
      <c r="AC129" s="17"/>
      <c r="AD129" s="17"/>
      <c r="AE129" s="17"/>
    </row>
    <row r="130" spans="1:31" s="21" customFormat="1" ht="16" customHeight="1" x14ac:dyDescent="0.45">
      <c r="A130" s="1">
        <v>2502</v>
      </c>
      <c r="B130" s="2">
        <v>45716</v>
      </c>
      <c r="C130" s="3"/>
      <c r="D130" s="4" t="s">
        <v>93</v>
      </c>
      <c r="E130" s="5" t="s">
        <v>27</v>
      </c>
      <c r="F130" s="5"/>
      <c r="G130" s="5" t="s">
        <v>28</v>
      </c>
      <c r="H130" s="19" t="s">
        <v>101</v>
      </c>
      <c r="I130" s="19"/>
      <c r="J130" s="19"/>
      <c r="K130" s="20"/>
      <c r="L130" s="6">
        <v>3</v>
      </c>
      <c r="M130" s="7">
        <v>1233.75</v>
      </c>
      <c r="N130" s="8"/>
      <c r="O130" s="9"/>
      <c r="P130" s="10"/>
      <c r="Q130" s="11"/>
      <c r="R130" s="12">
        <v>1100</v>
      </c>
      <c r="S130" s="12">
        <f>M130*R130</f>
        <v>1357125</v>
      </c>
      <c r="T130" s="13"/>
      <c r="U130" s="14"/>
      <c r="V130" s="15"/>
      <c r="W130" s="16"/>
      <c r="X130" s="12"/>
      <c r="Y130" s="17"/>
      <c r="Z130" s="18">
        <f t="shared" ref="Z130:Z193" si="14">W130-S130-Q130</f>
        <v>-1357125</v>
      </c>
      <c r="AA130" s="17"/>
      <c r="AB130" s="17"/>
      <c r="AC130" s="17"/>
      <c r="AD130" s="17"/>
      <c r="AE130" s="17"/>
    </row>
    <row r="131" spans="1:31" ht="16" customHeight="1" x14ac:dyDescent="0.45">
      <c r="A131" s="1">
        <v>2502</v>
      </c>
      <c r="B131" s="2">
        <v>45708</v>
      </c>
      <c r="C131" s="24"/>
      <c r="D131" s="4" t="s">
        <v>30</v>
      </c>
      <c r="E131" s="5" t="s">
        <v>31</v>
      </c>
      <c r="G131" s="5" t="s">
        <v>31</v>
      </c>
      <c r="H131" s="19" t="s">
        <v>133</v>
      </c>
      <c r="O131" s="9">
        <v>4130</v>
      </c>
      <c r="P131" s="141"/>
      <c r="Q131" s="95"/>
      <c r="R131" s="12">
        <v>1470</v>
      </c>
      <c r="S131" s="12">
        <f>O131*R131</f>
        <v>6071100</v>
      </c>
      <c r="T131" s="33"/>
      <c r="U131" s="34"/>
      <c r="V131" s="15">
        <v>2450</v>
      </c>
      <c r="W131" s="16">
        <f>O131*V131</f>
        <v>10118500</v>
      </c>
      <c r="Z131" s="18">
        <f t="shared" si="14"/>
        <v>4047400</v>
      </c>
    </row>
    <row r="132" spans="1:31" ht="16" customHeight="1" x14ac:dyDescent="0.45">
      <c r="A132" s="1">
        <v>2502</v>
      </c>
      <c r="B132" s="2">
        <v>45708</v>
      </c>
      <c r="C132" s="24"/>
      <c r="D132" s="4" t="s">
        <v>30</v>
      </c>
      <c r="E132" s="5" t="s">
        <v>31</v>
      </c>
      <c r="G132" s="5" t="s">
        <v>31</v>
      </c>
      <c r="H132" s="19" t="s">
        <v>113</v>
      </c>
      <c r="O132" s="9">
        <v>5000</v>
      </c>
      <c r="P132" s="141"/>
      <c r="Q132" s="95"/>
      <c r="R132" s="12">
        <v>1230</v>
      </c>
      <c r="S132" s="12">
        <f>O132*R132</f>
        <v>6150000</v>
      </c>
      <c r="T132" s="33"/>
      <c r="U132" s="34"/>
      <c r="V132" s="15">
        <v>1350</v>
      </c>
      <c r="W132" s="16">
        <f>O132*V132</f>
        <v>6750000</v>
      </c>
      <c r="Z132" s="18">
        <f t="shared" si="14"/>
        <v>600000</v>
      </c>
    </row>
    <row r="133" spans="1:31" s="21" customFormat="1" ht="16" customHeight="1" x14ac:dyDescent="0.45">
      <c r="A133" s="1">
        <v>2502</v>
      </c>
      <c r="B133" s="2">
        <v>45695</v>
      </c>
      <c r="C133" s="3"/>
      <c r="D133" s="4" t="s">
        <v>27</v>
      </c>
      <c r="E133" s="5" t="s">
        <v>37</v>
      </c>
      <c r="F133" s="5"/>
      <c r="G133" s="5" t="s">
        <v>28</v>
      </c>
      <c r="H133" s="19" t="s">
        <v>33</v>
      </c>
      <c r="I133" s="19"/>
      <c r="J133" s="19"/>
      <c r="K133" s="73"/>
      <c r="L133" s="6">
        <v>147</v>
      </c>
      <c r="M133" s="7">
        <v>2572.5</v>
      </c>
      <c r="N133" s="8"/>
      <c r="O133" s="9"/>
      <c r="P133" s="10"/>
      <c r="Q133" s="11"/>
      <c r="R133" s="12">
        <v>2000</v>
      </c>
      <c r="S133" s="12">
        <f>M133*R133</f>
        <v>5145000</v>
      </c>
      <c r="T133" s="13"/>
      <c r="U133" s="14"/>
      <c r="V133" s="15"/>
      <c r="W133" s="16"/>
      <c r="X133" s="12"/>
      <c r="Y133" s="17"/>
      <c r="Z133" s="18">
        <f t="shared" si="14"/>
        <v>-5145000</v>
      </c>
      <c r="AA133" s="17"/>
      <c r="AB133" s="17"/>
      <c r="AC133" s="17"/>
      <c r="AD133" s="17"/>
      <c r="AE133" s="17"/>
    </row>
    <row r="134" spans="1:31" s="21" customFormat="1" ht="16" customHeight="1" x14ac:dyDescent="0.45">
      <c r="A134" s="1">
        <v>2502</v>
      </c>
      <c r="B134" s="2">
        <v>45708</v>
      </c>
      <c r="C134" s="3"/>
      <c r="D134" s="4" t="s">
        <v>27</v>
      </c>
      <c r="E134" s="5" t="s">
        <v>37</v>
      </c>
      <c r="F134" s="5"/>
      <c r="G134" s="5" t="s">
        <v>28</v>
      </c>
      <c r="H134" s="19" t="s">
        <v>33</v>
      </c>
      <c r="I134" s="19"/>
      <c r="J134" s="19"/>
      <c r="K134" s="20"/>
      <c r="L134" s="6">
        <v>102</v>
      </c>
      <c r="M134" s="7">
        <v>1785</v>
      </c>
      <c r="N134" s="8"/>
      <c r="O134" s="9"/>
      <c r="P134" s="10"/>
      <c r="Q134" s="11"/>
      <c r="R134" s="12">
        <v>2000</v>
      </c>
      <c r="S134" s="12">
        <f>M134*R134</f>
        <v>3570000</v>
      </c>
      <c r="T134" s="13"/>
      <c r="U134" s="14"/>
      <c r="V134" s="15"/>
      <c r="W134" s="16"/>
      <c r="X134" s="12"/>
      <c r="Y134" s="17"/>
      <c r="Z134" s="18">
        <f t="shared" si="14"/>
        <v>-3570000</v>
      </c>
      <c r="AA134" s="17"/>
      <c r="AB134" s="17"/>
      <c r="AC134" s="17"/>
      <c r="AD134" s="17"/>
      <c r="AE134" s="17"/>
    </row>
    <row r="135" spans="1:31" ht="16" customHeight="1" x14ac:dyDescent="0.45">
      <c r="A135" s="1">
        <v>2502</v>
      </c>
      <c r="B135" s="2">
        <v>45708</v>
      </c>
      <c r="D135" s="4" t="s">
        <v>27</v>
      </c>
      <c r="E135" s="5" t="s">
        <v>37</v>
      </c>
      <c r="G135" s="5" t="s">
        <v>28</v>
      </c>
      <c r="H135" s="19" t="s">
        <v>33</v>
      </c>
      <c r="L135" s="6">
        <v>161</v>
      </c>
      <c r="M135" s="7">
        <v>2803.5</v>
      </c>
      <c r="R135" s="12">
        <v>2000</v>
      </c>
      <c r="S135" s="12">
        <f>M135*R135</f>
        <v>5607000</v>
      </c>
      <c r="Z135" s="18">
        <f t="shared" si="14"/>
        <v>-5607000</v>
      </c>
    </row>
    <row r="136" spans="1:31" ht="16" customHeight="1" x14ac:dyDescent="0.45">
      <c r="A136" s="1">
        <v>2502</v>
      </c>
      <c r="B136" s="2">
        <v>45716</v>
      </c>
      <c r="D136" s="4" t="s">
        <v>27</v>
      </c>
      <c r="G136" s="5" t="s">
        <v>28</v>
      </c>
      <c r="H136" s="19" t="s">
        <v>164</v>
      </c>
      <c r="M136" s="7">
        <v>1519.6</v>
      </c>
      <c r="P136" s="10">
        <v>2390</v>
      </c>
      <c r="Q136" s="11">
        <f>M136*P136</f>
        <v>3631844</v>
      </c>
      <c r="Z136" s="18">
        <f t="shared" si="14"/>
        <v>-3631844</v>
      </c>
    </row>
    <row r="137" spans="1:31" ht="16" customHeight="1" x14ac:dyDescent="0.45">
      <c r="A137" s="1">
        <v>2502</v>
      </c>
      <c r="B137" s="2">
        <v>45702</v>
      </c>
      <c r="D137" s="4" t="s">
        <v>35</v>
      </c>
      <c r="E137" s="5" t="s">
        <v>10</v>
      </c>
      <c r="G137" s="5" t="s">
        <v>19</v>
      </c>
      <c r="H137" s="19" t="s">
        <v>104</v>
      </c>
      <c r="I137" s="19" t="s">
        <v>36</v>
      </c>
      <c r="L137" s="6">
        <v>18</v>
      </c>
      <c r="M137" s="7">
        <v>417</v>
      </c>
      <c r="N137" s="8">
        <v>8178</v>
      </c>
      <c r="R137" s="12">
        <v>970</v>
      </c>
      <c r="S137" s="12">
        <f>N137*R137</f>
        <v>7932660</v>
      </c>
      <c r="Z137" s="18">
        <f t="shared" si="14"/>
        <v>-7932660</v>
      </c>
    </row>
    <row r="138" spans="1:31" ht="16" customHeight="1" x14ac:dyDescent="0.45">
      <c r="A138" s="1">
        <v>2502</v>
      </c>
      <c r="B138" s="2">
        <v>45706</v>
      </c>
      <c r="D138" s="4" t="s">
        <v>35</v>
      </c>
      <c r="E138" s="5" t="s">
        <v>10</v>
      </c>
      <c r="G138" s="5" t="s">
        <v>1</v>
      </c>
      <c r="H138" s="19" t="s">
        <v>331</v>
      </c>
      <c r="I138" s="19" t="s">
        <v>21</v>
      </c>
      <c r="L138" s="6">
        <v>7</v>
      </c>
      <c r="M138" s="7">
        <v>102.8</v>
      </c>
      <c r="N138" s="8">
        <v>1468</v>
      </c>
      <c r="R138" s="12">
        <v>900</v>
      </c>
      <c r="S138" s="12">
        <f>N138*R138</f>
        <v>1321200</v>
      </c>
      <c r="Z138" s="18">
        <f t="shared" si="14"/>
        <v>-1321200</v>
      </c>
    </row>
    <row r="139" spans="1:31" s="21" customFormat="1" ht="16" customHeight="1" x14ac:dyDescent="0.45">
      <c r="A139" s="1">
        <v>2502</v>
      </c>
      <c r="B139" s="23">
        <v>45699</v>
      </c>
      <c r="C139" s="24"/>
      <c r="D139" s="25" t="s">
        <v>37</v>
      </c>
      <c r="E139" s="26" t="s">
        <v>28</v>
      </c>
      <c r="F139" s="26"/>
      <c r="G139" s="26" t="s">
        <v>28</v>
      </c>
      <c r="H139" s="27" t="s">
        <v>32</v>
      </c>
      <c r="I139" s="27" t="s">
        <v>47</v>
      </c>
      <c r="J139" s="27"/>
      <c r="K139" s="38" t="s">
        <v>46</v>
      </c>
      <c r="L139" s="29">
        <v>24</v>
      </c>
      <c r="M139" s="30">
        <v>387.8</v>
      </c>
      <c r="N139" s="31"/>
      <c r="O139" s="32">
        <v>657</v>
      </c>
      <c r="P139" s="91"/>
      <c r="Q139" s="92"/>
      <c r="R139" s="93">
        <v>2500</v>
      </c>
      <c r="S139" s="93">
        <f t="shared" ref="S139:S158" si="15">M139*R139</f>
        <v>969500</v>
      </c>
      <c r="T139" s="33"/>
      <c r="U139" s="34"/>
      <c r="V139" s="35">
        <v>5650</v>
      </c>
      <c r="W139" s="36">
        <f t="shared" ref="W139:W158" si="16">O139*V139</f>
        <v>3712050</v>
      </c>
      <c r="X139" s="93"/>
      <c r="Z139" s="18">
        <f t="shared" si="14"/>
        <v>2742550</v>
      </c>
      <c r="AA139" s="17"/>
      <c r="AB139" s="17"/>
      <c r="AC139" s="17"/>
      <c r="AD139" s="17"/>
      <c r="AE139" s="17"/>
    </row>
    <row r="140" spans="1:31" ht="16" customHeight="1" x14ac:dyDescent="0.45">
      <c r="A140" s="1">
        <v>2502</v>
      </c>
      <c r="B140" s="2">
        <v>45701</v>
      </c>
      <c r="C140" s="24"/>
      <c r="D140" s="4" t="s">
        <v>37</v>
      </c>
      <c r="E140" s="5" t="s">
        <v>28</v>
      </c>
      <c r="G140" s="5" t="s">
        <v>28</v>
      </c>
      <c r="H140" s="19" t="s">
        <v>38</v>
      </c>
      <c r="I140" s="19" t="s">
        <v>39</v>
      </c>
      <c r="K140" s="73" t="s">
        <v>71</v>
      </c>
      <c r="L140" s="6">
        <v>33</v>
      </c>
      <c r="M140" s="7">
        <v>482.1</v>
      </c>
      <c r="O140" s="9">
        <v>761</v>
      </c>
      <c r="P140" s="141"/>
      <c r="Q140" s="95"/>
      <c r="R140" s="12">
        <v>2500</v>
      </c>
      <c r="S140" s="12">
        <f t="shared" si="15"/>
        <v>1205250</v>
      </c>
      <c r="T140" s="33"/>
      <c r="U140" s="34"/>
      <c r="V140" s="15">
        <v>6400</v>
      </c>
      <c r="W140" s="16">
        <f t="shared" si="16"/>
        <v>4870400</v>
      </c>
      <c r="Z140" s="18">
        <f t="shared" si="14"/>
        <v>3665150</v>
      </c>
    </row>
    <row r="141" spans="1:31" ht="16" customHeight="1" x14ac:dyDescent="0.45">
      <c r="A141" s="1">
        <v>2502</v>
      </c>
      <c r="B141" s="2">
        <v>45701</v>
      </c>
      <c r="C141" s="24"/>
      <c r="D141" s="4" t="s">
        <v>37</v>
      </c>
      <c r="E141" s="5" t="s">
        <v>28</v>
      </c>
      <c r="G141" s="5" t="s">
        <v>28</v>
      </c>
      <c r="H141" s="19" t="s">
        <v>38</v>
      </c>
      <c r="I141" s="19" t="s">
        <v>39</v>
      </c>
      <c r="K141" s="73" t="s">
        <v>72</v>
      </c>
      <c r="L141" s="6">
        <v>32</v>
      </c>
      <c r="M141" s="7">
        <v>468.5</v>
      </c>
      <c r="O141" s="9">
        <v>733</v>
      </c>
      <c r="P141" s="141"/>
      <c r="Q141" s="95"/>
      <c r="R141" s="12">
        <v>2500</v>
      </c>
      <c r="S141" s="12">
        <f t="shared" si="15"/>
        <v>1171250</v>
      </c>
      <c r="T141" s="33"/>
      <c r="U141" s="34"/>
      <c r="V141" s="15">
        <v>6400</v>
      </c>
      <c r="W141" s="16">
        <f t="shared" si="16"/>
        <v>4691200</v>
      </c>
      <c r="Z141" s="18">
        <f t="shared" si="14"/>
        <v>3519950</v>
      </c>
    </row>
    <row r="142" spans="1:31" ht="16" customHeight="1" x14ac:dyDescent="0.45">
      <c r="A142" s="1">
        <v>2502</v>
      </c>
      <c r="B142" s="2">
        <v>45701</v>
      </c>
      <c r="C142" s="24"/>
      <c r="D142" s="4" t="s">
        <v>37</v>
      </c>
      <c r="E142" s="5" t="s">
        <v>28</v>
      </c>
      <c r="G142" s="5" t="s">
        <v>28</v>
      </c>
      <c r="H142" s="19" t="s">
        <v>38</v>
      </c>
      <c r="I142" s="19" t="s">
        <v>39</v>
      </c>
      <c r="K142" s="73" t="s">
        <v>73</v>
      </c>
      <c r="L142" s="6">
        <v>33</v>
      </c>
      <c r="M142" s="7">
        <v>483.3</v>
      </c>
      <c r="O142" s="9">
        <v>773</v>
      </c>
      <c r="P142" s="141"/>
      <c r="Q142" s="95"/>
      <c r="R142" s="12">
        <v>2500</v>
      </c>
      <c r="S142" s="12">
        <f t="shared" si="15"/>
        <v>1208250</v>
      </c>
      <c r="T142" s="33"/>
      <c r="U142" s="34"/>
      <c r="V142" s="15">
        <v>6400</v>
      </c>
      <c r="W142" s="16">
        <f t="shared" si="16"/>
        <v>4947200</v>
      </c>
      <c r="Z142" s="18">
        <f t="shared" si="14"/>
        <v>3738950</v>
      </c>
    </row>
    <row r="143" spans="1:31" ht="16" customHeight="1" x14ac:dyDescent="0.45">
      <c r="A143" s="1">
        <v>2502</v>
      </c>
      <c r="B143" s="2">
        <v>45701</v>
      </c>
      <c r="C143" s="24"/>
      <c r="D143" s="4" t="s">
        <v>37</v>
      </c>
      <c r="E143" s="5" t="s">
        <v>28</v>
      </c>
      <c r="G143" s="5" t="s">
        <v>28</v>
      </c>
      <c r="H143" s="19" t="s">
        <v>38</v>
      </c>
      <c r="I143" s="19" t="s">
        <v>39</v>
      </c>
      <c r="K143" s="73" t="s">
        <v>106</v>
      </c>
      <c r="L143" s="6">
        <v>33</v>
      </c>
      <c r="M143" s="7">
        <v>481.2</v>
      </c>
      <c r="O143" s="9">
        <v>765</v>
      </c>
      <c r="P143" s="141"/>
      <c r="Q143" s="95"/>
      <c r="R143" s="12">
        <v>2500</v>
      </c>
      <c r="S143" s="12">
        <f t="shared" si="15"/>
        <v>1203000</v>
      </c>
      <c r="T143" s="33"/>
      <c r="U143" s="34"/>
      <c r="V143" s="15">
        <v>6400</v>
      </c>
      <c r="W143" s="16">
        <f t="shared" si="16"/>
        <v>4896000</v>
      </c>
      <c r="Z143" s="18">
        <f t="shared" si="14"/>
        <v>3693000</v>
      </c>
    </row>
    <row r="144" spans="1:31" ht="16" customHeight="1" x14ac:dyDescent="0.45">
      <c r="A144" s="1">
        <v>2502</v>
      </c>
      <c r="B144" s="2">
        <v>45701</v>
      </c>
      <c r="C144" s="24"/>
      <c r="D144" s="4" t="s">
        <v>37</v>
      </c>
      <c r="E144" s="5" t="s">
        <v>28</v>
      </c>
      <c r="G144" s="5" t="s">
        <v>28</v>
      </c>
      <c r="H144" s="19" t="s">
        <v>38</v>
      </c>
      <c r="I144" s="19" t="s">
        <v>39</v>
      </c>
      <c r="K144" s="73" t="s">
        <v>136</v>
      </c>
      <c r="L144" s="6">
        <v>32</v>
      </c>
      <c r="M144" s="7">
        <v>465.8</v>
      </c>
      <c r="O144" s="9">
        <v>741</v>
      </c>
      <c r="P144" s="141"/>
      <c r="Q144" s="95"/>
      <c r="R144" s="12">
        <v>2500</v>
      </c>
      <c r="S144" s="12">
        <f t="shared" si="15"/>
        <v>1164500</v>
      </c>
      <c r="T144" s="33"/>
      <c r="U144" s="34"/>
      <c r="V144" s="15">
        <v>6400</v>
      </c>
      <c r="W144" s="16">
        <f t="shared" si="16"/>
        <v>4742400</v>
      </c>
      <c r="Z144" s="18">
        <f t="shared" si="14"/>
        <v>3577900</v>
      </c>
    </row>
    <row r="145" spans="1:26" ht="16" customHeight="1" x14ac:dyDescent="0.45">
      <c r="A145" s="1">
        <v>2502</v>
      </c>
      <c r="B145" s="2">
        <v>45701</v>
      </c>
      <c r="C145" s="24"/>
      <c r="D145" s="4" t="s">
        <v>37</v>
      </c>
      <c r="E145" s="5" t="s">
        <v>28</v>
      </c>
      <c r="G145" s="5" t="s">
        <v>28</v>
      </c>
      <c r="H145" s="19" t="s">
        <v>38</v>
      </c>
      <c r="I145" s="19" t="s">
        <v>39</v>
      </c>
      <c r="K145" s="73" t="s">
        <v>107</v>
      </c>
      <c r="L145" s="6">
        <v>33</v>
      </c>
      <c r="M145" s="7">
        <v>489.2</v>
      </c>
      <c r="O145" s="9">
        <v>765</v>
      </c>
      <c r="P145" s="141"/>
      <c r="Q145" s="95"/>
      <c r="R145" s="12">
        <v>2500</v>
      </c>
      <c r="S145" s="12">
        <f t="shared" si="15"/>
        <v>1223000</v>
      </c>
      <c r="T145" s="33"/>
      <c r="U145" s="34"/>
      <c r="V145" s="15">
        <v>6400</v>
      </c>
      <c r="W145" s="16">
        <f t="shared" si="16"/>
        <v>4896000</v>
      </c>
      <c r="Z145" s="18">
        <f t="shared" si="14"/>
        <v>3673000</v>
      </c>
    </row>
    <row r="146" spans="1:26" ht="16" customHeight="1" x14ac:dyDescent="0.45">
      <c r="A146" s="1">
        <v>2502</v>
      </c>
      <c r="B146" s="2">
        <v>45701</v>
      </c>
      <c r="C146" s="24"/>
      <c r="D146" s="4" t="s">
        <v>37</v>
      </c>
      <c r="E146" s="5" t="s">
        <v>28</v>
      </c>
      <c r="G146" s="5" t="s">
        <v>28</v>
      </c>
      <c r="H146" s="19" t="s">
        <v>38</v>
      </c>
      <c r="I146" s="19" t="s">
        <v>39</v>
      </c>
      <c r="K146" s="73" t="s">
        <v>139</v>
      </c>
      <c r="L146" s="6">
        <v>32</v>
      </c>
      <c r="M146" s="7">
        <v>480.8</v>
      </c>
      <c r="O146" s="9">
        <v>763</v>
      </c>
      <c r="P146" s="141"/>
      <c r="Q146" s="95"/>
      <c r="R146" s="12">
        <v>2500</v>
      </c>
      <c r="S146" s="12">
        <f t="shared" si="15"/>
        <v>1202000</v>
      </c>
      <c r="T146" s="33"/>
      <c r="U146" s="34"/>
      <c r="V146" s="15">
        <v>6400</v>
      </c>
      <c r="W146" s="16">
        <f t="shared" si="16"/>
        <v>4883200</v>
      </c>
      <c r="Z146" s="18">
        <f t="shared" si="14"/>
        <v>3681200</v>
      </c>
    </row>
    <row r="147" spans="1:26" ht="16" customHeight="1" x14ac:dyDescent="0.45">
      <c r="A147" s="1">
        <v>2502</v>
      </c>
      <c r="B147" s="2">
        <v>45701</v>
      </c>
      <c r="C147" s="24"/>
      <c r="D147" s="4" t="s">
        <v>37</v>
      </c>
      <c r="E147" s="5" t="s">
        <v>28</v>
      </c>
      <c r="G147" s="5" t="s">
        <v>28</v>
      </c>
      <c r="H147" s="19" t="s">
        <v>38</v>
      </c>
      <c r="I147" s="19" t="s">
        <v>39</v>
      </c>
      <c r="K147" s="73" t="s">
        <v>144</v>
      </c>
      <c r="L147" s="6">
        <v>32</v>
      </c>
      <c r="M147" s="7">
        <v>461.7</v>
      </c>
      <c r="O147" s="9">
        <v>732</v>
      </c>
      <c r="P147" s="141"/>
      <c r="Q147" s="95"/>
      <c r="R147" s="12">
        <v>2500</v>
      </c>
      <c r="S147" s="12">
        <f t="shared" si="15"/>
        <v>1154250</v>
      </c>
      <c r="T147" s="33"/>
      <c r="U147" s="34"/>
      <c r="V147" s="15">
        <v>6400</v>
      </c>
      <c r="W147" s="16">
        <f t="shared" si="16"/>
        <v>4684800</v>
      </c>
      <c r="Z147" s="18">
        <f t="shared" si="14"/>
        <v>3530550</v>
      </c>
    </row>
    <row r="148" spans="1:26" ht="16" customHeight="1" x14ac:dyDescent="0.45">
      <c r="A148" s="1">
        <v>2502</v>
      </c>
      <c r="B148" s="2">
        <v>45701</v>
      </c>
      <c r="C148" s="24"/>
      <c r="D148" s="4" t="s">
        <v>37</v>
      </c>
      <c r="E148" s="5" t="s">
        <v>28</v>
      </c>
      <c r="G148" s="5" t="s">
        <v>28</v>
      </c>
      <c r="H148" s="19" t="s">
        <v>38</v>
      </c>
      <c r="I148" s="19" t="s">
        <v>39</v>
      </c>
      <c r="K148" s="73" t="s">
        <v>145</v>
      </c>
      <c r="L148" s="6">
        <v>32</v>
      </c>
      <c r="M148" s="7">
        <v>464.2</v>
      </c>
      <c r="O148" s="9">
        <v>719</v>
      </c>
      <c r="P148" s="141"/>
      <c r="Q148" s="95"/>
      <c r="R148" s="12">
        <v>2500</v>
      </c>
      <c r="S148" s="12">
        <f t="shared" si="15"/>
        <v>1160500</v>
      </c>
      <c r="T148" s="33"/>
      <c r="U148" s="34"/>
      <c r="V148" s="15">
        <v>6400</v>
      </c>
      <c r="W148" s="16">
        <f t="shared" si="16"/>
        <v>4601600</v>
      </c>
      <c r="Z148" s="18">
        <f t="shared" si="14"/>
        <v>3441100</v>
      </c>
    </row>
    <row r="149" spans="1:26" ht="16" customHeight="1" x14ac:dyDescent="0.45">
      <c r="A149" s="1">
        <v>2502</v>
      </c>
      <c r="B149" s="2">
        <v>45701</v>
      </c>
      <c r="C149" s="24"/>
      <c r="D149" s="4" t="s">
        <v>37</v>
      </c>
      <c r="E149" s="5" t="s">
        <v>28</v>
      </c>
      <c r="G149" s="5" t="s">
        <v>28</v>
      </c>
      <c r="H149" s="19" t="s">
        <v>38</v>
      </c>
      <c r="I149" s="19" t="s">
        <v>39</v>
      </c>
      <c r="K149" s="73" t="s">
        <v>146</v>
      </c>
      <c r="L149" s="6">
        <v>31</v>
      </c>
      <c r="M149" s="7">
        <v>450.4</v>
      </c>
      <c r="O149" s="9">
        <v>700</v>
      </c>
      <c r="P149" s="141"/>
      <c r="Q149" s="95"/>
      <c r="R149" s="12">
        <v>2500</v>
      </c>
      <c r="S149" s="12">
        <f t="shared" si="15"/>
        <v>1126000</v>
      </c>
      <c r="T149" s="33"/>
      <c r="U149" s="34"/>
      <c r="V149" s="15">
        <v>6400</v>
      </c>
      <c r="W149" s="16">
        <f t="shared" si="16"/>
        <v>4480000</v>
      </c>
      <c r="Z149" s="18">
        <f t="shared" si="14"/>
        <v>3354000</v>
      </c>
    </row>
    <row r="150" spans="1:26" ht="16" customHeight="1" x14ac:dyDescent="0.45">
      <c r="A150" s="1">
        <v>2502</v>
      </c>
      <c r="B150" s="2">
        <v>45713</v>
      </c>
      <c r="C150" s="24"/>
      <c r="D150" s="4" t="s">
        <v>37</v>
      </c>
      <c r="E150" s="5" t="s">
        <v>28</v>
      </c>
      <c r="G150" s="5" t="s">
        <v>28</v>
      </c>
      <c r="H150" s="19" t="s">
        <v>38</v>
      </c>
      <c r="I150" s="19" t="s">
        <v>39</v>
      </c>
      <c r="K150" s="73" t="s">
        <v>40</v>
      </c>
      <c r="L150" s="6">
        <v>32</v>
      </c>
      <c r="M150" s="7">
        <v>482.1</v>
      </c>
      <c r="O150" s="9">
        <v>771</v>
      </c>
      <c r="P150" s="141"/>
      <c r="Q150" s="95"/>
      <c r="R150" s="12">
        <v>2500</v>
      </c>
      <c r="S150" s="12">
        <f t="shared" si="15"/>
        <v>1205250</v>
      </c>
      <c r="T150" s="33"/>
      <c r="U150" s="34"/>
      <c r="V150" s="15">
        <v>6400</v>
      </c>
      <c r="W150" s="16">
        <f t="shared" si="16"/>
        <v>4934400</v>
      </c>
      <c r="Z150" s="18">
        <f t="shared" si="14"/>
        <v>3729150</v>
      </c>
    </row>
    <row r="151" spans="1:26" ht="16" customHeight="1" x14ac:dyDescent="0.45">
      <c r="A151" s="1">
        <v>2502</v>
      </c>
      <c r="B151" s="2">
        <v>45713</v>
      </c>
      <c r="C151" s="24"/>
      <c r="D151" s="4" t="s">
        <v>37</v>
      </c>
      <c r="E151" s="5" t="s">
        <v>28</v>
      </c>
      <c r="G151" s="5" t="s">
        <v>28</v>
      </c>
      <c r="H151" s="19" t="s">
        <v>38</v>
      </c>
      <c r="I151" s="19" t="s">
        <v>39</v>
      </c>
      <c r="K151" s="73" t="s">
        <v>41</v>
      </c>
      <c r="L151" s="6">
        <v>32</v>
      </c>
      <c r="M151" s="7">
        <v>476.4</v>
      </c>
      <c r="O151" s="9">
        <v>753</v>
      </c>
      <c r="P151" s="141"/>
      <c r="Q151" s="95"/>
      <c r="R151" s="12">
        <v>2500</v>
      </c>
      <c r="S151" s="12">
        <f t="shared" si="15"/>
        <v>1191000</v>
      </c>
      <c r="T151" s="33"/>
      <c r="U151" s="34"/>
      <c r="V151" s="15">
        <v>6400</v>
      </c>
      <c r="W151" s="16">
        <f t="shared" si="16"/>
        <v>4819200</v>
      </c>
      <c r="Z151" s="18">
        <f t="shared" si="14"/>
        <v>3628200</v>
      </c>
    </row>
    <row r="152" spans="1:26" ht="16" customHeight="1" x14ac:dyDescent="0.45">
      <c r="A152" s="1">
        <v>2502</v>
      </c>
      <c r="B152" s="2">
        <v>45713</v>
      </c>
      <c r="C152" s="24"/>
      <c r="D152" s="4" t="s">
        <v>37</v>
      </c>
      <c r="E152" s="5" t="s">
        <v>28</v>
      </c>
      <c r="G152" s="5" t="s">
        <v>28</v>
      </c>
      <c r="H152" s="19" t="s">
        <v>38</v>
      </c>
      <c r="I152" s="19" t="s">
        <v>39</v>
      </c>
      <c r="K152" s="73" t="s">
        <v>42</v>
      </c>
      <c r="L152" s="6">
        <v>31</v>
      </c>
      <c r="M152" s="7">
        <v>468.1</v>
      </c>
      <c r="O152" s="9">
        <v>728</v>
      </c>
      <c r="P152" s="141"/>
      <c r="Q152" s="95"/>
      <c r="R152" s="12">
        <v>2500</v>
      </c>
      <c r="S152" s="12">
        <f t="shared" si="15"/>
        <v>1170250</v>
      </c>
      <c r="T152" s="33"/>
      <c r="U152" s="34"/>
      <c r="V152" s="15">
        <v>6400</v>
      </c>
      <c r="W152" s="16">
        <f t="shared" si="16"/>
        <v>4659200</v>
      </c>
      <c r="Z152" s="18">
        <f t="shared" si="14"/>
        <v>3488950</v>
      </c>
    </row>
    <row r="153" spans="1:26" ht="16" customHeight="1" x14ac:dyDescent="0.45">
      <c r="A153" s="1">
        <v>2502</v>
      </c>
      <c r="B153" s="2">
        <v>45713</v>
      </c>
      <c r="C153" s="24"/>
      <c r="D153" s="4" t="s">
        <v>37</v>
      </c>
      <c r="E153" s="5" t="s">
        <v>28</v>
      </c>
      <c r="G153" s="5" t="s">
        <v>28</v>
      </c>
      <c r="H153" s="19" t="s">
        <v>38</v>
      </c>
      <c r="I153" s="19" t="s">
        <v>39</v>
      </c>
      <c r="K153" s="73" t="s">
        <v>43</v>
      </c>
      <c r="L153" s="6">
        <v>31</v>
      </c>
      <c r="M153" s="7">
        <v>457.2</v>
      </c>
      <c r="O153" s="9">
        <v>725</v>
      </c>
      <c r="P153" s="141"/>
      <c r="Q153" s="95"/>
      <c r="R153" s="12">
        <v>2500</v>
      </c>
      <c r="S153" s="12">
        <f t="shared" si="15"/>
        <v>1143000</v>
      </c>
      <c r="T153" s="33"/>
      <c r="U153" s="34"/>
      <c r="V153" s="15">
        <v>6400</v>
      </c>
      <c r="W153" s="16">
        <f t="shared" si="16"/>
        <v>4640000</v>
      </c>
      <c r="Z153" s="18">
        <f t="shared" si="14"/>
        <v>3497000</v>
      </c>
    </row>
    <row r="154" spans="1:26" ht="16" customHeight="1" x14ac:dyDescent="0.45">
      <c r="A154" s="1">
        <v>2502</v>
      </c>
      <c r="B154" s="2">
        <v>45713</v>
      </c>
      <c r="C154" s="24"/>
      <c r="D154" s="4" t="s">
        <v>37</v>
      </c>
      <c r="E154" s="5" t="s">
        <v>28</v>
      </c>
      <c r="G154" s="5" t="s">
        <v>28</v>
      </c>
      <c r="H154" s="19" t="s">
        <v>38</v>
      </c>
      <c r="I154" s="19" t="s">
        <v>39</v>
      </c>
      <c r="K154" s="73" t="s">
        <v>44</v>
      </c>
      <c r="L154" s="6">
        <v>32</v>
      </c>
      <c r="M154" s="7">
        <v>476</v>
      </c>
      <c r="O154" s="9">
        <v>742</v>
      </c>
      <c r="P154" s="141"/>
      <c r="Q154" s="95"/>
      <c r="R154" s="12">
        <v>2500</v>
      </c>
      <c r="S154" s="12">
        <f t="shared" si="15"/>
        <v>1190000</v>
      </c>
      <c r="T154" s="33"/>
      <c r="U154" s="34"/>
      <c r="V154" s="15">
        <v>6400</v>
      </c>
      <c r="W154" s="16">
        <f t="shared" si="16"/>
        <v>4748800</v>
      </c>
      <c r="Z154" s="18">
        <f t="shared" si="14"/>
        <v>3558800</v>
      </c>
    </row>
    <row r="155" spans="1:26" ht="16" customHeight="1" x14ac:dyDescent="0.45">
      <c r="A155" s="1">
        <v>2502</v>
      </c>
      <c r="B155" s="2">
        <v>45713</v>
      </c>
      <c r="C155" s="24"/>
      <c r="D155" s="4" t="s">
        <v>37</v>
      </c>
      <c r="E155" s="5" t="s">
        <v>28</v>
      </c>
      <c r="G155" s="5" t="s">
        <v>28</v>
      </c>
      <c r="H155" s="19" t="s">
        <v>38</v>
      </c>
      <c r="I155" s="19" t="s">
        <v>39</v>
      </c>
      <c r="K155" s="73" t="s">
        <v>45</v>
      </c>
      <c r="L155" s="6">
        <v>32</v>
      </c>
      <c r="M155" s="7">
        <v>479.2</v>
      </c>
      <c r="O155" s="9">
        <v>734</v>
      </c>
      <c r="P155" s="141"/>
      <c r="Q155" s="95"/>
      <c r="R155" s="12">
        <v>2500</v>
      </c>
      <c r="S155" s="12">
        <f t="shared" si="15"/>
        <v>1198000</v>
      </c>
      <c r="T155" s="33"/>
      <c r="U155" s="34"/>
      <c r="V155" s="15">
        <v>6400</v>
      </c>
      <c r="W155" s="16">
        <f t="shared" si="16"/>
        <v>4697600</v>
      </c>
      <c r="Z155" s="18">
        <f t="shared" si="14"/>
        <v>3499600</v>
      </c>
    </row>
    <row r="156" spans="1:26" ht="16" customHeight="1" x14ac:dyDescent="0.45">
      <c r="A156" s="1">
        <v>2502</v>
      </c>
      <c r="B156" s="2">
        <v>45713</v>
      </c>
      <c r="C156" s="24"/>
      <c r="D156" s="4" t="s">
        <v>37</v>
      </c>
      <c r="E156" s="5" t="s">
        <v>28</v>
      </c>
      <c r="G156" s="5" t="s">
        <v>28</v>
      </c>
      <c r="H156" s="19" t="s">
        <v>38</v>
      </c>
      <c r="I156" s="19" t="s">
        <v>39</v>
      </c>
      <c r="K156" s="73" t="s">
        <v>46</v>
      </c>
      <c r="L156" s="6">
        <v>31</v>
      </c>
      <c r="M156" s="7">
        <v>460.9</v>
      </c>
      <c r="O156" s="9">
        <v>731</v>
      </c>
      <c r="P156" s="141"/>
      <c r="Q156" s="95"/>
      <c r="R156" s="12">
        <v>2500</v>
      </c>
      <c r="S156" s="12">
        <f t="shared" si="15"/>
        <v>1152250</v>
      </c>
      <c r="T156" s="33"/>
      <c r="U156" s="34"/>
      <c r="V156" s="15">
        <v>6400</v>
      </c>
      <c r="W156" s="16">
        <f t="shared" si="16"/>
        <v>4678400</v>
      </c>
      <c r="Z156" s="18">
        <f t="shared" si="14"/>
        <v>3526150</v>
      </c>
    </row>
    <row r="157" spans="1:26" ht="16" customHeight="1" x14ac:dyDescent="0.45">
      <c r="A157" s="1">
        <v>2502</v>
      </c>
      <c r="B157" s="2">
        <v>45713</v>
      </c>
      <c r="C157" s="24"/>
      <c r="D157" s="4" t="s">
        <v>37</v>
      </c>
      <c r="E157" s="5" t="s">
        <v>28</v>
      </c>
      <c r="G157" s="5" t="s">
        <v>28</v>
      </c>
      <c r="H157" s="19" t="s">
        <v>38</v>
      </c>
      <c r="I157" s="19" t="s">
        <v>39</v>
      </c>
      <c r="K157" s="73" t="s">
        <v>48</v>
      </c>
      <c r="L157" s="6">
        <v>26</v>
      </c>
      <c r="M157" s="7">
        <v>379.1</v>
      </c>
      <c r="O157" s="9">
        <v>600</v>
      </c>
      <c r="P157" s="141"/>
      <c r="Q157" s="95"/>
      <c r="R157" s="12">
        <v>2500</v>
      </c>
      <c r="S157" s="12">
        <f t="shared" si="15"/>
        <v>947750</v>
      </c>
      <c r="T157" s="33"/>
      <c r="U157" s="34"/>
      <c r="V157" s="15">
        <v>6400</v>
      </c>
      <c r="W157" s="16">
        <f t="shared" si="16"/>
        <v>3840000</v>
      </c>
      <c r="Z157" s="18">
        <f t="shared" si="14"/>
        <v>2892250</v>
      </c>
    </row>
    <row r="158" spans="1:26" ht="16" customHeight="1" x14ac:dyDescent="0.45">
      <c r="A158" s="1">
        <v>2502</v>
      </c>
      <c r="B158" s="2">
        <v>45713</v>
      </c>
      <c r="C158" s="24"/>
      <c r="D158" s="4" t="s">
        <v>37</v>
      </c>
      <c r="E158" s="5" t="s">
        <v>28</v>
      </c>
      <c r="G158" s="5" t="s">
        <v>28</v>
      </c>
      <c r="H158" s="19" t="s">
        <v>38</v>
      </c>
      <c r="I158" s="19" t="s">
        <v>39</v>
      </c>
      <c r="K158" s="73" t="s">
        <v>49</v>
      </c>
      <c r="L158" s="6">
        <v>28</v>
      </c>
      <c r="M158" s="7">
        <v>410.3</v>
      </c>
      <c r="O158" s="9">
        <v>644</v>
      </c>
      <c r="P158" s="141"/>
      <c r="Q158" s="95"/>
      <c r="R158" s="12">
        <v>2500</v>
      </c>
      <c r="S158" s="12">
        <f t="shared" si="15"/>
        <v>1025750</v>
      </c>
      <c r="T158" s="33"/>
      <c r="U158" s="34"/>
      <c r="V158" s="15">
        <v>6400</v>
      </c>
      <c r="W158" s="16">
        <f t="shared" si="16"/>
        <v>4121600</v>
      </c>
      <c r="Z158" s="18">
        <f t="shared" si="14"/>
        <v>3095850</v>
      </c>
    </row>
    <row r="159" spans="1:26" ht="16" customHeight="1" x14ac:dyDescent="0.45">
      <c r="A159" s="1">
        <v>2502</v>
      </c>
      <c r="B159" s="2">
        <v>45716</v>
      </c>
      <c r="D159" s="4" t="s">
        <v>159</v>
      </c>
      <c r="G159" s="5" t="s">
        <v>28</v>
      </c>
      <c r="H159" s="19" t="s">
        <v>202</v>
      </c>
      <c r="N159" s="8">
        <v>15897</v>
      </c>
      <c r="R159" s="12">
        <v>130</v>
      </c>
      <c r="S159" s="143">
        <f t="shared" ref="S159:S165" si="17">N159*R159</f>
        <v>2066610</v>
      </c>
      <c r="Z159" s="18">
        <f t="shared" si="14"/>
        <v>-2066610</v>
      </c>
    </row>
    <row r="160" spans="1:26" ht="16" customHeight="1" x14ac:dyDescent="0.45">
      <c r="A160" s="1">
        <v>2502</v>
      </c>
      <c r="B160" s="2">
        <v>45699</v>
      </c>
      <c r="D160" s="4" t="s">
        <v>3</v>
      </c>
      <c r="E160" s="5" t="s">
        <v>211</v>
      </c>
      <c r="G160" s="5" t="s">
        <v>1</v>
      </c>
      <c r="H160" s="19" t="s">
        <v>2</v>
      </c>
      <c r="I160" s="19" t="s">
        <v>54</v>
      </c>
      <c r="K160" s="73" t="s">
        <v>58</v>
      </c>
      <c r="L160" s="6">
        <v>9</v>
      </c>
      <c r="M160" s="7">
        <v>130.4</v>
      </c>
      <c r="N160" s="8">
        <v>1919</v>
      </c>
      <c r="R160" s="12">
        <v>500</v>
      </c>
      <c r="S160" s="12">
        <f t="shared" si="17"/>
        <v>959500</v>
      </c>
      <c r="Z160" s="18">
        <f t="shared" si="14"/>
        <v>-959500</v>
      </c>
    </row>
    <row r="161" spans="1:31" ht="16" customHeight="1" x14ac:dyDescent="0.45">
      <c r="A161" s="1">
        <v>2502</v>
      </c>
      <c r="B161" s="2">
        <v>45699</v>
      </c>
      <c r="D161" s="4" t="s">
        <v>3</v>
      </c>
      <c r="E161" s="5" t="s">
        <v>211</v>
      </c>
      <c r="G161" s="5" t="s">
        <v>1</v>
      </c>
      <c r="H161" s="19" t="s">
        <v>2</v>
      </c>
      <c r="I161" s="19" t="s">
        <v>54</v>
      </c>
      <c r="K161" s="73" t="s">
        <v>90</v>
      </c>
      <c r="L161" s="6">
        <v>9</v>
      </c>
      <c r="M161" s="7">
        <v>94.7</v>
      </c>
      <c r="N161" s="8">
        <v>1401</v>
      </c>
      <c r="R161" s="12">
        <v>500</v>
      </c>
      <c r="S161" s="12">
        <f t="shared" si="17"/>
        <v>700500</v>
      </c>
      <c r="Z161" s="18">
        <f t="shared" si="14"/>
        <v>-700500</v>
      </c>
    </row>
    <row r="162" spans="1:31" s="21" customFormat="1" ht="16" customHeight="1" x14ac:dyDescent="0.45">
      <c r="A162" s="1">
        <v>2502</v>
      </c>
      <c r="B162" s="2">
        <v>45699</v>
      </c>
      <c r="C162" s="3"/>
      <c r="D162" s="4" t="s">
        <v>3</v>
      </c>
      <c r="E162" s="76" t="s">
        <v>211</v>
      </c>
      <c r="F162" s="76"/>
      <c r="G162" s="76" t="s">
        <v>1</v>
      </c>
      <c r="H162" s="17" t="s">
        <v>2</v>
      </c>
      <c r="I162" s="17" t="s">
        <v>54</v>
      </c>
      <c r="J162" s="17"/>
      <c r="K162" s="113" t="s">
        <v>332</v>
      </c>
      <c r="L162" s="111">
        <v>11</v>
      </c>
      <c r="M162" s="79">
        <v>96.8</v>
      </c>
      <c r="N162" s="80">
        <v>1412</v>
      </c>
      <c r="O162" s="81"/>
      <c r="P162" s="114"/>
      <c r="Q162" s="105"/>
      <c r="R162" s="12">
        <v>500</v>
      </c>
      <c r="S162" s="12">
        <f t="shared" si="17"/>
        <v>706000</v>
      </c>
      <c r="T162" s="82"/>
      <c r="U162" s="83"/>
      <c r="V162" s="84"/>
      <c r="W162" s="85"/>
      <c r="X162" s="12"/>
      <c r="Y162" s="17"/>
      <c r="Z162" s="18">
        <f t="shared" si="14"/>
        <v>-706000</v>
      </c>
      <c r="AA162" s="17"/>
      <c r="AB162" s="17"/>
      <c r="AC162" s="17"/>
      <c r="AD162" s="17"/>
      <c r="AE162" s="17"/>
    </row>
    <row r="163" spans="1:31" ht="16" customHeight="1" x14ac:dyDescent="0.45">
      <c r="A163" s="1">
        <v>2502</v>
      </c>
      <c r="B163" s="2">
        <v>45699</v>
      </c>
      <c r="D163" s="4" t="s">
        <v>3</v>
      </c>
      <c r="E163" s="5" t="s">
        <v>211</v>
      </c>
      <c r="G163" s="5" t="s">
        <v>1</v>
      </c>
      <c r="H163" s="19" t="s">
        <v>2</v>
      </c>
      <c r="I163" s="19" t="s">
        <v>54</v>
      </c>
      <c r="K163" s="73" t="s">
        <v>57</v>
      </c>
      <c r="L163" s="6">
        <v>7</v>
      </c>
      <c r="M163" s="7">
        <v>97.2</v>
      </c>
      <c r="N163" s="8">
        <v>1403</v>
      </c>
      <c r="R163" s="12">
        <v>500</v>
      </c>
      <c r="S163" s="12">
        <f t="shared" si="17"/>
        <v>701500</v>
      </c>
      <c r="Z163" s="18">
        <f t="shared" si="14"/>
        <v>-701500</v>
      </c>
    </row>
    <row r="164" spans="1:31" ht="16" customHeight="1" x14ac:dyDescent="0.45">
      <c r="A164" s="1">
        <v>2502</v>
      </c>
      <c r="B164" s="2">
        <v>45699</v>
      </c>
      <c r="D164" s="4" t="s">
        <v>3</v>
      </c>
      <c r="E164" s="5" t="s">
        <v>211</v>
      </c>
      <c r="G164" s="5" t="s">
        <v>1</v>
      </c>
      <c r="H164" s="19" t="s">
        <v>2</v>
      </c>
      <c r="I164" s="19" t="s">
        <v>55</v>
      </c>
      <c r="K164" s="73" t="s">
        <v>57</v>
      </c>
      <c r="L164" s="6">
        <v>16</v>
      </c>
      <c r="M164" s="7">
        <v>189.3</v>
      </c>
      <c r="N164" s="8">
        <v>2863</v>
      </c>
      <c r="R164" s="12">
        <v>500</v>
      </c>
      <c r="S164" s="12">
        <f t="shared" si="17"/>
        <v>1431500</v>
      </c>
      <c r="Z164" s="18">
        <f t="shared" si="14"/>
        <v>-1431500</v>
      </c>
    </row>
    <row r="165" spans="1:31" ht="16" customHeight="1" x14ac:dyDescent="0.45">
      <c r="A165" s="1">
        <v>2502</v>
      </c>
      <c r="B165" s="2">
        <v>45709</v>
      </c>
      <c r="D165" s="4" t="s">
        <v>3</v>
      </c>
      <c r="E165" s="5" t="s">
        <v>211</v>
      </c>
      <c r="G165" s="5" t="s">
        <v>1</v>
      </c>
      <c r="H165" s="19" t="s">
        <v>2</v>
      </c>
      <c r="I165" s="19" t="s">
        <v>140</v>
      </c>
      <c r="L165" s="6">
        <v>8</v>
      </c>
      <c r="M165" s="7">
        <v>93.3</v>
      </c>
      <c r="N165" s="8">
        <v>1401</v>
      </c>
      <c r="R165" s="12">
        <v>500</v>
      </c>
      <c r="S165" s="12">
        <f t="shared" si="17"/>
        <v>700500</v>
      </c>
      <c r="Z165" s="18">
        <f t="shared" si="14"/>
        <v>-700500</v>
      </c>
    </row>
    <row r="166" spans="1:31" s="21" customFormat="1" ht="16" customHeight="1" x14ac:dyDescent="0.45">
      <c r="A166" s="1">
        <v>2502</v>
      </c>
      <c r="B166" s="23">
        <v>45691</v>
      </c>
      <c r="C166" s="24"/>
      <c r="D166" s="25" t="s">
        <v>52</v>
      </c>
      <c r="E166" s="26" t="s">
        <v>5</v>
      </c>
      <c r="F166" s="26"/>
      <c r="G166" s="26" t="s">
        <v>5</v>
      </c>
      <c r="H166" s="27" t="s">
        <v>235</v>
      </c>
      <c r="I166" s="27" t="s">
        <v>34</v>
      </c>
      <c r="J166" s="27"/>
      <c r="K166" s="28"/>
      <c r="L166" s="29">
        <v>3</v>
      </c>
      <c r="M166" s="30"/>
      <c r="N166" s="31"/>
      <c r="O166" s="32">
        <v>141</v>
      </c>
      <c r="P166" s="91"/>
      <c r="Q166" s="92"/>
      <c r="R166" s="93"/>
      <c r="S166" s="93"/>
      <c r="T166" s="33"/>
      <c r="U166" s="34"/>
      <c r="V166" s="35">
        <v>9800</v>
      </c>
      <c r="W166" s="36">
        <f>O166*V166</f>
        <v>1381800</v>
      </c>
      <c r="X166" s="93"/>
      <c r="Z166" s="18">
        <f t="shared" si="14"/>
        <v>1381800</v>
      </c>
      <c r="AA166" s="17"/>
      <c r="AB166" s="17"/>
      <c r="AC166" s="17"/>
      <c r="AD166" s="17"/>
      <c r="AE166" s="17"/>
    </row>
    <row r="167" spans="1:31" s="21" customFormat="1" ht="16" customHeight="1" x14ac:dyDescent="0.45">
      <c r="A167" s="1">
        <v>2502</v>
      </c>
      <c r="B167" s="23">
        <v>45691</v>
      </c>
      <c r="C167" s="24"/>
      <c r="D167" s="25" t="s">
        <v>52</v>
      </c>
      <c r="E167" s="26" t="s">
        <v>5</v>
      </c>
      <c r="F167" s="26"/>
      <c r="G167" s="26" t="s">
        <v>5</v>
      </c>
      <c r="H167" s="27" t="s">
        <v>235</v>
      </c>
      <c r="I167" s="27" t="s">
        <v>53</v>
      </c>
      <c r="J167" s="27"/>
      <c r="K167" s="28"/>
      <c r="L167" s="29">
        <v>2</v>
      </c>
      <c r="M167" s="30"/>
      <c r="N167" s="31"/>
      <c r="O167" s="32">
        <v>89</v>
      </c>
      <c r="P167" s="91"/>
      <c r="Q167" s="92"/>
      <c r="R167" s="93"/>
      <c r="S167" s="93"/>
      <c r="T167" s="33"/>
      <c r="U167" s="34"/>
      <c r="V167" s="35">
        <v>9800</v>
      </c>
      <c r="W167" s="36">
        <f>O167*V167</f>
        <v>872200</v>
      </c>
      <c r="X167" s="93"/>
      <c r="Z167" s="18">
        <f t="shared" si="14"/>
        <v>872200</v>
      </c>
      <c r="AA167" s="17"/>
      <c r="AB167" s="17"/>
      <c r="AC167" s="17"/>
      <c r="AD167" s="17"/>
      <c r="AE167" s="17"/>
    </row>
    <row r="168" spans="1:31" s="21" customFormat="1" ht="16" customHeight="1" x14ac:dyDescent="0.45">
      <c r="A168" s="22">
        <v>2503</v>
      </c>
      <c r="B168" s="23">
        <v>45720</v>
      </c>
      <c r="C168" s="24"/>
      <c r="D168" s="25" t="s">
        <v>333</v>
      </c>
      <c r="E168" s="26" t="s">
        <v>317</v>
      </c>
      <c r="F168" s="26" t="s">
        <v>334</v>
      </c>
      <c r="G168" s="26" t="s">
        <v>317</v>
      </c>
      <c r="H168" s="19" t="s">
        <v>127</v>
      </c>
      <c r="I168" s="27" t="s">
        <v>208</v>
      </c>
      <c r="J168" s="27"/>
      <c r="K168" s="28"/>
      <c r="L168" s="29"/>
      <c r="M168" s="30"/>
      <c r="N168" s="31">
        <v>3410</v>
      </c>
      <c r="O168" s="32"/>
      <c r="P168" s="91"/>
      <c r="Q168" s="92"/>
      <c r="R168" s="93" t="s">
        <v>335</v>
      </c>
      <c r="S168" s="93"/>
      <c r="T168" s="33"/>
      <c r="U168" s="34"/>
      <c r="V168" s="35">
        <v>1200</v>
      </c>
      <c r="W168" s="36">
        <f>N168*V168</f>
        <v>4092000</v>
      </c>
      <c r="X168" s="93"/>
      <c r="Z168" s="18">
        <f t="shared" si="14"/>
        <v>4092000</v>
      </c>
      <c r="AA168" s="17"/>
      <c r="AB168" s="17"/>
      <c r="AC168" s="17"/>
      <c r="AD168" s="17"/>
      <c r="AE168" s="17"/>
    </row>
    <row r="169" spans="1:31" s="21" customFormat="1" ht="16" customHeight="1" x14ac:dyDescent="0.45">
      <c r="A169" s="22">
        <v>2503</v>
      </c>
      <c r="B169" s="23">
        <v>45720</v>
      </c>
      <c r="C169" s="24"/>
      <c r="D169" s="25" t="s">
        <v>333</v>
      </c>
      <c r="E169" s="89" t="s">
        <v>185</v>
      </c>
      <c r="F169" s="89" t="s">
        <v>336</v>
      </c>
      <c r="G169" s="89" t="s">
        <v>185</v>
      </c>
      <c r="H169" s="89" t="s">
        <v>172</v>
      </c>
      <c r="I169" s="89" t="s">
        <v>209</v>
      </c>
      <c r="K169" s="116"/>
      <c r="L169" s="109"/>
      <c r="M169" s="98"/>
      <c r="N169" s="99">
        <v>2577</v>
      </c>
      <c r="O169" s="100"/>
      <c r="P169" s="115"/>
      <c r="Q169" s="101"/>
      <c r="R169" s="93" t="s">
        <v>335</v>
      </c>
      <c r="S169" s="93"/>
      <c r="T169" s="94"/>
      <c r="U169" s="102"/>
      <c r="V169" s="103">
        <v>1200</v>
      </c>
      <c r="W169" s="36">
        <f>N169*V169</f>
        <v>3092400</v>
      </c>
      <c r="X169" s="93"/>
      <c r="Z169" s="18">
        <f t="shared" si="14"/>
        <v>3092400</v>
      </c>
      <c r="AA169" s="17"/>
      <c r="AB169" s="17"/>
      <c r="AC169" s="17"/>
      <c r="AD169" s="17"/>
      <c r="AE169" s="17"/>
    </row>
    <row r="170" spans="1:31" s="21" customFormat="1" ht="16" customHeight="1" x14ac:dyDescent="0.45">
      <c r="A170" s="22">
        <v>2503</v>
      </c>
      <c r="B170" s="23">
        <v>45720</v>
      </c>
      <c r="C170" s="24"/>
      <c r="D170" s="25" t="s">
        <v>333</v>
      </c>
      <c r="E170" s="26" t="s">
        <v>117</v>
      </c>
      <c r="F170" s="26" t="s">
        <v>337</v>
      </c>
      <c r="G170" s="26" t="s">
        <v>117</v>
      </c>
      <c r="H170" s="27" t="s">
        <v>172</v>
      </c>
      <c r="I170" s="27" t="s">
        <v>209</v>
      </c>
      <c r="J170" s="27"/>
      <c r="K170" s="28"/>
      <c r="L170" s="29"/>
      <c r="M170" s="30"/>
      <c r="N170" s="31">
        <v>12078</v>
      </c>
      <c r="O170" s="32"/>
      <c r="P170" s="91"/>
      <c r="Q170" s="92"/>
      <c r="R170" s="93" t="s">
        <v>335</v>
      </c>
      <c r="S170" s="93"/>
      <c r="T170" s="33"/>
      <c r="U170" s="34"/>
      <c r="V170" s="35">
        <v>980</v>
      </c>
      <c r="W170" s="36">
        <f>N170*V170</f>
        <v>11836440</v>
      </c>
      <c r="X170" s="93"/>
      <c r="Z170" s="18">
        <f t="shared" si="14"/>
        <v>11836440</v>
      </c>
      <c r="AA170" s="17"/>
      <c r="AB170" s="17"/>
      <c r="AC170" s="17"/>
      <c r="AD170" s="17"/>
      <c r="AE170" s="17"/>
    </row>
    <row r="171" spans="1:31" ht="16" customHeight="1" x14ac:dyDescent="0.45">
      <c r="A171" s="22">
        <v>2503</v>
      </c>
      <c r="B171" s="2">
        <v>45723</v>
      </c>
      <c r="D171" s="4" t="s">
        <v>0</v>
      </c>
      <c r="E171" s="5" t="s">
        <v>3</v>
      </c>
      <c r="G171" s="5" t="s">
        <v>1</v>
      </c>
      <c r="H171" s="19" t="s">
        <v>2</v>
      </c>
      <c r="L171" s="6">
        <v>12</v>
      </c>
      <c r="M171" s="7">
        <v>216</v>
      </c>
      <c r="R171" s="12">
        <v>3800</v>
      </c>
      <c r="S171" s="12">
        <f t="shared" ref="S171:S181" si="18">M171*R171</f>
        <v>820800</v>
      </c>
      <c r="Z171" s="18">
        <f t="shared" si="14"/>
        <v>-820800</v>
      </c>
    </row>
    <row r="172" spans="1:31" s="21" customFormat="1" ht="16" customHeight="1" x14ac:dyDescent="0.45">
      <c r="A172" s="22">
        <v>2503</v>
      </c>
      <c r="B172" s="2">
        <v>45734</v>
      </c>
      <c r="C172" s="3"/>
      <c r="D172" s="4" t="s">
        <v>0</v>
      </c>
      <c r="E172" s="5" t="s">
        <v>3</v>
      </c>
      <c r="F172" s="5"/>
      <c r="G172" s="5" t="s">
        <v>1</v>
      </c>
      <c r="H172" s="19" t="s">
        <v>2</v>
      </c>
      <c r="I172" s="19"/>
      <c r="J172" s="19"/>
      <c r="K172" s="20"/>
      <c r="L172" s="6">
        <v>24</v>
      </c>
      <c r="M172" s="7">
        <v>432</v>
      </c>
      <c r="N172" s="8"/>
      <c r="O172" s="9"/>
      <c r="P172" s="10"/>
      <c r="Q172" s="11"/>
      <c r="R172" s="12">
        <v>3800</v>
      </c>
      <c r="S172" s="12">
        <f t="shared" si="18"/>
        <v>1641600</v>
      </c>
      <c r="T172" s="13"/>
      <c r="U172" s="14"/>
      <c r="V172" s="15"/>
      <c r="W172" s="16"/>
      <c r="X172" s="12"/>
      <c r="Y172" s="17"/>
      <c r="Z172" s="18">
        <f t="shared" si="14"/>
        <v>-1641600</v>
      </c>
      <c r="AA172" s="17"/>
      <c r="AB172" s="17"/>
      <c r="AC172" s="17"/>
      <c r="AD172" s="17"/>
      <c r="AE172" s="17"/>
    </row>
    <row r="173" spans="1:31" s="21" customFormat="1" ht="16" customHeight="1" x14ac:dyDescent="0.45">
      <c r="A173" s="22">
        <v>2503</v>
      </c>
      <c r="B173" s="2">
        <v>45736</v>
      </c>
      <c r="C173" s="3"/>
      <c r="D173" s="4" t="s">
        <v>0</v>
      </c>
      <c r="E173" s="5" t="s">
        <v>3</v>
      </c>
      <c r="F173" s="5"/>
      <c r="G173" s="5" t="s">
        <v>1</v>
      </c>
      <c r="H173" s="19" t="s">
        <v>2</v>
      </c>
      <c r="I173" s="19"/>
      <c r="J173" s="19"/>
      <c r="K173" s="20"/>
      <c r="L173" s="6">
        <v>6</v>
      </c>
      <c r="M173" s="7">
        <v>108</v>
      </c>
      <c r="N173" s="8"/>
      <c r="O173" s="9"/>
      <c r="P173" s="10"/>
      <c r="Q173" s="11"/>
      <c r="R173" s="12">
        <v>3800</v>
      </c>
      <c r="S173" s="12">
        <f t="shared" si="18"/>
        <v>410400</v>
      </c>
      <c r="T173" s="13"/>
      <c r="U173" s="14"/>
      <c r="V173" s="15"/>
      <c r="W173" s="16"/>
      <c r="X173" s="12"/>
      <c r="Y173" s="17"/>
      <c r="Z173" s="18">
        <f t="shared" si="14"/>
        <v>-410400</v>
      </c>
      <c r="AA173" s="17"/>
      <c r="AB173" s="17"/>
      <c r="AC173" s="17"/>
      <c r="AD173" s="17"/>
      <c r="AE173" s="17"/>
    </row>
    <row r="174" spans="1:31" s="21" customFormat="1" ht="16" customHeight="1" x14ac:dyDescent="0.45">
      <c r="A174" s="22">
        <v>2503</v>
      </c>
      <c r="B174" s="2">
        <v>45741</v>
      </c>
      <c r="C174" s="3"/>
      <c r="D174" s="4" t="s">
        <v>0</v>
      </c>
      <c r="E174" s="5" t="s">
        <v>3</v>
      </c>
      <c r="F174" s="5"/>
      <c r="G174" s="5" t="s">
        <v>1</v>
      </c>
      <c r="H174" s="19" t="s">
        <v>2</v>
      </c>
      <c r="I174" s="19"/>
      <c r="J174" s="19"/>
      <c r="K174" s="20"/>
      <c r="L174" s="6">
        <v>6</v>
      </c>
      <c r="M174" s="7">
        <v>108</v>
      </c>
      <c r="N174" s="8"/>
      <c r="O174" s="9"/>
      <c r="P174" s="10"/>
      <c r="Q174" s="11"/>
      <c r="R174" s="12">
        <v>3800</v>
      </c>
      <c r="S174" s="12">
        <f t="shared" si="18"/>
        <v>410400</v>
      </c>
      <c r="T174" s="13"/>
      <c r="U174" s="14"/>
      <c r="V174" s="15"/>
      <c r="W174" s="16"/>
      <c r="X174" s="12"/>
      <c r="Y174" s="17"/>
      <c r="Z174" s="18">
        <f t="shared" si="14"/>
        <v>-410400</v>
      </c>
      <c r="AA174" s="17"/>
      <c r="AB174" s="17"/>
      <c r="AC174" s="17"/>
      <c r="AD174" s="17"/>
      <c r="AE174" s="17"/>
    </row>
    <row r="175" spans="1:31" s="21" customFormat="1" ht="16" customHeight="1" x14ac:dyDescent="0.45">
      <c r="A175" s="22">
        <v>2503</v>
      </c>
      <c r="B175" s="2">
        <v>45744</v>
      </c>
      <c r="C175" s="3"/>
      <c r="D175" s="4" t="s">
        <v>0</v>
      </c>
      <c r="E175" s="5" t="s">
        <v>3</v>
      </c>
      <c r="F175" s="5"/>
      <c r="G175" s="5" t="s">
        <v>1</v>
      </c>
      <c r="H175" s="19" t="s">
        <v>2</v>
      </c>
      <c r="I175" s="19"/>
      <c r="J175" s="19"/>
      <c r="K175" s="20"/>
      <c r="L175" s="6">
        <v>6</v>
      </c>
      <c r="M175" s="7">
        <v>108</v>
      </c>
      <c r="N175" s="8"/>
      <c r="O175" s="9"/>
      <c r="P175" s="10"/>
      <c r="Q175" s="11"/>
      <c r="R175" s="12">
        <v>3800</v>
      </c>
      <c r="S175" s="12">
        <f t="shared" si="18"/>
        <v>410400</v>
      </c>
      <c r="T175" s="13"/>
      <c r="U175" s="14"/>
      <c r="V175" s="15"/>
      <c r="W175" s="16"/>
      <c r="X175" s="12"/>
      <c r="Y175" s="17"/>
      <c r="Z175" s="18">
        <f t="shared" si="14"/>
        <v>-410400</v>
      </c>
      <c r="AA175" s="17"/>
      <c r="AB175" s="17"/>
      <c r="AC175" s="17"/>
      <c r="AD175" s="17"/>
      <c r="AE175" s="17"/>
    </row>
    <row r="176" spans="1:31" s="21" customFormat="1" ht="16" customHeight="1" x14ac:dyDescent="0.45">
      <c r="A176" s="22">
        <v>2503</v>
      </c>
      <c r="B176" s="2">
        <v>45717</v>
      </c>
      <c r="C176" s="3"/>
      <c r="D176" s="4" t="s">
        <v>198</v>
      </c>
      <c r="E176" s="5" t="s">
        <v>27</v>
      </c>
      <c r="F176" s="5"/>
      <c r="G176" s="5" t="s">
        <v>28</v>
      </c>
      <c r="H176" s="19" t="s">
        <v>294</v>
      </c>
      <c r="I176" s="19">
        <v>3206</v>
      </c>
      <c r="J176" s="19"/>
      <c r="K176" s="20"/>
      <c r="L176" s="6">
        <v>1</v>
      </c>
      <c r="M176" s="7">
        <v>74.599999999999994</v>
      </c>
      <c r="N176" s="8"/>
      <c r="O176" s="9"/>
      <c r="P176" s="10"/>
      <c r="Q176" s="11"/>
      <c r="R176" s="12">
        <v>1200</v>
      </c>
      <c r="S176" s="12">
        <f t="shared" si="18"/>
        <v>89520</v>
      </c>
      <c r="T176" s="13"/>
      <c r="U176" s="14"/>
      <c r="V176" s="15"/>
      <c r="W176" s="16"/>
      <c r="X176" s="12"/>
      <c r="Y176" s="17"/>
      <c r="Z176" s="18">
        <f t="shared" si="14"/>
        <v>-89520</v>
      </c>
      <c r="AA176" s="17"/>
      <c r="AB176" s="17"/>
      <c r="AC176" s="17"/>
      <c r="AD176" s="17"/>
      <c r="AE176" s="17"/>
    </row>
    <row r="177" spans="1:31" s="21" customFormat="1" ht="16" customHeight="1" x14ac:dyDescent="0.45">
      <c r="A177" s="22">
        <v>2503</v>
      </c>
      <c r="B177" s="2">
        <v>45717</v>
      </c>
      <c r="C177" s="3"/>
      <c r="D177" s="4" t="s">
        <v>198</v>
      </c>
      <c r="E177" s="5" t="s">
        <v>27</v>
      </c>
      <c r="F177" s="5"/>
      <c r="G177" s="5" t="s">
        <v>28</v>
      </c>
      <c r="H177" s="19" t="s">
        <v>310</v>
      </c>
      <c r="I177" s="19"/>
      <c r="J177" s="19"/>
      <c r="K177" s="20"/>
      <c r="L177" s="6">
        <v>11</v>
      </c>
      <c r="M177" s="7">
        <v>815.2</v>
      </c>
      <c r="N177" s="8"/>
      <c r="O177" s="9"/>
      <c r="P177" s="10"/>
      <c r="Q177" s="11"/>
      <c r="R177" s="12">
        <v>1100</v>
      </c>
      <c r="S177" s="12">
        <f t="shared" si="18"/>
        <v>896720</v>
      </c>
      <c r="T177" s="13"/>
      <c r="U177" s="14"/>
      <c r="V177" s="15"/>
      <c r="W177" s="16"/>
      <c r="X177" s="12"/>
      <c r="Y177" s="17"/>
      <c r="Z177" s="18">
        <f t="shared" si="14"/>
        <v>-896720</v>
      </c>
      <c r="AA177" s="17"/>
      <c r="AB177" s="17"/>
      <c r="AC177" s="17"/>
      <c r="AD177" s="17"/>
      <c r="AE177" s="17"/>
    </row>
    <row r="178" spans="1:31" s="21" customFormat="1" ht="16" customHeight="1" x14ac:dyDescent="0.45">
      <c r="A178" s="22">
        <v>2503</v>
      </c>
      <c r="B178" s="2">
        <v>45724</v>
      </c>
      <c r="C178" s="3"/>
      <c r="D178" s="4" t="s">
        <v>198</v>
      </c>
      <c r="E178" s="5" t="s">
        <v>27</v>
      </c>
      <c r="F178" s="5"/>
      <c r="G178" s="5" t="s">
        <v>28</v>
      </c>
      <c r="H178" s="19" t="s">
        <v>294</v>
      </c>
      <c r="I178" s="19">
        <v>3206</v>
      </c>
      <c r="J178" s="19"/>
      <c r="K178" s="20"/>
      <c r="L178" s="6">
        <v>2</v>
      </c>
      <c r="M178" s="7">
        <v>447.2</v>
      </c>
      <c r="N178" s="8"/>
      <c r="O178" s="9"/>
      <c r="P178" s="10"/>
      <c r="Q178" s="11"/>
      <c r="R178" s="12">
        <v>1200</v>
      </c>
      <c r="S178" s="12">
        <f t="shared" si="18"/>
        <v>536640</v>
      </c>
      <c r="T178" s="13"/>
      <c r="U178" s="14"/>
      <c r="V178" s="15"/>
      <c r="W178" s="16"/>
      <c r="X178" s="12"/>
      <c r="Y178" s="17"/>
      <c r="Z178" s="18">
        <f t="shared" si="14"/>
        <v>-536640</v>
      </c>
      <c r="AA178" s="17"/>
      <c r="AB178" s="17"/>
      <c r="AC178" s="17"/>
      <c r="AD178" s="17"/>
      <c r="AE178" s="17"/>
    </row>
    <row r="179" spans="1:31" s="39" customFormat="1" ht="16" customHeight="1" x14ac:dyDescent="0.45">
      <c r="A179" s="22">
        <v>2503</v>
      </c>
      <c r="B179" s="2">
        <v>45730</v>
      </c>
      <c r="C179" s="3"/>
      <c r="D179" s="4" t="s">
        <v>198</v>
      </c>
      <c r="E179" s="5" t="s">
        <v>27</v>
      </c>
      <c r="F179" s="5"/>
      <c r="G179" s="5" t="s">
        <v>28</v>
      </c>
      <c r="H179" s="19" t="s">
        <v>294</v>
      </c>
      <c r="I179" s="19">
        <v>3206</v>
      </c>
      <c r="J179" s="19"/>
      <c r="K179" s="20"/>
      <c r="L179" s="6">
        <v>2</v>
      </c>
      <c r="M179" s="7">
        <v>445.7</v>
      </c>
      <c r="N179" s="8"/>
      <c r="O179" s="9"/>
      <c r="P179" s="10"/>
      <c r="Q179" s="11"/>
      <c r="R179" s="12">
        <v>1200</v>
      </c>
      <c r="S179" s="12">
        <f t="shared" si="18"/>
        <v>534840</v>
      </c>
      <c r="T179" s="13"/>
      <c r="U179" s="14"/>
      <c r="V179" s="15"/>
      <c r="W179" s="16"/>
      <c r="X179" s="12"/>
      <c r="Y179" s="17"/>
      <c r="Z179" s="18">
        <f t="shared" si="14"/>
        <v>-534840</v>
      </c>
      <c r="AA179" s="17"/>
      <c r="AB179" s="17"/>
      <c r="AC179" s="17"/>
      <c r="AD179" s="17"/>
      <c r="AE179" s="17"/>
    </row>
    <row r="180" spans="1:31" s="21" customFormat="1" ht="16" customHeight="1" x14ac:dyDescent="0.45">
      <c r="A180" s="22">
        <v>2503</v>
      </c>
      <c r="B180" s="2">
        <v>45737</v>
      </c>
      <c r="C180" s="3"/>
      <c r="D180" s="4" t="s">
        <v>198</v>
      </c>
      <c r="E180" s="5" t="s">
        <v>27</v>
      </c>
      <c r="F180" s="5"/>
      <c r="G180" s="5" t="s">
        <v>28</v>
      </c>
      <c r="H180" s="19" t="s">
        <v>294</v>
      </c>
      <c r="I180" s="19">
        <v>3206</v>
      </c>
      <c r="J180" s="19"/>
      <c r="K180" s="20"/>
      <c r="L180" s="6"/>
      <c r="M180" s="7">
        <v>447.7</v>
      </c>
      <c r="N180" s="8"/>
      <c r="O180" s="9"/>
      <c r="P180" s="10"/>
      <c r="Q180" s="11"/>
      <c r="R180" s="12">
        <v>1200</v>
      </c>
      <c r="S180" s="12">
        <f t="shared" si="18"/>
        <v>537240</v>
      </c>
      <c r="T180" s="13"/>
      <c r="U180" s="14"/>
      <c r="V180" s="15"/>
      <c r="W180" s="16"/>
      <c r="X180" s="12"/>
      <c r="Y180" s="17"/>
      <c r="Z180" s="18">
        <f t="shared" si="14"/>
        <v>-537240</v>
      </c>
      <c r="AA180" s="17"/>
      <c r="AB180" s="17"/>
      <c r="AC180" s="17"/>
      <c r="AD180" s="17"/>
      <c r="AE180" s="17"/>
    </row>
    <row r="181" spans="1:31" s="21" customFormat="1" ht="16" customHeight="1" x14ac:dyDescent="0.45">
      <c r="A181" s="22">
        <v>2503</v>
      </c>
      <c r="B181" s="2">
        <v>45744</v>
      </c>
      <c r="C181" s="3"/>
      <c r="D181" s="4" t="s">
        <v>198</v>
      </c>
      <c r="E181" s="5" t="s">
        <v>27</v>
      </c>
      <c r="F181" s="5"/>
      <c r="G181" s="5" t="s">
        <v>28</v>
      </c>
      <c r="H181" s="19" t="s">
        <v>294</v>
      </c>
      <c r="I181" s="19">
        <v>3206</v>
      </c>
      <c r="J181" s="19"/>
      <c r="K181" s="20"/>
      <c r="L181" s="6"/>
      <c r="M181" s="7">
        <v>450.7</v>
      </c>
      <c r="N181" s="8"/>
      <c r="O181" s="9"/>
      <c r="P181" s="10"/>
      <c r="Q181" s="11"/>
      <c r="R181" s="12">
        <v>1200</v>
      </c>
      <c r="S181" s="12">
        <f t="shared" si="18"/>
        <v>540840</v>
      </c>
      <c r="T181" s="13"/>
      <c r="U181" s="14"/>
      <c r="V181" s="15"/>
      <c r="W181" s="16"/>
      <c r="X181" s="12"/>
      <c r="Y181" s="17"/>
      <c r="Z181" s="18">
        <f t="shared" si="14"/>
        <v>-540840</v>
      </c>
      <c r="AA181" s="17"/>
      <c r="AB181" s="17"/>
      <c r="AC181" s="17"/>
      <c r="AD181" s="17"/>
      <c r="AE181" s="17"/>
    </row>
    <row r="182" spans="1:31" ht="16" customHeight="1" x14ac:dyDescent="0.45">
      <c r="A182" s="22">
        <v>2503</v>
      </c>
      <c r="B182" s="23">
        <v>45728</v>
      </c>
      <c r="C182" s="24"/>
      <c r="D182" s="25" t="s">
        <v>4</v>
      </c>
      <c r="E182" s="26" t="s">
        <v>5</v>
      </c>
      <c r="F182" s="26"/>
      <c r="G182" s="26" t="s">
        <v>5</v>
      </c>
      <c r="H182" s="27" t="s">
        <v>6</v>
      </c>
      <c r="I182" s="27" t="s">
        <v>7</v>
      </c>
      <c r="J182" s="27"/>
      <c r="K182" s="28" t="s">
        <v>338</v>
      </c>
      <c r="L182" s="29"/>
      <c r="M182" s="30"/>
      <c r="N182" s="31">
        <v>850</v>
      </c>
      <c r="O182" s="32">
        <v>777</v>
      </c>
      <c r="P182" s="91"/>
      <c r="Q182" s="92"/>
      <c r="R182" s="93">
        <v>120</v>
      </c>
      <c r="S182" s="93">
        <f>N182*R182</f>
        <v>102000</v>
      </c>
      <c r="T182" s="33"/>
      <c r="U182" s="34"/>
      <c r="V182" s="35">
        <v>6200</v>
      </c>
      <c r="W182" s="36">
        <f>O182*V182</f>
        <v>4817400</v>
      </c>
      <c r="X182" s="93"/>
      <c r="Y182" s="21"/>
      <c r="Z182" s="18">
        <f t="shared" si="14"/>
        <v>4715400</v>
      </c>
    </row>
    <row r="183" spans="1:31" ht="16" customHeight="1" x14ac:dyDescent="0.45">
      <c r="A183" s="22">
        <v>2503</v>
      </c>
      <c r="B183" s="2">
        <v>45723</v>
      </c>
      <c r="D183" s="4" t="s">
        <v>181</v>
      </c>
      <c r="E183" s="5" t="s">
        <v>339</v>
      </c>
      <c r="G183" s="5" t="s">
        <v>28</v>
      </c>
      <c r="H183" s="19" t="s">
        <v>182</v>
      </c>
      <c r="K183" s="20" t="s">
        <v>200</v>
      </c>
      <c r="L183" s="6">
        <v>11</v>
      </c>
      <c r="M183" s="7">
        <v>4125</v>
      </c>
      <c r="R183" s="12">
        <v>2205</v>
      </c>
      <c r="S183" s="12">
        <f>M183*R183</f>
        <v>9095625</v>
      </c>
      <c r="Z183" s="18">
        <f t="shared" si="14"/>
        <v>-9095625</v>
      </c>
    </row>
    <row r="184" spans="1:31" ht="16" customHeight="1" x14ac:dyDescent="0.45">
      <c r="A184" s="22">
        <v>2503</v>
      </c>
      <c r="B184" s="2">
        <v>45723</v>
      </c>
      <c r="D184" s="4" t="s">
        <v>181</v>
      </c>
      <c r="E184" s="5" t="s">
        <v>339</v>
      </c>
      <c r="G184" s="5" t="s">
        <v>28</v>
      </c>
      <c r="H184" s="19" t="s">
        <v>182</v>
      </c>
      <c r="K184" s="20" t="s">
        <v>191</v>
      </c>
      <c r="L184" s="6">
        <v>3</v>
      </c>
      <c r="M184" s="7">
        <v>1056.9000000000001</v>
      </c>
      <c r="R184" s="12">
        <v>1874</v>
      </c>
      <c r="S184" s="12">
        <f>M184*R184</f>
        <v>1980630.6</v>
      </c>
      <c r="Z184" s="18">
        <f t="shared" si="14"/>
        <v>-1980630.6</v>
      </c>
    </row>
    <row r="185" spans="1:31" ht="16" customHeight="1" x14ac:dyDescent="0.45">
      <c r="A185" s="22">
        <v>2503</v>
      </c>
      <c r="B185" s="23">
        <v>45734</v>
      </c>
      <c r="C185" s="24"/>
      <c r="D185" s="25" t="s">
        <v>10</v>
      </c>
      <c r="E185" s="26" t="s">
        <v>19</v>
      </c>
      <c r="F185" s="26"/>
      <c r="G185" s="26" t="s">
        <v>19</v>
      </c>
      <c r="H185" s="27" t="s">
        <v>229</v>
      </c>
      <c r="I185" s="27" t="s">
        <v>16</v>
      </c>
      <c r="J185" s="27"/>
      <c r="K185" s="28"/>
      <c r="L185" s="29">
        <v>2</v>
      </c>
      <c r="M185" s="30"/>
      <c r="N185" s="31"/>
      <c r="O185" s="32">
        <v>1225</v>
      </c>
      <c r="P185" s="91"/>
      <c r="Q185" s="92"/>
      <c r="R185" s="93">
        <v>1850</v>
      </c>
      <c r="S185" s="93">
        <f>O185*R185</f>
        <v>2266250</v>
      </c>
      <c r="T185" s="33"/>
      <c r="U185" s="34"/>
      <c r="V185" s="35">
        <v>6550</v>
      </c>
      <c r="W185" s="36">
        <f>O185*V185</f>
        <v>8023750</v>
      </c>
      <c r="X185" s="93"/>
      <c r="Y185" s="21"/>
      <c r="Z185" s="18">
        <f t="shared" si="14"/>
        <v>5757500</v>
      </c>
    </row>
    <row r="186" spans="1:31" ht="16" customHeight="1" x14ac:dyDescent="0.45">
      <c r="A186" s="22">
        <v>2503</v>
      </c>
      <c r="B186" s="23">
        <v>45744</v>
      </c>
      <c r="C186" s="24"/>
      <c r="D186" s="25" t="s">
        <v>10</v>
      </c>
      <c r="E186" s="26" t="s">
        <v>19</v>
      </c>
      <c r="F186" s="26"/>
      <c r="G186" s="26" t="s">
        <v>19</v>
      </c>
      <c r="H186" s="27" t="s">
        <v>340</v>
      </c>
      <c r="I186" s="27"/>
      <c r="J186" s="27"/>
      <c r="K186" s="28"/>
      <c r="L186" s="29">
        <v>2</v>
      </c>
      <c r="M186" s="30"/>
      <c r="N186" s="31"/>
      <c r="O186" s="32">
        <v>96</v>
      </c>
      <c r="P186" s="91"/>
      <c r="Q186" s="92"/>
      <c r="R186" s="93"/>
      <c r="S186" s="93">
        <v>633528</v>
      </c>
      <c r="T186" s="33"/>
      <c r="U186" s="34"/>
      <c r="V186" s="35">
        <v>12795</v>
      </c>
      <c r="W186" s="36">
        <f>O186*V186</f>
        <v>1228320</v>
      </c>
      <c r="X186" s="93" t="s">
        <v>341</v>
      </c>
      <c r="Y186" s="21"/>
      <c r="Z186" s="18">
        <f t="shared" si="14"/>
        <v>594792</v>
      </c>
    </row>
    <row r="187" spans="1:31" ht="16" customHeight="1" x14ac:dyDescent="0.45">
      <c r="A187" s="22">
        <v>2503</v>
      </c>
      <c r="B187" s="23">
        <v>45744</v>
      </c>
      <c r="C187" s="24"/>
      <c r="D187" s="25" t="s">
        <v>10</v>
      </c>
      <c r="E187" s="26" t="s">
        <v>19</v>
      </c>
      <c r="F187" s="26"/>
      <c r="G187" s="26" t="s">
        <v>19</v>
      </c>
      <c r="H187" s="27" t="s">
        <v>340</v>
      </c>
      <c r="I187" s="27"/>
      <c r="J187" s="27"/>
      <c r="K187" s="28"/>
      <c r="L187" s="29">
        <v>2</v>
      </c>
      <c r="M187" s="30"/>
      <c r="N187" s="31"/>
      <c r="O187" s="32">
        <v>95</v>
      </c>
      <c r="P187" s="91"/>
      <c r="Q187" s="92"/>
      <c r="R187" s="93"/>
      <c r="S187" s="93">
        <v>975233</v>
      </c>
      <c r="T187" s="33"/>
      <c r="U187" s="34"/>
      <c r="V187" s="35">
        <v>16420</v>
      </c>
      <c r="W187" s="36">
        <f>O187*V187</f>
        <v>1559900</v>
      </c>
      <c r="X187" s="93" t="s">
        <v>342</v>
      </c>
      <c r="Y187" s="21"/>
      <c r="Z187" s="18">
        <f t="shared" si="14"/>
        <v>584667</v>
      </c>
    </row>
    <row r="188" spans="1:31" ht="16" customHeight="1" x14ac:dyDescent="0.45">
      <c r="A188" s="22">
        <v>2503</v>
      </c>
      <c r="B188" s="23">
        <v>45744</v>
      </c>
      <c r="C188" s="24"/>
      <c r="D188" s="25" t="s">
        <v>10</v>
      </c>
      <c r="E188" s="26" t="s">
        <v>19</v>
      </c>
      <c r="F188" s="26"/>
      <c r="G188" s="26" t="s">
        <v>19</v>
      </c>
      <c r="H188" s="27" t="s">
        <v>343</v>
      </c>
      <c r="I188" s="27" t="s">
        <v>18</v>
      </c>
      <c r="J188" s="27"/>
      <c r="K188" s="28"/>
      <c r="L188" s="29">
        <v>2</v>
      </c>
      <c r="M188" s="30"/>
      <c r="N188" s="31"/>
      <c r="O188" s="32">
        <v>1668</v>
      </c>
      <c r="P188" s="91"/>
      <c r="Q188" s="92"/>
      <c r="R188" s="93">
        <v>1850</v>
      </c>
      <c r="S188" s="93">
        <f>O188*R188</f>
        <v>3085800</v>
      </c>
      <c r="T188" s="33"/>
      <c r="U188" s="34"/>
      <c r="V188" s="35">
        <v>3565</v>
      </c>
      <c r="W188" s="36">
        <f>O188*V188</f>
        <v>5946420</v>
      </c>
      <c r="X188" s="93"/>
      <c r="Y188" s="21"/>
      <c r="Z188" s="18">
        <f t="shared" si="14"/>
        <v>2860620</v>
      </c>
    </row>
    <row r="189" spans="1:31" ht="16" customHeight="1" x14ac:dyDescent="0.45">
      <c r="A189" s="22">
        <v>2503</v>
      </c>
      <c r="B189" s="23">
        <v>45744</v>
      </c>
      <c r="C189" s="24"/>
      <c r="D189" s="25" t="s">
        <v>10</v>
      </c>
      <c r="E189" s="26" t="s">
        <v>19</v>
      </c>
      <c r="F189" s="26"/>
      <c r="G189" s="26" t="s">
        <v>19</v>
      </c>
      <c r="H189" s="27" t="s">
        <v>20</v>
      </c>
      <c r="I189" s="27" t="s">
        <v>344</v>
      </c>
      <c r="J189" s="27"/>
      <c r="K189" s="28"/>
      <c r="L189" s="29"/>
      <c r="M189" s="30"/>
      <c r="N189" s="31"/>
      <c r="O189" s="32">
        <v>1793</v>
      </c>
      <c r="P189" s="91"/>
      <c r="Q189" s="92"/>
      <c r="R189" s="93">
        <v>1850</v>
      </c>
      <c r="S189" s="93">
        <f>O189*R189</f>
        <v>3317050</v>
      </c>
      <c r="T189" s="33"/>
      <c r="U189" s="34"/>
      <c r="V189" s="35">
        <v>3595</v>
      </c>
      <c r="W189" s="36">
        <f>O189*V189</f>
        <v>6445835</v>
      </c>
      <c r="X189" s="93"/>
      <c r="Y189" s="21"/>
      <c r="Z189" s="18">
        <f t="shared" si="14"/>
        <v>3128785</v>
      </c>
    </row>
    <row r="190" spans="1:31" ht="16" customHeight="1" x14ac:dyDescent="0.45">
      <c r="A190" s="22">
        <v>2503</v>
      </c>
      <c r="B190" s="2">
        <v>45726</v>
      </c>
      <c r="D190" s="4" t="s">
        <v>22</v>
      </c>
      <c r="E190" s="5" t="s">
        <v>4</v>
      </c>
      <c r="G190" s="5" t="s">
        <v>5</v>
      </c>
      <c r="H190" s="19" t="s">
        <v>6</v>
      </c>
      <c r="I190" s="19" t="s">
        <v>7</v>
      </c>
      <c r="K190" s="20" t="s">
        <v>338</v>
      </c>
      <c r="L190" s="6">
        <v>11</v>
      </c>
      <c r="N190" s="8">
        <v>874</v>
      </c>
      <c r="O190" s="9">
        <v>799</v>
      </c>
      <c r="R190" s="12">
        <v>4450</v>
      </c>
      <c r="S190" s="12">
        <f>N190*R190</f>
        <v>3889300</v>
      </c>
      <c r="Z190" s="18">
        <f t="shared" si="14"/>
        <v>-3889300</v>
      </c>
    </row>
    <row r="191" spans="1:31" ht="16" customHeight="1" x14ac:dyDescent="0.45">
      <c r="A191" s="22">
        <v>2503</v>
      </c>
      <c r="B191" s="23">
        <v>45720</v>
      </c>
      <c r="C191" s="24"/>
      <c r="D191" s="25" t="s">
        <v>66</v>
      </c>
      <c r="E191" s="26" t="s">
        <v>221</v>
      </c>
      <c r="F191" s="26"/>
      <c r="G191" s="26" t="s">
        <v>221</v>
      </c>
      <c r="H191" s="27" t="s">
        <v>224</v>
      </c>
      <c r="I191" s="27" t="s">
        <v>345</v>
      </c>
      <c r="J191" s="27"/>
      <c r="K191" s="28"/>
      <c r="L191" s="29"/>
      <c r="M191" s="30"/>
      <c r="N191" s="31">
        <v>610</v>
      </c>
      <c r="O191" s="32"/>
      <c r="P191" s="91"/>
      <c r="Q191" s="92"/>
      <c r="R191" s="93">
        <v>1020</v>
      </c>
      <c r="S191" s="93">
        <f>N191*R191</f>
        <v>622200</v>
      </c>
      <c r="T191" s="33"/>
      <c r="U191" s="34"/>
      <c r="V191" s="35">
        <v>2000</v>
      </c>
      <c r="W191" s="36">
        <f>N191*V191</f>
        <v>1220000</v>
      </c>
      <c r="X191" s="93"/>
      <c r="Y191" s="21"/>
      <c r="Z191" s="18">
        <f t="shared" si="14"/>
        <v>597800</v>
      </c>
    </row>
    <row r="192" spans="1:31" s="21" customFormat="1" ht="16" customHeight="1" x14ac:dyDescent="0.45">
      <c r="A192" s="22">
        <v>2503</v>
      </c>
      <c r="B192" s="2">
        <v>45736</v>
      </c>
      <c r="C192" s="3"/>
      <c r="D192" s="4" t="s">
        <v>66</v>
      </c>
      <c r="E192" s="5" t="s">
        <v>10</v>
      </c>
      <c r="F192" s="5"/>
      <c r="G192" s="5" t="s">
        <v>19</v>
      </c>
      <c r="H192" s="19" t="s">
        <v>172</v>
      </c>
      <c r="I192" s="19" t="s">
        <v>346</v>
      </c>
      <c r="J192" s="19"/>
      <c r="K192" s="20"/>
      <c r="L192" s="6"/>
      <c r="M192" s="7"/>
      <c r="N192" s="8">
        <v>1730</v>
      </c>
      <c r="O192" s="9"/>
      <c r="P192" s="10"/>
      <c r="Q192" s="11"/>
      <c r="R192" s="12">
        <v>750</v>
      </c>
      <c r="S192" s="12">
        <f>N192*R192</f>
        <v>1297500</v>
      </c>
      <c r="T192" s="13"/>
      <c r="U192" s="14"/>
      <c r="V192" s="15"/>
      <c r="W192" s="16"/>
      <c r="X192" s="12"/>
      <c r="Y192" s="17"/>
      <c r="Z192" s="18">
        <f t="shared" si="14"/>
        <v>-1297500</v>
      </c>
      <c r="AA192" s="17"/>
      <c r="AB192" s="17"/>
      <c r="AC192" s="17"/>
      <c r="AD192" s="17"/>
      <c r="AE192" s="17"/>
    </row>
    <row r="193" spans="1:31" ht="16" customHeight="1" x14ac:dyDescent="0.45">
      <c r="A193" s="22">
        <v>2503</v>
      </c>
      <c r="B193" s="23">
        <v>45721</v>
      </c>
      <c r="C193" s="24"/>
      <c r="D193" s="25" t="s">
        <v>67</v>
      </c>
      <c r="E193" s="26" t="s">
        <v>17</v>
      </c>
      <c r="F193" s="26"/>
      <c r="G193" s="26" t="s">
        <v>17</v>
      </c>
      <c r="H193" s="27" t="s">
        <v>68</v>
      </c>
      <c r="I193" s="27"/>
      <c r="J193" s="27"/>
      <c r="K193" s="28"/>
      <c r="L193" s="29"/>
      <c r="M193" s="30"/>
      <c r="N193" s="31">
        <v>1263</v>
      </c>
      <c r="O193" s="32"/>
      <c r="P193" s="91"/>
      <c r="Q193" s="92"/>
      <c r="R193" s="93">
        <v>5000</v>
      </c>
      <c r="S193" s="93">
        <f>N193*R193</f>
        <v>6315000</v>
      </c>
      <c r="T193" s="33"/>
      <c r="U193" s="34"/>
      <c r="V193" s="35">
        <v>6200</v>
      </c>
      <c r="W193" s="36">
        <f>N193*V193</f>
        <v>7830600</v>
      </c>
      <c r="X193" s="93"/>
      <c r="Y193" s="21"/>
      <c r="Z193" s="18">
        <f t="shared" si="14"/>
        <v>1515600</v>
      </c>
    </row>
    <row r="194" spans="1:31" s="21" customFormat="1" ht="16" customHeight="1" x14ac:dyDescent="0.45">
      <c r="A194" s="22">
        <v>2503</v>
      </c>
      <c r="B194" s="23">
        <v>45721</v>
      </c>
      <c r="C194" s="24"/>
      <c r="D194" s="25" t="s">
        <v>67</v>
      </c>
      <c r="E194" s="26" t="s">
        <v>17</v>
      </c>
      <c r="F194" s="26"/>
      <c r="G194" s="26" t="s">
        <v>17</v>
      </c>
      <c r="H194" s="27" t="s">
        <v>68</v>
      </c>
      <c r="I194" s="27" t="s">
        <v>212</v>
      </c>
      <c r="J194" s="27"/>
      <c r="K194" s="28"/>
      <c r="L194" s="29"/>
      <c r="M194" s="30"/>
      <c r="N194" s="31"/>
      <c r="O194" s="32"/>
      <c r="P194" s="91"/>
      <c r="Q194" s="92"/>
      <c r="R194" s="93"/>
      <c r="S194" s="93">
        <v>100000</v>
      </c>
      <c r="T194" s="33"/>
      <c r="U194" s="34"/>
      <c r="V194" s="35"/>
      <c r="W194" s="36"/>
      <c r="X194" s="93"/>
      <c r="Z194" s="18">
        <f t="shared" ref="Z194:Z257" si="19">W194-S194-Q194</f>
        <v>-100000</v>
      </c>
      <c r="AA194" s="17"/>
      <c r="AB194" s="17"/>
      <c r="AC194" s="17"/>
      <c r="AD194" s="17"/>
      <c r="AE194" s="17"/>
    </row>
    <row r="195" spans="1:31" ht="16" customHeight="1" x14ac:dyDescent="0.45">
      <c r="A195" s="1">
        <v>2503</v>
      </c>
      <c r="B195" s="2">
        <v>45722</v>
      </c>
      <c r="D195" s="4" t="s">
        <v>80</v>
      </c>
      <c r="E195" s="5" t="s">
        <v>30</v>
      </c>
      <c r="G195" s="5" t="s">
        <v>31</v>
      </c>
      <c r="H195" s="19" t="s">
        <v>100</v>
      </c>
      <c r="L195" s="6">
        <v>2</v>
      </c>
      <c r="M195" s="7">
        <v>1032</v>
      </c>
      <c r="P195" s="141"/>
      <c r="Q195" s="95"/>
      <c r="R195" s="12">
        <v>1150</v>
      </c>
      <c r="S195" s="12">
        <v>2616419</v>
      </c>
      <c r="Z195" s="18">
        <f t="shared" si="19"/>
        <v>-2616419</v>
      </c>
    </row>
    <row r="196" spans="1:31" ht="16" customHeight="1" x14ac:dyDescent="0.45">
      <c r="A196" s="1">
        <v>2503</v>
      </c>
      <c r="B196" s="2">
        <v>45735</v>
      </c>
      <c r="D196" s="4" t="s">
        <v>80</v>
      </c>
      <c r="E196" s="5" t="s">
        <v>30</v>
      </c>
      <c r="G196" s="5" t="s">
        <v>31</v>
      </c>
      <c r="H196" s="19" t="s">
        <v>100</v>
      </c>
      <c r="L196" s="6">
        <v>2</v>
      </c>
      <c r="M196" s="7">
        <v>1032</v>
      </c>
      <c r="P196" s="141"/>
      <c r="Q196" s="95"/>
      <c r="R196" s="12">
        <v>1150</v>
      </c>
      <c r="S196" s="12">
        <v>2616419</v>
      </c>
      <c r="Z196" s="18">
        <f t="shared" si="19"/>
        <v>-2616419</v>
      </c>
    </row>
    <row r="197" spans="1:31" ht="16" customHeight="1" x14ac:dyDescent="0.45">
      <c r="A197" s="22">
        <v>2503</v>
      </c>
      <c r="B197" s="23">
        <v>45721</v>
      </c>
      <c r="C197" s="24"/>
      <c r="D197" s="25" t="s">
        <v>222</v>
      </c>
      <c r="E197" s="26" t="s">
        <v>61</v>
      </c>
      <c r="F197" s="26"/>
      <c r="G197" s="26" t="s">
        <v>61</v>
      </c>
      <c r="H197" s="27" t="s">
        <v>347</v>
      </c>
      <c r="I197" s="27" t="s">
        <v>348</v>
      </c>
      <c r="J197" s="27"/>
      <c r="K197" s="28"/>
      <c r="L197" s="29">
        <v>50</v>
      </c>
      <c r="M197" s="30"/>
      <c r="N197" s="31">
        <v>25000</v>
      </c>
      <c r="O197" s="32"/>
      <c r="P197" s="91"/>
      <c r="Q197" s="92"/>
      <c r="R197" s="93">
        <v>690</v>
      </c>
      <c r="S197" s="93">
        <f>R197*N197</f>
        <v>17250000</v>
      </c>
      <c r="T197" s="33"/>
      <c r="U197" s="34"/>
      <c r="V197" s="35">
        <v>750</v>
      </c>
      <c r="W197" s="36">
        <f>V197*N197</f>
        <v>18750000</v>
      </c>
      <c r="X197" s="93"/>
      <c r="Y197" s="21"/>
      <c r="Z197" s="18">
        <f t="shared" si="19"/>
        <v>1500000</v>
      </c>
    </row>
    <row r="198" spans="1:31" ht="16" customHeight="1" x14ac:dyDescent="0.45">
      <c r="A198" s="22">
        <v>2503</v>
      </c>
      <c r="B198" s="23">
        <v>45727</v>
      </c>
      <c r="C198" s="24"/>
      <c r="D198" s="25" t="s">
        <v>222</v>
      </c>
      <c r="E198" s="26" t="s">
        <v>61</v>
      </c>
      <c r="F198" s="26"/>
      <c r="G198" s="26" t="s">
        <v>61</v>
      </c>
      <c r="H198" s="27" t="s">
        <v>349</v>
      </c>
      <c r="I198" s="27" t="s">
        <v>350</v>
      </c>
      <c r="J198" s="27"/>
      <c r="K198" s="28"/>
      <c r="L198" s="29">
        <v>5</v>
      </c>
      <c r="M198" s="30"/>
      <c r="N198" s="31">
        <v>4000</v>
      </c>
      <c r="O198" s="32"/>
      <c r="P198" s="91"/>
      <c r="Q198" s="92"/>
      <c r="R198" s="93">
        <v>940</v>
      </c>
      <c r="S198" s="93">
        <f>N198*R198</f>
        <v>3760000</v>
      </c>
      <c r="T198" s="33"/>
      <c r="U198" s="34"/>
      <c r="V198" s="35">
        <v>1020</v>
      </c>
      <c r="W198" s="36">
        <f>V198*N198</f>
        <v>4080000</v>
      </c>
      <c r="X198" s="93"/>
      <c r="Y198" s="21"/>
      <c r="Z198" s="18">
        <f t="shared" si="19"/>
        <v>320000</v>
      </c>
    </row>
    <row r="199" spans="1:31" ht="16" customHeight="1" x14ac:dyDescent="0.45">
      <c r="A199" s="22">
        <v>2503</v>
      </c>
      <c r="B199" s="23">
        <v>45741</v>
      </c>
      <c r="C199" s="24"/>
      <c r="D199" s="25" t="s">
        <v>222</v>
      </c>
      <c r="E199" s="26" t="s">
        <v>61</v>
      </c>
      <c r="F199" s="26"/>
      <c r="G199" s="26" t="s">
        <v>61</v>
      </c>
      <c r="H199" s="27" t="s">
        <v>349</v>
      </c>
      <c r="I199" s="27" t="s">
        <v>350</v>
      </c>
      <c r="J199" s="27"/>
      <c r="K199" s="28"/>
      <c r="L199" s="29">
        <v>6</v>
      </c>
      <c r="M199" s="30"/>
      <c r="N199" s="31">
        <v>3220</v>
      </c>
      <c r="O199" s="32"/>
      <c r="P199" s="91"/>
      <c r="Q199" s="92"/>
      <c r="R199" s="93">
        <v>940</v>
      </c>
      <c r="S199" s="93">
        <f>R199*N199</f>
        <v>3026800</v>
      </c>
      <c r="T199" s="33"/>
      <c r="U199" s="34"/>
      <c r="V199" s="35">
        <v>1020</v>
      </c>
      <c r="W199" s="36">
        <f>V199*N199</f>
        <v>3284400</v>
      </c>
      <c r="X199" s="93"/>
      <c r="Y199" s="21"/>
      <c r="Z199" s="18">
        <f t="shared" si="19"/>
        <v>257600</v>
      </c>
    </row>
    <row r="200" spans="1:31" ht="16" customHeight="1" x14ac:dyDescent="0.45">
      <c r="A200" s="22">
        <v>2503</v>
      </c>
      <c r="B200" s="40">
        <v>45716</v>
      </c>
      <c r="C200" s="41"/>
      <c r="D200" s="37" t="s">
        <v>240</v>
      </c>
      <c r="E200" s="42" t="s">
        <v>59</v>
      </c>
      <c r="F200" s="42" t="s">
        <v>351</v>
      </c>
      <c r="G200" s="42" t="s">
        <v>59</v>
      </c>
      <c r="H200" s="43" t="s">
        <v>134</v>
      </c>
      <c r="I200" s="43" t="s">
        <v>352</v>
      </c>
      <c r="J200" s="43"/>
      <c r="K200" s="44" t="s">
        <v>353</v>
      </c>
      <c r="L200" s="45"/>
      <c r="M200" s="46"/>
      <c r="N200" s="47"/>
      <c r="O200" s="48">
        <v>1346</v>
      </c>
      <c r="P200" s="106"/>
      <c r="Q200" s="107"/>
      <c r="R200" s="90">
        <v>2350</v>
      </c>
      <c r="S200" s="90">
        <f>O200*R200</f>
        <v>3163100</v>
      </c>
      <c r="T200" s="49"/>
      <c r="U200" s="50"/>
      <c r="V200" s="51" t="s">
        <v>333</v>
      </c>
      <c r="W200" s="52"/>
      <c r="X200" s="90"/>
      <c r="Y200" s="39"/>
      <c r="Z200" s="18">
        <f t="shared" si="19"/>
        <v>-3163100</v>
      </c>
    </row>
    <row r="201" spans="1:31" ht="16" customHeight="1" x14ac:dyDescent="0.45">
      <c r="A201" s="22">
        <v>2503</v>
      </c>
      <c r="B201" s="23">
        <v>45727</v>
      </c>
      <c r="C201" s="24"/>
      <c r="D201" s="25" t="s">
        <v>211</v>
      </c>
      <c r="E201" s="26" t="s">
        <v>1</v>
      </c>
      <c r="F201" s="26" t="s">
        <v>354</v>
      </c>
      <c r="G201" s="26" t="s">
        <v>1</v>
      </c>
      <c r="H201" s="27" t="s">
        <v>11</v>
      </c>
      <c r="I201" s="27" t="s">
        <v>16</v>
      </c>
      <c r="J201" s="27"/>
      <c r="K201" s="28" t="s">
        <v>57</v>
      </c>
      <c r="L201" s="29"/>
      <c r="M201" s="30"/>
      <c r="N201" s="31"/>
      <c r="O201" s="32">
        <v>1388</v>
      </c>
      <c r="P201" s="91"/>
      <c r="Q201" s="92"/>
      <c r="R201" s="93">
        <v>2350</v>
      </c>
      <c r="S201" s="93">
        <f>O201*R201</f>
        <v>3261800</v>
      </c>
      <c r="T201" s="33"/>
      <c r="U201" s="34"/>
      <c r="V201" s="35">
        <v>4700</v>
      </c>
      <c r="W201" s="36">
        <f>O201*V201</f>
        <v>6523600</v>
      </c>
      <c r="X201" s="93"/>
      <c r="Y201" s="21"/>
      <c r="Z201" s="18">
        <f t="shared" si="19"/>
        <v>3261800</v>
      </c>
    </row>
    <row r="202" spans="1:31" s="21" customFormat="1" ht="16" customHeight="1" x14ac:dyDescent="0.45">
      <c r="A202" s="22">
        <v>2503</v>
      </c>
      <c r="B202" s="23">
        <v>45727</v>
      </c>
      <c r="C202" s="24"/>
      <c r="D202" s="25" t="s">
        <v>211</v>
      </c>
      <c r="E202" s="26" t="s">
        <v>1</v>
      </c>
      <c r="F202" s="26" t="s">
        <v>355</v>
      </c>
      <c r="G202" s="26" t="s">
        <v>1</v>
      </c>
      <c r="H202" s="27" t="s">
        <v>11</v>
      </c>
      <c r="I202" s="27" t="s">
        <v>142</v>
      </c>
      <c r="J202" s="27"/>
      <c r="K202" s="28" t="s">
        <v>214</v>
      </c>
      <c r="L202" s="29"/>
      <c r="M202" s="30"/>
      <c r="N202" s="31"/>
      <c r="O202" s="32">
        <v>1385</v>
      </c>
      <c r="P202" s="91"/>
      <c r="Q202" s="92"/>
      <c r="R202" s="93">
        <v>2350</v>
      </c>
      <c r="S202" s="93">
        <f>O202*R202</f>
        <v>3254750</v>
      </c>
      <c r="T202" s="33"/>
      <c r="U202" s="34"/>
      <c r="V202" s="35">
        <v>4700</v>
      </c>
      <c r="W202" s="36">
        <f>O202*V202</f>
        <v>6509500</v>
      </c>
      <c r="X202" s="93"/>
      <c r="Z202" s="18">
        <f t="shared" si="19"/>
        <v>3254750</v>
      </c>
      <c r="AA202" s="17"/>
      <c r="AB202" s="17"/>
      <c r="AC202" s="17"/>
      <c r="AD202" s="17"/>
      <c r="AE202" s="17"/>
    </row>
    <row r="203" spans="1:31" s="21" customFormat="1" ht="16" customHeight="1" x14ac:dyDescent="0.45">
      <c r="A203" s="22">
        <v>2503</v>
      </c>
      <c r="B203" s="2">
        <v>45728</v>
      </c>
      <c r="C203" s="3"/>
      <c r="D203" s="4" t="s">
        <v>339</v>
      </c>
      <c r="E203" s="5" t="s">
        <v>27</v>
      </c>
      <c r="F203" s="5"/>
      <c r="G203" s="5" t="s">
        <v>28</v>
      </c>
      <c r="H203" s="19" t="s">
        <v>356</v>
      </c>
      <c r="I203" s="19"/>
      <c r="J203" s="19"/>
      <c r="K203" s="20"/>
      <c r="L203" s="6">
        <v>1</v>
      </c>
      <c r="M203" s="7">
        <v>286.7</v>
      </c>
      <c r="N203" s="8"/>
      <c r="O203" s="9"/>
      <c r="P203" s="10"/>
      <c r="Q203" s="11"/>
      <c r="R203" s="12">
        <v>1100</v>
      </c>
      <c r="S203" s="12">
        <f t="shared" ref="S203:S211" si="20">M203*R203</f>
        <v>315370</v>
      </c>
      <c r="T203" s="13"/>
      <c r="U203" s="14"/>
      <c r="V203" s="15"/>
      <c r="W203" s="16"/>
      <c r="X203" s="12"/>
      <c r="Y203" s="17"/>
      <c r="Z203" s="18">
        <f t="shared" si="19"/>
        <v>-315370</v>
      </c>
      <c r="AA203" s="17"/>
      <c r="AB203" s="17"/>
      <c r="AC203" s="17"/>
      <c r="AD203" s="17"/>
      <c r="AE203" s="17"/>
    </row>
    <row r="204" spans="1:31" s="21" customFormat="1" ht="16" customHeight="1" x14ac:dyDescent="0.45">
      <c r="A204" s="22">
        <v>2503</v>
      </c>
      <c r="B204" s="2">
        <v>45729</v>
      </c>
      <c r="C204" s="3"/>
      <c r="D204" s="4" t="s">
        <v>339</v>
      </c>
      <c r="E204" s="5" t="s">
        <v>27</v>
      </c>
      <c r="F204" s="5"/>
      <c r="G204" s="5" t="s">
        <v>28</v>
      </c>
      <c r="H204" s="19" t="s">
        <v>356</v>
      </c>
      <c r="I204" s="19"/>
      <c r="J204" s="19"/>
      <c r="K204" s="20"/>
      <c r="L204" s="6">
        <v>2</v>
      </c>
      <c r="M204" s="7">
        <v>574.70000000000005</v>
      </c>
      <c r="N204" s="8"/>
      <c r="O204" s="9"/>
      <c r="P204" s="10"/>
      <c r="Q204" s="11"/>
      <c r="R204" s="12">
        <v>1100</v>
      </c>
      <c r="S204" s="12">
        <f t="shared" si="20"/>
        <v>632170</v>
      </c>
      <c r="T204" s="13"/>
      <c r="U204" s="14"/>
      <c r="V204" s="15"/>
      <c r="W204" s="16"/>
      <c r="X204" s="12"/>
      <c r="Y204" s="17"/>
      <c r="Z204" s="18">
        <f t="shared" si="19"/>
        <v>-632170</v>
      </c>
      <c r="AA204" s="17"/>
      <c r="AB204" s="17"/>
      <c r="AC204" s="17"/>
      <c r="AD204" s="17"/>
      <c r="AE204" s="17"/>
    </row>
    <row r="205" spans="1:31" s="21" customFormat="1" ht="16" customHeight="1" x14ac:dyDescent="0.45">
      <c r="A205" s="22">
        <v>2503</v>
      </c>
      <c r="B205" s="2">
        <v>45733</v>
      </c>
      <c r="C205" s="3"/>
      <c r="D205" s="4" t="s">
        <v>339</v>
      </c>
      <c r="E205" s="5" t="s">
        <v>27</v>
      </c>
      <c r="F205" s="5"/>
      <c r="G205" s="5" t="s">
        <v>28</v>
      </c>
      <c r="H205" s="19" t="s">
        <v>356</v>
      </c>
      <c r="I205" s="19"/>
      <c r="J205" s="19"/>
      <c r="K205" s="20"/>
      <c r="L205" s="6">
        <v>1</v>
      </c>
      <c r="M205" s="7">
        <v>416</v>
      </c>
      <c r="N205" s="8"/>
      <c r="O205" s="9"/>
      <c r="P205" s="10"/>
      <c r="Q205" s="11"/>
      <c r="R205" s="12">
        <v>1100</v>
      </c>
      <c r="S205" s="12">
        <f t="shared" si="20"/>
        <v>457600</v>
      </c>
      <c r="T205" s="13"/>
      <c r="U205" s="14"/>
      <c r="V205" s="15"/>
      <c r="W205" s="16"/>
      <c r="X205" s="12"/>
      <c r="Y205" s="17"/>
      <c r="Z205" s="18">
        <f t="shared" si="19"/>
        <v>-457600</v>
      </c>
      <c r="AA205" s="17"/>
      <c r="AB205" s="17"/>
      <c r="AC205" s="17"/>
      <c r="AD205" s="17"/>
      <c r="AE205" s="17"/>
    </row>
    <row r="206" spans="1:31" ht="16" customHeight="1" x14ac:dyDescent="0.45">
      <c r="A206" s="22">
        <v>2503</v>
      </c>
      <c r="B206" s="2">
        <v>45737</v>
      </c>
      <c r="D206" s="4" t="s">
        <v>339</v>
      </c>
      <c r="E206" s="5" t="s">
        <v>27</v>
      </c>
      <c r="G206" s="5" t="s">
        <v>28</v>
      </c>
      <c r="H206" s="19" t="s">
        <v>356</v>
      </c>
      <c r="M206" s="7">
        <v>1249.5999999999999</v>
      </c>
      <c r="R206" s="12">
        <v>1100</v>
      </c>
      <c r="S206" s="12">
        <f t="shared" si="20"/>
        <v>1374560</v>
      </c>
      <c r="Z206" s="18">
        <f t="shared" si="19"/>
        <v>-1374560</v>
      </c>
    </row>
    <row r="207" spans="1:31" ht="16" customHeight="1" x14ac:dyDescent="0.45">
      <c r="A207" s="22">
        <v>2503</v>
      </c>
      <c r="B207" s="2">
        <v>45744</v>
      </c>
      <c r="D207" s="4" t="s">
        <v>339</v>
      </c>
      <c r="E207" s="5" t="s">
        <v>27</v>
      </c>
      <c r="G207" s="5" t="s">
        <v>28</v>
      </c>
      <c r="H207" s="19" t="s">
        <v>357</v>
      </c>
      <c r="M207" s="7">
        <v>1252.5</v>
      </c>
      <c r="R207" s="12">
        <v>1100</v>
      </c>
      <c r="S207" s="12">
        <f t="shared" si="20"/>
        <v>1377750</v>
      </c>
      <c r="Z207" s="18">
        <f t="shared" si="19"/>
        <v>-1377750</v>
      </c>
    </row>
    <row r="208" spans="1:31" ht="16" customHeight="1" x14ac:dyDescent="0.45">
      <c r="A208" s="22">
        <v>2503</v>
      </c>
      <c r="B208" s="2">
        <v>45723</v>
      </c>
      <c r="D208" s="4" t="s">
        <v>93</v>
      </c>
      <c r="E208" s="5" t="s">
        <v>27</v>
      </c>
      <c r="G208" s="5" t="s">
        <v>28</v>
      </c>
      <c r="H208" s="19" t="s">
        <v>101</v>
      </c>
      <c r="L208" s="6">
        <v>6</v>
      </c>
      <c r="M208" s="7">
        <v>2467.5</v>
      </c>
      <c r="R208" s="12">
        <v>1100</v>
      </c>
      <c r="S208" s="12">
        <f t="shared" si="20"/>
        <v>2714250</v>
      </c>
      <c r="Z208" s="18">
        <f t="shared" si="19"/>
        <v>-2714250</v>
      </c>
    </row>
    <row r="209" spans="1:31" s="21" customFormat="1" ht="16" customHeight="1" x14ac:dyDescent="0.45">
      <c r="A209" s="22">
        <v>2503</v>
      </c>
      <c r="B209" s="2">
        <v>45730</v>
      </c>
      <c r="C209" s="3"/>
      <c r="D209" s="4" t="s">
        <v>93</v>
      </c>
      <c r="E209" s="5" t="s">
        <v>27</v>
      </c>
      <c r="F209" s="5"/>
      <c r="G209" s="5" t="s">
        <v>28</v>
      </c>
      <c r="H209" s="19" t="s">
        <v>101</v>
      </c>
      <c r="I209" s="19"/>
      <c r="J209" s="19"/>
      <c r="K209" s="20"/>
      <c r="L209" s="6">
        <v>3</v>
      </c>
      <c r="M209" s="7">
        <v>1233.75</v>
      </c>
      <c r="N209" s="8"/>
      <c r="O209" s="9"/>
      <c r="P209" s="10"/>
      <c r="Q209" s="11"/>
      <c r="R209" s="12">
        <v>1100</v>
      </c>
      <c r="S209" s="12">
        <f t="shared" si="20"/>
        <v>1357125</v>
      </c>
      <c r="T209" s="13"/>
      <c r="U209" s="14"/>
      <c r="V209" s="15"/>
      <c r="W209" s="16"/>
      <c r="X209" s="12"/>
      <c r="Y209" s="17"/>
      <c r="Z209" s="18">
        <f t="shared" si="19"/>
        <v>-1357125</v>
      </c>
      <c r="AA209" s="17"/>
      <c r="AB209" s="17"/>
      <c r="AC209" s="17"/>
      <c r="AD209" s="17"/>
      <c r="AE209" s="17"/>
    </row>
    <row r="210" spans="1:31" s="21" customFormat="1" ht="16" customHeight="1" x14ac:dyDescent="0.45">
      <c r="A210" s="22">
        <v>2503</v>
      </c>
      <c r="B210" s="2">
        <v>45737</v>
      </c>
      <c r="C210" s="3"/>
      <c r="D210" s="4" t="s">
        <v>93</v>
      </c>
      <c r="E210" s="5" t="s">
        <v>27</v>
      </c>
      <c r="F210" s="5"/>
      <c r="G210" s="5" t="s">
        <v>28</v>
      </c>
      <c r="H210" s="19" t="s">
        <v>101</v>
      </c>
      <c r="I210" s="19"/>
      <c r="J210" s="19"/>
      <c r="K210" s="20"/>
      <c r="L210" s="6"/>
      <c r="M210" s="7">
        <v>2467.5</v>
      </c>
      <c r="N210" s="8"/>
      <c r="O210" s="9"/>
      <c r="P210" s="10"/>
      <c r="Q210" s="11"/>
      <c r="R210" s="12">
        <v>1100</v>
      </c>
      <c r="S210" s="12">
        <f t="shared" si="20"/>
        <v>2714250</v>
      </c>
      <c r="T210" s="13"/>
      <c r="U210" s="14"/>
      <c r="V210" s="15"/>
      <c r="W210" s="16"/>
      <c r="X210" s="12"/>
      <c r="Y210" s="17"/>
      <c r="Z210" s="18">
        <f t="shared" si="19"/>
        <v>-2714250</v>
      </c>
      <c r="AA210" s="17"/>
      <c r="AB210" s="17"/>
      <c r="AC210" s="17"/>
      <c r="AD210" s="17"/>
      <c r="AE210" s="17"/>
    </row>
    <row r="211" spans="1:31" s="21" customFormat="1" ht="16" customHeight="1" x14ac:dyDescent="0.45">
      <c r="A211" s="22">
        <v>2503</v>
      </c>
      <c r="B211" s="2">
        <v>45744</v>
      </c>
      <c r="C211" s="3"/>
      <c r="D211" s="4" t="s">
        <v>93</v>
      </c>
      <c r="E211" s="5" t="s">
        <v>27</v>
      </c>
      <c r="F211" s="5"/>
      <c r="G211" s="5" t="s">
        <v>28</v>
      </c>
      <c r="H211" s="19" t="s">
        <v>101</v>
      </c>
      <c r="I211" s="19"/>
      <c r="J211" s="19"/>
      <c r="K211" s="20"/>
      <c r="L211" s="6"/>
      <c r="M211" s="7">
        <v>2467.5</v>
      </c>
      <c r="N211" s="8"/>
      <c r="O211" s="9"/>
      <c r="P211" s="10"/>
      <c r="Q211" s="11"/>
      <c r="R211" s="12">
        <v>1100</v>
      </c>
      <c r="S211" s="12">
        <f t="shared" si="20"/>
        <v>2714250</v>
      </c>
      <c r="T211" s="13"/>
      <c r="U211" s="14"/>
      <c r="V211" s="15"/>
      <c r="W211" s="16"/>
      <c r="X211" s="12"/>
      <c r="Y211" s="17"/>
      <c r="Z211" s="18">
        <f t="shared" si="19"/>
        <v>-2714250</v>
      </c>
      <c r="AA211" s="17"/>
      <c r="AB211" s="17"/>
      <c r="AC211" s="17"/>
      <c r="AD211" s="17"/>
      <c r="AE211" s="17"/>
    </row>
    <row r="212" spans="1:31" ht="16" customHeight="1" x14ac:dyDescent="0.45">
      <c r="A212" s="1">
        <v>2503</v>
      </c>
      <c r="B212" s="2">
        <v>45742</v>
      </c>
      <c r="C212" s="24"/>
      <c r="D212" s="4" t="s">
        <v>30</v>
      </c>
      <c r="E212" s="5" t="s">
        <v>31</v>
      </c>
      <c r="G212" s="5" t="s">
        <v>31</v>
      </c>
      <c r="H212" s="19" t="s">
        <v>113</v>
      </c>
      <c r="L212" s="6">
        <v>2</v>
      </c>
      <c r="O212" s="9">
        <v>2000</v>
      </c>
      <c r="P212" s="141"/>
      <c r="Q212" s="95"/>
      <c r="R212" s="12">
        <v>1280</v>
      </c>
      <c r="S212" s="12">
        <f>O212*R212</f>
        <v>2560000</v>
      </c>
      <c r="T212" s="33"/>
      <c r="U212" s="34"/>
      <c r="V212" s="15">
        <v>1380</v>
      </c>
      <c r="W212" s="16">
        <f>O212*V212</f>
        <v>2760000</v>
      </c>
      <c r="Z212" s="18">
        <f t="shared" si="19"/>
        <v>200000</v>
      </c>
    </row>
    <row r="213" spans="1:31" ht="16" customHeight="1" x14ac:dyDescent="0.45">
      <c r="A213" s="1">
        <v>2503</v>
      </c>
      <c r="B213" s="2">
        <v>45742</v>
      </c>
      <c r="C213" s="24"/>
      <c r="D213" s="4" t="s">
        <v>30</v>
      </c>
      <c r="E213" s="5" t="s">
        <v>31</v>
      </c>
      <c r="G213" s="5" t="s">
        <v>31</v>
      </c>
      <c r="H213" s="19" t="s">
        <v>96</v>
      </c>
      <c r="L213" s="6">
        <v>6</v>
      </c>
      <c r="O213" s="9">
        <v>3000</v>
      </c>
      <c r="P213" s="141"/>
      <c r="Q213" s="95"/>
      <c r="R213" s="12">
        <v>1143</v>
      </c>
      <c r="S213" s="12">
        <f>O213*R213</f>
        <v>3429000</v>
      </c>
      <c r="T213" s="33"/>
      <c r="U213" s="34"/>
      <c r="V213" s="15">
        <v>2200</v>
      </c>
      <c r="W213" s="16">
        <f>O213*V213</f>
        <v>6600000</v>
      </c>
      <c r="Z213" s="18">
        <f t="shared" si="19"/>
        <v>3171000</v>
      </c>
    </row>
    <row r="214" spans="1:31" ht="16" customHeight="1" x14ac:dyDescent="0.45">
      <c r="A214" s="1">
        <v>2503</v>
      </c>
      <c r="B214" s="2">
        <v>45742</v>
      </c>
      <c r="C214" s="24"/>
      <c r="D214" s="4" t="s">
        <v>30</v>
      </c>
      <c r="E214" s="5" t="s">
        <v>31</v>
      </c>
      <c r="G214" s="5" t="s">
        <v>31</v>
      </c>
      <c r="H214" s="19" t="s">
        <v>133</v>
      </c>
      <c r="O214" s="9">
        <v>4920</v>
      </c>
      <c r="P214" s="141"/>
      <c r="Q214" s="95"/>
      <c r="R214" s="12">
        <v>1500</v>
      </c>
      <c r="S214" s="12">
        <f>O214*R214</f>
        <v>7380000</v>
      </c>
      <c r="T214" s="33"/>
      <c r="U214" s="34"/>
      <c r="V214" s="15">
        <v>2450</v>
      </c>
      <c r="W214" s="16">
        <f>O214*V214</f>
        <v>12054000</v>
      </c>
      <c r="Z214" s="18">
        <f t="shared" si="19"/>
        <v>4674000</v>
      </c>
    </row>
    <row r="215" spans="1:31" ht="16" customHeight="1" x14ac:dyDescent="0.45">
      <c r="A215" s="22">
        <v>2503</v>
      </c>
      <c r="B215" s="2">
        <v>45717</v>
      </c>
      <c r="D215" s="4" t="s">
        <v>27</v>
      </c>
      <c r="E215" s="5" t="s">
        <v>198</v>
      </c>
      <c r="G215" s="5" t="s">
        <v>28</v>
      </c>
      <c r="H215" s="19" t="s">
        <v>358</v>
      </c>
      <c r="I215" s="19">
        <v>3206</v>
      </c>
      <c r="M215" s="7">
        <v>2732.4</v>
      </c>
      <c r="P215" s="10">
        <v>4300</v>
      </c>
      <c r="Q215" s="11">
        <f>M215*P215</f>
        <v>11749320</v>
      </c>
      <c r="Z215" s="18">
        <f t="shared" si="19"/>
        <v>-11749320</v>
      </c>
    </row>
    <row r="216" spans="1:31" ht="16" customHeight="1" x14ac:dyDescent="0.45">
      <c r="A216" s="22">
        <v>2503</v>
      </c>
      <c r="B216" s="2">
        <v>45720</v>
      </c>
      <c r="D216" s="4" t="s">
        <v>27</v>
      </c>
      <c r="E216" s="5" t="s">
        <v>37</v>
      </c>
      <c r="G216" s="5" t="s">
        <v>28</v>
      </c>
      <c r="H216" s="19" t="s">
        <v>33</v>
      </c>
      <c r="L216" s="6">
        <v>188</v>
      </c>
      <c r="M216" s="7">
        <v>3290</v>
      </c>
      <c r="R216" s="12">
        <v>2100</v>
      </c>
      <c r="S216" s="12">
        <f t="shared" ref="S216:S222" si="21">M216*R216</f>
        <v>6909000</v>
      </c>
      <c r="Z216" s="18">
        <f t="shared" si="19"/>
        <v>-6909000</v>
      </c>
    </row>
    <row r="217" spans="1:31" ht="16" customHeight="1" x14ac:dyDescent="0.45">
      <c r="A217" s="22">
        <v>2503</v>
      </c>
      <c r="B217" s="2">
        <v>45727</v>
      </c>
      <c r="D217" s="4" t="s">
        <v>27</v>
      </c>
      <c r="E217" s="5" t="s">
        <v>37</v>
      </c>
      <c r="G217" s="5" t="s">
        <v>28</v>
      </c>
      <c r="H217" s="19" t="s">
        <v>33</v>
      </c>
      <c r="L217" s="6">
        <v>147</v>
      </c>
      <c r="M217" s="7">
        <v>2572.5</v>
      </c>
      <c r="R217" s="12">
        <v>2100</v>
      </c>
      <c r="S217" s="12">
        <f t="shared" si="21"/>
        <v>5402250</v>
      </c>
      <c r="Z217" s="18">
        <f t="shared" si="19"/>
        <v>-5402250</v>
      </c>
    </row>
    <row r="218" spans="1:31" s="21" customFormat="1" ht="16" customHeight="1" x14ac:dyDescent="0.45">
      <c r="A218" s="22">
        <v>2503</v>
      </c>
      <c r="B218" s="2">
        <v>45728</v>
      </c>
      <c r="C218" s="3"/>
      <c r="D218" s="4" t="s">
        <v>27</v>
      </c>
      <c r="E218" s="5" t="s">
        <v>37</v>
      </c>
      <c r="F218" s="5"/>
      <c r="G218" s="5" t="s">
        <v>28</v>
      </c>
      <c r="H218" s="19" t="s">
        <v>33</v>
      </c>
      <c r="I218" s="19"/>
      <c r="J218" s="19"/>
      <c r="K218" s="20"/>
      <c r="L218" s="6">
        <v>42</v>
      </c>
      <c r="M218" s="7">
        <v>735</v>
      </c>
      <c r="N218" s="8"/>
      <c r="O218" s="9"/>
      <c r="P218" s="10"/>
      <c r="Q218" s="11"/>
      <c r="R218" s="12">
        <v>2100</v>
      </c>
      <c r="S218" s="12">
        <f t="shared" si="21"/>
        <v>1543500</v>
      </c>
      <c r="T218" s="13"/>
      <c r="U218" s="14"/>
      <c r="V218" s="15"/>
      <c r="W218" s="16"/>
      <c r="X218" s="12"/>
      <c r="Y218" s="17"/>
      <c r="Z218" s="18">
        <f t="shared" si="19"/>
        <v>-1543500</v>
      </c>
      <c r="AA218" s="17"/>
      <c r="AB218" s="17"/>
      <c r="AC218" s="17"/>
      <c r="AD218" s="17"/>
      <c r="AE218" s="17"/>
    </row>
    <row r="219" spans="1:31" ht="16" customHeight="1" x14ac:dyDescent="0.45">
      <c r="A219" s="22">
        <v>2503</v>
      </c>
      <c r="B219" s="2">
        <v>45734</v>
      </c>
      <c r="D219" s="4" t="s">
        <v>27</v>
      </c>
      <c r="E219" s="5" t="s">
        <v>37</v>
      </c>
      <c r="G219" s="5" t="s">
        <v>28</v>
      </c>
      <c r="H219" s="19" t="s">
        <v>359</v>
      </c>
      <c r="L219" s="6">
        <v>189</v>
      </c>
      <c r="M219" s="7">
        <v>3307.5</v>
      </c>
      <c r="R219" s="12">
        <v>2100</v>
      </c>
      <c r="S219" s="12">
        <f t="shared" si="21"/>
        <v>6945750</v>
      </c>
      <c r="Z219" s="18">
        <f t="shared" si="19"/>
        <v>-6945750</v>
      </c>
    </row>
    <row r="220" spans="1:31" ht="16" customHeight="1" x14ac:dyDescent="0.45">
      <c r="A220" s="22">
        <v>2503</v>
      </c>
      <c r="B220" s="2">
        <v>45742</v>
      </c>
      <c r="D220" s="4" t="s">
        <v>27</v>
      </c>
      <c r="E220" s="5" t="s">
        <v>37</v>
      </c>
      <c r="G220" s="5" t="s">
        <v>28</v>
      </c>
      <c r="H220" s="19" t="s">
        <v>33</v>
      </c>
      <c r="L220" s="6">
        <v>147</v>
      </c>
      <c r="M220" s="7">
        <v>2572.5</v>
      </c>
      <c r="R220" s="12">
        <v>2100</v>
      </c>
      <c r="S220" s="12">
        <f t="shared" si="21"/>
        <v>5402250</v>
      </c>
      <c r="Z220" s="18">
        <f t="shared" si="19"/>
        <v>-5402250</v>
      </c>
    </row>
    <row r="221" spans="1:31" ht="16" customHeight="1" x14ac:dyDescent="0.45">
      <c r="A221" s="22">
        <v>2503</v>
      </c>
      <c r="B221" s="2">
        <v>45743</v>
      </c>
      <c r="D221" s="4" t="s">
        <v>27</v>
      </c>
      <c r="E221" s="5" t="s">
        <v>37</v>
      </c>
      <c r="G221" s="5" t="s">
        <v>28</v>
      </c>
      <c r="H221" s="19" t="s">
        <v>33</v>
      </c>
      <c r="L221" s="45">
        <v>105</v>
      </c>
      <c r="M221" s="7">
        <v>1837.5</v>
      </c>
      <c r="R221" s="12">
        <v>2100</v>
      </c>
      <c r="S221" s="12">
        <f t="shared" si="21"/>
        <v>3858750</v>
      </c>
      <c r="Z221" s="18">
        <f t="shared" si="19"/>
        <v>-3858750</v>
      </c>
    </row>
    <row r="222" spans="1:31" ht="16" customHeight="1" x14ac:dyDescent="0.45">
      <c r="A222" s="22">
        <v>2503</v>
      </c>
      <c r="B222" s="2">
        <v>45744</v>
      </c>
      <c r="D222" s="4" t="s">
        <v>27</v>
      </c>
      <c r="E222" s="5" t="s">
        <v>37</v>
      </c>
      <c r="G222" s="5" t="s">
        <v>28</v>
      </c>
      <c r="H222" s="19" t="s">
        <v>33</v>
      </c>
      <c r="L222" s="45">
        <v>105</v>
      </c>
      <c r="M222" s="7">
        <v>1837.5</v>
      </c>
      <c r="R222" s="12">
        <v>2100</v>
      </c>
      <c r="S222" s="12">
        <f t="shared" si="21"/>
        <v>3858750</v>
      </c>
      <c r="Z222" s="18">
        <f t="shared" si="19"/>
        <v>-3858750</v>
      </c>
    </row>
    <row r="223" spans="1:31" s="21" customFormat="1" ht="16" customHeight="1" x14ac:dyDescent="0.45">
      <c r="A223" s="22">
        <v>2503</v>
      </c>
      <c r="B223" s="2">
        <v>45736</v>
      </c>
      <c r="C223" s="3"/>
      <c r="D223" s="4" t="s">
        <v>35</v>
      </c>
      <c r="E223" s="5" t="s">
        <v>10</v>
      </c>
      <c r="F223" s="5"/>
      <c r="G223" s="5" t="s">
        <v>19</v>
      </c>
      <c r="H223" s="19" t="s">
        <v>104</v>
      </c>
      <c r="I223" s="19" t="s">
        <v>360</v>
      </c>
      <c r="J223" s="19"/>
      <c r="K223" s="20"/>
      <c r="L223" s="6">
        <v>4</v>
      </c>
      <c r="M223" s="7"/>
      <c r="N223" s="8">
        <v>2004</v>
      </c>
      <c r="O223" s="9"/>
      <c r="P223" s="10"/>
      <c r="Q223" s="11"/>
      <c r="R223" s="12">
        <v>970</v>
      </c>
      <c r="S223" s="12">
        <f>N223*R223</f>
        <v>1943880</v>
      </c>
      <c r="T223" s="13"/>
      <c r="U223" s="14"/>
      <c r="V223" s="15"/>
      <c r="W223" s="16"/>
      <c r="X223" s="12"/>
      <c r="Y223" s="17"/>
      <c r="Z223" s="18">
        <f t="shared" si="19"/>
        <v>-1943880</v>
      </c>
      <c r="AA223" s="17"/>
      <c r="AB223" s="17"/>
      <c r="AC223" s="17"/>
      <c r="AD223" s="17"/>
      <c r="AE223" s="17"/>
    </row>
    <row r="224" spans="1:31" ht="16" customHeight="1" x14ac:dyDescent="0.45">
      <c r="A224" s="1">
        <v>2503</v>
      </c>
      <c r="B224" s="2">
        <v>45727</v>
      </c>
      <c r="C224" s="24"/>
      <c r="D224" s="4" t="s">
        <v>37</v>
      </c>
      <c r="E224" s="5" t="s">
        <v>28</v>
      </c>
      <c r="G224" s="5" t="s">
        <v>28</v>
      </c>
      <c r="H224" s="19" t="s">
        <v>86</v>
      </c>
      <c r="I224" s="19" t="s">
        <v>39</v>
      </c>
      <c r="K224" s="73" t="s">
        <v>50</v>
      </c>
      <c r="L224" s="6">
        <v>33</v>
      </c>
      <c r="M224" s="7">
        <v>487.7</v>
      </c>
      <c r="O224" s="9">
        <v>769</v>
      </c>
      <c r="P224" s="141"/>
      <c r="Q224" s="95"/>
      <c r="R224" s="12">
        <v>2500</v>
      </c>
      <c r="S224" s="12">
        <f t="shared" ref="S224:S242" si="22">M224*R224</f>
        <v>1219250</v>
      </c>
      <c r="T224" s="33"/>
      <c r="U224" s="34"/>
      <c r="V224" s="15">
        <v>6700</v>
      </c>
      <c r="W224" s="16">
        <f t="shared" ref="W224:W242" si="23">O224*V224</f>
        <v>5152300</v>
      </c>
      <c r="Z224" s="18">
        <f t="shared" si="19"/>
        <v>3933050</v>
      </c>
    </row>
    <row r="225" spans="1:26" ht="16" customHeight="1" x14ac:dyDescent="0.45">
      <c r="A225" s="1">
        <v>2503</v>
      </c>
      <c r="B225" s="2">
        <v>45727</v>
      </c>
      <c r="C225" s="24"/>
      <c r="D225" s="4" t="s">
        <v>37</v>
      </c>
      <c r="E225" s="5" t="s">
        <v>28</v>
      </c>
      <c r="G225" s="5" t="s">
        <v>28</v>
      </c>
      <c r="H225" s="19" t="s">
        <v>86</v>
      </c>
      <c r="I225" s="19" t="s">
        <v>39</v>
      </c>
      <c r="K225" s="73" t="s">
        <v>51</v>
      </c>
      <c r="L225" s="6">
        <v>33</v>
      </c>
      <c r="M225" s="7">
        <v>494.1</v>
      </c>
      <c r="O225" s="9">
        <v>769</v>
      </c>
      <c r="P225" s="141"/>
      <c r="Q225" s="95"/>
      <c r="R225" s="12">
        <v>2500</v>
      </c>
      <c r="S225" s="12">
        <f t="shared" si="22"/>
        <v>1235250</v>
      </c>
      <c r="T225" s="33"/>
      <c r="U225" s="34"/>
      <c r="V225" s="15">
        <v>6700</v>
      </c>
      <c r="W225" s="16">
        <f t="shared" si="23"/>
        <v>5152300</v>
      </c>
      <c r="Z225" s="18">
        <f t="shared" si="19"/>
        <v>3917050</v>
      </c>
    </row>
    <row r="226" spans="1:26" ht="16" customHeight="1" x14ac:dyDescent="0.45">
      <c r="A226" s="1">
        <v>2503</v>
      </c>
      <c r="B226" s="2">
        <v>45727</v>
      </c>
      <c r="C226" s="24"/>
      <c r="D226" s="4" t="s">
        <v>37</v>
      </c>
      <c r="E226" s="5" t="s">
        <v>28</v>
      </c>
      <c r="G226" s="5" t="s">
        <v>28</v>
      </c>
      <c r="H226" s="19" t="s">
        <v>86</v>
      </c>
      <c r="I226" s="19" t="s">
        <v>39</v>
      </c>
      <c r="K226" s="73" t="s">
        <v>83</v>
      </c>
      <c r="L226" s="6">
        <v>33</v>
      </c>
      <c r="M226" s="7">
        <v>482.5</v>
      </c>
      <c r="O226" s="9">
        <v>764</v>
      </c>
      <c r="P226" s="141"/>
      <c r="Q226" s="95"/>
      <c r="R226" s="12">
        <v>2500</v>
      </c>
      <c r="S226" s="12">
        <f t="shared" si="22"/>
        <v>1206250</v>
      </c>
      <c r="T226" s="33"/>
      <c r="U226" s="34"/>
      <c r="V226" s="15">
        <v>6700</v>
      </c>
      <c r="W226" s="16">
        <f t="shared" si="23"/>
        <v>5118800</v>
      </c>
      <c r="Z226" s="18">
        <f t="shared" si="19"/>
        <v>3912550</v>
      </c>
    </row>
    <row r="227" spans="1:26" ht="16" customHeight="1" x14ac:dyDescent="0.45">
      <c r="A227" s="1">
        <v>2503</v>
      </c>
      <c r="B227" s="2">
        <v>45727</v>
      </c>
      <c r="C227" s="24"/>
      <c r="D227" s="4" t="s">
        <v>37</v>
      </c>
      <c r="E227" s="5" t="s">
        <v>28</v>
      </c>
      <c r="G227" s="5" t="s">
        <v>28</v>
      </c>
      <c r="H227" s="19" t="s">
        <v>86</v>
      </c>
      <c r="I227" s="19" t="s">
        <v>39</v>
      </c>
      <c r="K227" s="73" t="s">
        <v>84</v>
      </c>
      <c r="L227" s="6">
        <v>33</v>
      </c>
      <c r="M227" s="7">
        <v>478.6</v>
      </c>
      <c r="O227" s="9">
        <v>755</v>
      </c>
      <c r="P227" s="141"/>
      <c r="Q227" s="95"/>
      <c r="R227" s="12">
        <v>2500</v>
      </c>
      <c r="S227" s="12">
        <f t="shared" si="22"/>
        <v>1196500</v>
      </c>
      <c r="T227" s="33"/>
      <c r="U227" s="34"/>
      <c r="V227" s="15">
        <v>6700</v>
      </c>
      <c r="W227" s="16">
        <f t="shared" si="23"/>
        <v>5058500</v>
      </c>
      <c r="Z227" s="18">
        <f t="shared" si="19"/>
        <v>3862000</v>
      </c>
    </row>
    <row r="228" spans="1:26" ht="16" customHeight="1" x14ac:dyDescent="0.45">
      <c r="A228" s="1">
        <v>2503</v>
      </c>
      <c r="B228" s="2">
        <v>45727</v>
      </c>
      <c r="C228" s="24"/>
      <c r="D228" s="4" t="s">
        <v>37</v>
      </c>
      <c r="E228" s="5" t="s">
        <v>28</v>
      </c>
      <c r="G228" s="5" t="s">
        <v>28</v>
      </c>
      <c r="H228" s="19" t="s">
        <v>86</v>
      </c>
      <c r="I228" s="19" t="s">
        <v>39</v>
      </c>
      <c r="K228" s="73" t="s">
        <v>85</v>
      </c>
      <c r="L228" s="6">
        <v>33</v>
      </c>
      <c r="M228" s="7">
        <v>491</v>
      </c>
      <c r="O228" s="9">
        <v>780</v>
      </c>
      <c r="P228" s="141"/>
      <c r="Q228" s="95"/>
      <c r="R228" s="12">
        <v>2500</v>
      </c>
      <c r="S228" s="12">
        <f t="shared" si="22"/>
        <v>1227500</v>
      </c>
      <c r="T228" s="33"/>
      <c r="U228" s="34"/>
      <c r="V228" s="15">
        <v>6700</v>
      </c>
      <c r="W228" s="16">
        <f t="shared" si="23"/>
        <v>5226000</v>
      </c>
      <c r="Z228" s="18">
        <f t="shared" si="19"/>
        <v>3998500</v>
      </c>
    </row>
    <row r="229" spans="1:26" ht="16" customHeight="1" x14ac:dyDescent="0.45">
      <c r="A229" s="1">
        <v>2503</v>
      </c>
      <c r="B229" s="2">
        <v>45727</v>
      </c>
      <c r="C229" s="24"/>
      <c r="D229" s="4" t="s">
        <v>37</v>
      </c>
      <c r="E229" s="5" t="s">
        <v>28</v>
      </c>
      <c r="G229" s="5" t="s">
        <v>28</v>
      </c>
      <c r="H229" s="19" t="s">
        <v>86</v>
      </c>
      <c r="I229" s="19" t="s">
        <v>39</v>
      </c>
      <c r="K229" s="73" t="s">
        <v>71</v>
      </c>
      <c r="L229" s="6">
        <v>23</v>
      </c>
      <c r="M229" s="7">
        <v>332.5</v>
      </c>
      <c r="O229" s="9">
        <v>533</v>
      </c>
      <c r="P229" s="141"/>
      <c r="Q229" s="95"/>
      <c r="R229" s="12">
        <v>2500</v>
      </c>
      <c r="S229" s="12">
        <f t="shared" si="22"/>
        <v>831250</v>
      </c>
      <c r="T229" s="33"/>
      <c r="U229" s="34"/>
      <c r="V229" s="15">
        <v>6700</v>
      </c>
      <c r="W229" s="16">
        <f t="shared" si="23"/>
        <v>3571100</v>
      </c>
      <c r="Z229" s="18">
        <f t="shared" si="19"/>
        <v>2739850</v>
      </c>
    </row>
    <row r="230" spans="1:26" ht="16" customHeight="1" x14ac:dyDescent="0.45">
      <c r="A230" s="22">
        <v>2503</v>
      </c>
      <c r="B230" s="23">
        <v>45728</v>
      </c>
      <c r="C230" s="24"/>
      <c r="D230" s="25" t="s">
        <v>37</v>
      </c>
      <c r="E230" s="26" t="s">
        <v>5</v>
      </c>
      <c r="F230" s="26"/>
      <c r="G230" s="26" t="s">
        <v>5</v>
      </c>
      <c r="H230" s="27" t="s">
        <v>129</v>
      </c>
      <c r="I230" s="27" t="s">
        <v>7</v>
      </c>
      <c r="J230" s="27"/>
      <c r="K230" s="28"/>
      <c r="L230" s="29"/>
      <c r="M230" s="30">
        <v>178.4</v>
      </c>
      <c r="N230" s="31"/>
      <c r="O230" s="32">
        <v>906</v>
      </c>
      <c r="P230" s="91"/>
      <c r="Q230" s="92"/>
      <c r="R230" s="93">
        <v>1850</v>
      </c>
      <c r="S230" s="93">
        <f t="shared" si="22"/>
        <v>330040</v>
      </c>
      <c r="T230" s="33"/>
      <c r="U230" s="34"/>
      <c r="V230" s="35">
        <v>1270</v>
      </c>
      <c r="W230" s="36">
        <f t="shared" si="23"/>
        <v>1150620</v>
      </c>
      <c r="X230" s="93"/>
      <c r="Y230" s="21"/>
      <c r="Z230" s="18">
        <f t="shared" si="19"/>
        <v>820580</v>
      </c>
    </row>
    <row r="231" spans="1:26" ht="16" customHeight="1" x14ac:dyDescent="0.45">
      <c r="A231" s="1">
        <v>2503</v>
      </c>
      <c r="B231" s="2">
        <v>45734</v>
      </c>
      <c r="C231" s="24"/>
      <c r="D231" s="4" t="s">
        <v>37</v>
      </c>
      <c r="E231" s="5" t="s">
        <v>28</v>
      </c>
      <c r="G231" s="5" t="s">
        <v>28</v>
      </c>
      <c r="H231" s="19" t="s">
        <v>38</v>
      </c>
      <c r="I231" s="19" t="s">
        <v>39</v>
      </c>
      <c r="K231" s="73" t="s">
        <v>106</v>
      </c>
      <c r="L231" s="6">
        <v>32</v>
      </c>
      <c r="M231" s="7">
        <v>478.3</v>
      </c>
      <c r="O231" s="9">
        <v>761</v>
      </c>
      <c r="P231" s="141"/>
      <c r="Q231" s="95"/>
      <c r="R231" s="12">
        <v>2500</v>
      </c>
      <c r="S231" s="12">
        <f t="shared" si="22"/>
        <v>1195750</v>
      </c>
      <c r="T231" s="33"/>
      <c r="U231" s="34"/>
      <c r="V231" s="15">
        <v>6700</v>
      </c>
      <c r="W231" s="16">
        <f t="shared" si="23"/>
        <v>5098700</v>
      </c>
      <c r="Z231" s="18">
        <f t="shared" si="19"/>
        <v>3902950</v>
      </c>
    </row>
    <row r="232" spans="1:26" ht="16" customHeight="1" x14ac:dyDescent="0.45">
      <c r="A232" s="1">
        <v>2503</v>
      </c>
      <c r="B232" s="2">
        <v>45734</v>
      </c>
      <c r="C232" s="24"/>
      <c r="D232" s="4" t="s">
        <v>37</v>
      </c>
      <c r="E232" s="5" t="s">
        <v>28</v>
      </c>
      <c r="G232" s="5" t="s">
        <v>28</v>
      </c>
      <c r="H232" s="19" t="s">
        <v>38</v>
      </c>
      <c r="I232" s="19" t="s">
        <v>39</v>
      </c>
      <c r="K232" s="73" t="s">
        <v>136</v>
      </c>
      <c r="L232" s="6">
        <v>32</v>
      </c>
      <c r="M232" s="7">
        <v>477</v>
      </c>
      <c r="O232" s="9">
        <v>749</v>
      </c>
      <c r="P232" s="141"/>
      <c r="Q232" s="95"/>
      <c r="R232" s="12">
        <v>2500</v>
      </c>
      <c r="S232" s="12">
        <f t="shared" si="22"/>
        <v>1192500</v>
      </c>
      <c r="T232" s="33"/>
      <c r="U232" s="34"/>
      <c r="V232" s="15">
        <v>6700</v>
      </c>
      <c r="W232" s="16">
        <f t="shared" si="23"/>
        <v>5018300</v>
      </c>
      <c r="Z232" s="18">
        <f t="shared" si="19"/>
        <v>3825800</v>
      </c>
    </row>
    <row r="233" spans="1:26" ht="16" customHeight="1" x14ac:dyDescent="0.45">
      <c r="A233" s="1">
        <v>2503</v>
      </c>
      <c r="B233" s="2">
        <v>45734</v>
      </c>
      <c r="C233" s="24"/>
      <c r="D233" s="4" t="s">
        <v>37</v>
      </c>
      <c r="E233" s="5" t="s">
        <v>28</v>
      </c>
      <c r="G233" s="5" t="s">
        <v>28</v>
      </c>
      <c r="H233" s="19" t="s">
        <v>38</v>
      </c>
      <c r="I233" s="19" t="s">
        <v>39</v>
      </c>
      <c r="K233" s="73" t="s">
        <v>107</v>
      </c>
      <c r="L233" s="6">
        <v>32</v>
      </c>
      <c r="M233" s="7">
        <v>480.7</v>
      </c>
      <c r="O233" s="9">
        <v>762</v>
      </c>
      <c r="P233" s="141"/>
      <c r="Q233" s="95"/>
      <c r="R233" s="12">
        <v>2500</v>
      </c>
      <c r="S233" s="12">
        <f t="shared" si="22"/>
        <v>1201750</v>
      </c>
      <c r="T233" s="33"/>
      <c r="U233" s="34"/>
      <c r="V233" s="15">
        <v>6700</v>
      </c>
      <c r="W233" s="16">
        <f t="shared" si="23"/>
        <v>5105400</v>
      </c>
      <c r="Z233" s="18">
        <f t="shared" si="19"/>
        <v>3903650</v>
      </c>
    </row>
    <row r="234" spans="1:26" ht="16" customHeight="1" x14ac:dyDescent="0.45">
      <c r="A234" s="1">
        <v>2503</v>
      </c>
      <c r="B234" s="2">
        <v>45734</v>
      </c>
      <c r="C234" s="24"/>
      <c r="D234" s="4" t="s">
        <v>37</v>
      </c>
      <c r="E234" s="5" t="s">
        <v>28</v>
      </c>
      <c r="G234" s="5" t="s">
        <v>28</v>
      </c>
      <c r="H234" s="19" t="s">
        <v>38</v>
      </c>
      <c r="I234" s="19" t="s">
        <v>39</v>
      </c>
      <c r="K234" s="73" t="s">
        <v>139</v>
      </c>
      <c r="L234" s="6">
        <v>32</v>
      </c>
      <c r="M234" s="7">
        <v>476.6</v>
      </c>
      <c r="O234" s="9">
        <v>757</v>
      </c>
      <c r="P234" s="141"/>
      <c r="Q234" s="95"/>
      <c r="R234" s="12">
        <v>2500</v>
      </c>
      <c r="S234" s="12">
        <f t="shared" si="22"/>
        <v>1191500</v>
      </c>
      <c r="T234" s="33"/>
      <c r="U234" s="34"/>
      <c r="V234" s="15">
        <v>6700</v>
      </c>
      <c r="W234" s="16">
        <f t="shared" si="23"/>
        <v>5071900</v>
      </c>
      <c r="Z234" s="18">
        <f t="shared" si="19"/>
        <v>3880400</v>
      </c>
    </row>
    <row r="235" spans="1:26" ht="16" customHeight="1" x14ac:dyDescent="0.45">
      <c r="A235" s="1">
        <v>2503</v>
      </c>
      <c r="B235" s="2">
        <v>45734</v>
      </c>
      <c r="C235" s="24"/>
      <c r="D235" s="4" t="s">
        <v>37</v>
      </c>
      <c r="E235" s="5" t="s">
        <v>28</v>
      </c>
      <c r="G235" s="5" t="s">
        <v>28</v>
      </c>
      <c r="H235" s="19" t="s">
        <v>38</v>
      </c>
      <c r="I235" s="19" t="s">
        <v>39</v>
      </c>
      <c r="K235" s="73" t="s">
        <v>144</v>
      </c>
      <c r="L235" s="6">
        <v>32</v>
      </c>
      <c r="M235" s="7">
        <v>478.1</v>
      </c>
      <c r="O235" s="9">
        <v>746</v>
      </c>
      <c r="P235" s="141"/>
      <c r="Q235" s="95"/>
      <c r="R235" s="12">
        <v>2500</v>
      </c>
      <c r="S235" s="12">
        <f t="shared" si="22"/>
        <v>1195250</v>
      </c>
      <c r="T235" s="33"/>
      <c r="U235" s="34"/>
      <c r="V235" s="15">
        <v>6700</v>
      </c>
      <c r="W235" s="16">
        <f t="shared" si="23"/>
        <v>4998200</v>
      </c>
      <c r="Z235" s="18">
        <f t="shared" si="19"/>
        <v>3802950</v>
      </c>
    </row>
    <row r="236" spans="1:26" ht="16" customHeight="1" x14ac:dyDescent="0.45">
      <c r="A236" s="1">
        <v>2503</v>
      </c>
      <c r="B236" s="2">
        <v>45734</v>
      </c>
      <c r="C236" s="24"/>
      <c r="D236" s="4" t="s">
        <v>37</v>
      </c>
      <c r="E236" s="5" t="s">
        <v>28</v>
      </c>
      <c r="G236" s="5" t="s">
        <v>28</v>
      </c>
      <c r="H236" s="19" t="s">
        <v>38</v>
      </c>
      <c r="I236" s="19" t="s">
        <v>39</v>
      </c>
      <c r="K236" s="73" t="s">
        <v>145</v>
      </c>
      <c r="L236" s="6">
        <v>29</v>
      </c>
      <c r="M236" s="7">
        <v>428.6</v>
      </c>
      <c r="O236" s="9">
        <v>668</v>
      </c>
      <c r="P236" s="141"/>
      <c r="Q236" s="95"/>
      <c r="R236" s="12">
        <v>2500</v>
      </c>
      <c r="S236" s="12">
        <f t="shared" si="22"/>
        <v>1071500</v>
      </c>
      <c r="T236" s="33"/>
      <c r="U236" s="34"/>
      <c r="V236" s="15">
        <v>6700</v>
      </c>
      <c r="W236" s="16">
        <f t="shared" si="23"/>
        <v>4475600</v>
      </c>
      <c r="Z236" s="18">
        <f t="shared" si="19"/>
        <v>3404100</v>
      </c>
    </row>
    <row r="237" spans="1:26" ht="16" customHeight="1" x14ac:dyDescent="0.45">
      <c r="A237" s="1">
        <v>2503</v>
      </c>
      <c r="B237" s="2">
        <v>45741</v>
      </c>
      <c r="C237" s="24"/>
      <c r="D237" s="4" t="s">
        <v>37</v>
      </c>
      <c r="E237" s="5" t="s">
        <v>28</v>
      </c>
      <c r="G237" s="5" t="s">
        <v>28</v>
      </c>
      <c r="H237" s="19" t="s">
        <v>38</v>
      </c>
      <c r="I237" s="19" t="s">
        <v>39</v>
      </c>
      <c r="K237" s="20">
        <v>24</v>
      </c>
      <c r="L237" s="6">
        <v>32</v>
      </c>
      <c r="M237" s="7">
        <v>485.5</v>
      </c>
      <c r="O237" s="9">
        <v>770</v>
      </c>
      <c r="P237" s="141"/>
      <c r="Q237" s="95"/>
      <c r="R237" s="12">
        <v>2500</v>
      </c>
      <c r="S237" s="12">
        <f t="shared" si="22"/>
        <v>1213750</v>
      </c>
      <c r="T237" s="33"/>
      <c r="U237" s="34"/>
      <c r="V237" s="15">
        <v>6700</v>
      </c>
      <c r="W237" s="16">
        <f t="shared" si="23"/>
        <v>5159000</v>
      </c>
      <c r="Z237" s="18">
        <f t="shared" si="19"/>
        <v>3945250</v>
      </c>
    </row>
    <row r="238" spans="1:26" ht="16" customHeight="1" x14ac:dyDescent="0.45">
      <c r="A238" s="1">
        <v>2503</v>
      </c>
      <c r="B238" s="2">
        <v>45741</v>
      </c>
      <c r="C238" s="24"/>
      <c r="D238" s="4" t="s">
        <v>37</v>
      </c>
      <c r="E238" s="5" t="s">
        <v>28</v>
      </c>
      <c r="G238" s="5" t="s">
        <v>28</v>
      </c>
      <c r="H238" s="19" t="s">
        <v>38</v>
      </c>
      <c r="I238" s="19" t="s">
        <v>39</v>
      </c>
      <c r="K238" s="20">
        <v>25</v>
      </c>
      <c r="L238" s="6">
        <v>33</v>
      </c>
      <c r="M238" s="7">
        <v>500.3</v>
      </c>
      <c r="O238" s="9">
        <v>793</v>
      </c>
      <c r="P238" s="141"/>
      <c r="Q238" s="95"/>
      <c r="R238" s="12">
        <v>2500</v>
      </c>
      <c r="S238" s="12">
        <f t="shared" si="22"/>
        <v>1250750</v>
      </c>
      <c r="T238" s="33"/>
      <c r="U238" s="34"/>
      <c r="V238" s="15">
        <v>6700</v>
      </c>
      <c r="W238" s="16">
        <f t="shared" si="23"/>
        <v>5313100</v>
      </c>
      <c r="Z238" s="18">
        <f t="shared" si="19"/>
        <v>4062350</v>
      </c>
    </row>
    <row r="239" spans="1:26" ht="16" customHeight="1" x14ac:dyDescent="0.45">
      <c r="A239" s="1">
        <v>2503</v>
      </c>
      <c r="B239" s="2">
        <v>45741</v>
      </c>
      <c r="C239" s="24"/>
      <c r="D239" s="4" t="s">
        <v>37</v>
      </c>
      <c r="E239" s="5" t="s">
        <v>28</v>
      </c>
      <c r="G239" s="5" t="s">
        <v>28</v>
      </c>
      <c r="H239" s="19" t="s">
        <v>38</v>
      </c>
      <c r="I239" s="19" t="s">
        <v>39</v>
      </c>
      <c r="K239" s="20">
        <v>26</v>
      </c>
      <c r="L239" s="6">
        <v>32</v>
      </c>
      <c r="M239" s="7">
        <v>482.9</v>
      </c>
      <c r="O239" s="9">
        <v>752</v>
      </c>
      <c r="P239" s="141"/>
      <c r="Q239" s="95"/>
      <c r="R239" s="12">
        <v>2500</v>
      </c>
      <c r="S239" s="12">
        <f t="shared" si="22"/>
        <v>1207250</v>
      </c>
      <c r="T239" s="33"/>
      <c r="U239" s="34"/>
      <c r="V239" s="15">
        <v>6700</v>
      </c>
      <c r="W239" s="16">
        <f t="shared" si="23"/>
        <v>5038400</v>
      </c>
      <c r="Z239" s="18">
        <f t="shared" si="19"/>
        <v>3831150</v>
      </c>
    </row>
    <row r="240" spans="1:26" ht="16" customHeight="1" x14ac:dyDescent="0.45">
      <c r="A240" s="1">
        <v>2503</v>
      </c>
      <c r="B240" s="2">
        <v>45741</v>
      </c>
      <c r="C240" s="24"/>
      <c r="D240" s="4" t="s">
        <v>37</v>
      </c>
      <c r="E240" s="5" t="s">
        <v>28</v>
      </c>
      <c r="G240" s="5" t="s">
        <v>28</v>
      </c>
      <c r="H240" s="19" t="s">
        <v>38</v>
      </c>
      <c r="I240" s="19" t="s">
        <v>39</v>
      </c>
      <c r="K240" s="20">
        <v>27</v>
      </c>
      <c r="L240" s="6">
        <v>33</v>
      </c>
      <c r="M240" s="7">
        <v>503</v>
      </c>
      <c r="O240" s="9">
        <v>789</v>
      </c>
      <c r="P240" s="141"/>
      <c r="Q240" s="95"/>
      <c r="R240" s="12">
        <v>2500</v>
      </c>
      <c r="S240" s="12">
        <f t="shared" si="22"/>
        <v>1257500</v>
      </c>
      <c r="T240" s="33"/>
      <c r="U240" s="34"/>
      <c r="V240" s="15">
        <v>6700</v>
      </c>
      <c r="W240" s="16">
        <f t="shared" si="23"/>
        <v>5286300</v>
      </c>
      <c r="Z240" s="18">
        <f t="shared" si="19"/>
        <v>4028800</v>
      </c>
    </row>
    <row r="241" spans="1:31" ht="16" customHeight="1" x14ac:dyDescent="0.45">
      <c r="A241" s="1">
        <v>2503</v>
      </c>
      <c r="B241" s="2">
        <v>45741</v>
      </c>
      <c r="C241" s="24"/>
      <c r="D241" s="4" t="s">
        <v>37</v>
      </c>
      <c r="E241" s="5" t="s">
        <v>28</v>
      </c>
      <c r="G241" s="5" t="s">
        <v>28</v>
      </c>
      <c r="H241" s="19" t="s">
        <v>38</v>
      </c>
      <c r="I241" s="19" t="s">
        <v>39</v>
      </c>
      <c r="K241" s="20">
        <v>28</v>
      </c>
      <c r="L241" s="6">
        <v>32</v>
      </c>
      <c r="M241" s="7">
        <v>484.8</v>
      </c>
      <c r="O241" s="9">
        <v>782</v>
      </c>
      <c r="P241" s="141"/>
      <c r="Q241" s="95"/>
      <c r="R241" s="12">
        <v>2500</v>
      </c>
      <c r="S241" s="12">
        <f t="shared" si="22"/>
        <v>1212000</v>
      </c>
      <c r="T241" s="33"/>
      <c r="U241" s="34"/>
      <c r="V241" s="15">
        <v>6700</v>
      </c>
      <c r="W241" s="16">
        <f t="shared" si="23"/>
        <v>5239400</v>
      </c>
      <c r="Z241" s="18">
        <f t="shared" si="19"/>
        <v>4027400</v>
      </c>
    </row>
    <row r="242" spans="1:31" ht="16" customHeight="1" x14ac:dyDescent="0.45">
      <c r="A242" s="1">
        <v>2503</v>
      </c>
      <c r="B242" s="2">
        <v>45741</v>
      </c>
      <c r="C242" s="24"/>
      <c r="D242" s="4" t="s">
        <v>37</v>
      </c>
      <c r="E242" s="5" t="s">
        <v>28</v>
      </c>
      <c r="G242" s="5" t="s">
        <v>28</v>
      </c>
      <c r="H242" s="19" t="s">
        <v>38</v>
      </c>
      <c r="I242" s="19" t="s">
        <v>39</v>
      </c>
      <c r="K242" s="20">
        <v>29</v>
      </c>
      <c r="L242" s="6">
        <v>27</v>
      </c>
      <c r="M242" s="7">
        <v>409.3</v>
      </c>
      <c r="O242" s="9">
        <v>643</v>
      </c>
      <c r="P242" s="141"/>
      <c r="Q242" s="95"/>
      <c r="R242" s="12">
        <v>2500</v>
      </c>
      <c r="S242" s="12">
        <f t="shared" si="22"/>
        <v>1023250</v>
      </c>
      <c r="T242" s="33"/>
      <c r="U242" s="34"/>
      <c r="V242" s="15">
        <v>6700</v>
      </c>
      <c r="W242" s="16">
        <f t="shared" si="23"/>
        <v>4308100</v>
      </c>
      <c r="Z242" s="18">
        <f t="shared" si="19"/>
        <v>3284850</v>
      </c>
    </row>
    <row r="243" spans="1:31" s="21" customFormat="1" ht="16" customHeight="1" x14ac:dyDescent="0.45">
      <c r="A243" s="22">
        <v>2503</v>
      </c>
      <c r="B243" s="2">
        <v>45747</v>
      </c>
      <c r="C243" s="3"/>
      <c r="D243" s="4" t="s">
        <v>159</v>
      </c>
      <c r="E243" s="5"/>
      <c r="F243" s="5"/>
      <c r="G243" s="5" t="s">
        <v>28</v>
      </c>
      <c r="H243" s="19" t="s">
        <v>202</v>
      </c>
      <c r="I243" s="19"/>
      <c r="J243" s="19"/>
      <c r="K243" s="20"/>
      <c r="L243" s="6"/>
      <c r="M243" s="7"/>
      <c r="N243" s="8"/>
      <c r="O243" s="9"/>
      <c r="P243" s="10"/>
      <c r="Q243" s="11"/>
      <c r="R243" s="12"/>
      <c r="S243" s="12">
        <v>1896830</v>
      </c>
      <c r="T243" s="13"/>
      <c r="U243" s="14"/>
      <c r="V243" s="15"/>
      <c r="W243" s="16"/>
      <c r="X243" s="12"/>
      <c r="Y243" s="17"/>
      <c r="Z243" s="18">
        <f t="shared" si="19"/>
        <v>-1896830</v>
      </c>
      <c r="AA243" s="17"/>
      <c r="AB243" s="17"/>
      <c r="AC243" s="17"/>
      <c r="AD243" s="17"/>
      <c r="AE243" s="17"/>
    </row>
    <row r="244" spans="1:31" ht="16" customHeight="1" x14ac:dyDescent="0.45">
      <c r="A244" s="22">
        <v>2503</v>
      </c>
      <c r="B244" s="2">
        <v>45720</v>
      </c>
      <c r="D244" s="4" t="s">
        <v>3</v>
      </c>
      <c r="E244" s="5" t="s">
        <v>211</v>
      </c>
      <c r="G244" s="5" t="s">
        <v>1</v>
      </c>
      <c r="H244" s="19" t="s">
        <v>2</v>
      </c>
      <c r="I244" s="19" t="s">
        <v>36</v>
      </c>
      <c r="K244" s="20" t="s">
        <v>57</v>
      </c>
      <c r="L244" s="6">
        <v>7</v>
      </c>
      <c r="M244" s="7">
        <v>94</v>
      </c>
      <c r="N244" s="8">
        <v>1412</v>
      </c>
      <c r="R244" s="12">
        <v>500</v>
      </c>
      <c r="S244" s="12">
        <f>N244*R244</f>
        <v>706000</v>
      </c>
      <c r="Z244" s="18">
        <f t="shared" si="19"/>
        <v>-706000</v>
      </c>
    </row>
    <row r="245" spans="1:31" ht="16" customHeight="1" x14ac:dyDescent="0.45">
      <c r="A245" s="22">
        <v>2503</v>
      </c>
      <c r="B245" s="2">
        <v>45720</v>
      </c>
      <c r="D245" s="4" t="s">
        <v>3</v>
      </c>
      <c r="E245" s="5" t="s">
        <v>211</v>
      </c>
      <c r="G245" s="5" t="s">
        <v>1</v>
      </c>
      <c r="H245" s="19" t="s">
        <v>2</v>
      </c>
      <c r="I245" s="19" t="s">
        <v>147</v>
      </c>
      <c r="L245" s="6">
        <v>7</v>
      </c>
      <c r="M245" s="7">
        <v>95</v>
      </c>
      <c r="N245" s="8">
        <v>1446</v>
      </c>
      <c r="R245" s="12">
        <v>500</v>
      </c>
      <c r="S245" s="12">
        <f>N245*R245</f>
        <v>723000</v>
      </c>
      <c r="Z245" s="18">
        <f t="shared" si="19"/>
        <v>-723000</v>
      </c>
    </row>
    <row r="246" spans="1:31" ht="16" customHeight="1" x14ac:dyDescent="0.45">
      <c r="A246" s="22">
        <v>2503</v>
      </c>
      <c r="B246" s="2">
        <v>45723</v>
      </c>
      <c r="D246" s="4" t="s">
        <v>3</v>
      </c>
      <c r="E246" s="5" t="s">
        <v>10</v>
      </c>
      <c r="G246" s="5" t="s">
        <v>19</v>
      </c>
      <c r="H246" s="19" t="s">
        <v>227</v>
      </c>
      <c r="I246" s="19" t="s">
        <v>36</v>
      </c>
      <c r="L246" s="6">
        <v>8</v>
      </c>
      <c r="M246" s="7">
        <v>102</v>
      </c>
      <c r="N246" s="8">
        <v>599</v>
      </c>
      <c r="R246" s="12">
        <v>4700</v>
      </c>
      <c r="S246" s="12">
        <f>M246*R246</f>
        <v>479400</v>
      </c>
      <c r="Z246" s="18">
        <f t="shared" si="19"/>
        <v>-479400</v>
      </c>
    </row>
    <row r="247" spans="1:31" ht="16" customHeight="1" x14ac:dyDescent="0.45">
      <c r="A247" s="22">
        <v>2503</v>
      </c>
      <c r="B247" s="2">
        <v>45723</v>
      </c>
      <c r="D247" s="4" t="s">
        <v>3</v>
      </c>
      <c r="E247" s="5" t="s">
        <v>10</v>
      </c>
      <c r="G247" s="5" t="s">
        <v>19</v>
      </c>
      <c r="H247" s="19" t="s">
        <v>227</v>
      </c>
      <c r="I247" s="19" t="s">
        <v>36</v>
      </c>
      <c r="L247" s="6">
        <v>8</v>
      </c>
      <c r="M247" s="7">
        <v>102.9</v>
      </c>
      <c r="N247" s="8">
        <v>604</v>
      </c>
      <c r="R247" s="12">
        <v>4700</v>
      </c>
      <c r="S247" s="12">
        <f>M247*R247</f>
        <v>483630</v>
      </c>
      <c r="Z247" s="18">
        <f t="shared" si="19"/>
        <v>-483630</v>
      </c>
    </row>
    <row r="248" spans="1:31" ht="16" customHeight="1" x14ac:dyDescent="0.45">
      <c r="A248" s="22">
        <v>2503</v>
      </c>
      <c r="B248" s="2">
        <v>45729</v>
      </c>
      <c r="D248" s="4" t="s">
        <v>3</v>
      </c>
      <c r="E248" s="5" t="s">
        <v>211</v>
      </c>
      <c r="G248" s="5" t="s">
        <v>1</v>
      </c>
      <c r="H248" s="19" t="s">
        <v>2</v>
      </c>
      <c r="I248" s="19" t="s">
        <v>147</v>
      </c>
      <c r="K248" s="20" t="s">
        <v>213</v>
      </c>
      <c r="L248" s="6">
        <v>8</v>
      </c>
      <c r="M248" s="7">
        <v>96.8</v>
      </c>
      <c r="N248" s="8">
        <v>1499</v>
      </c>
      <c r="R248" s="12">
        <v>500</v>
      </c>
      <c r="S248" s="12">
        <f t="shared" ref="S248:S254" si="24">N248*R248</f>
        <v>749500</v>
      </c>
      <c r="Z248" s="18">
        <f t="shared" si="19"/>
        <v>-749500</v>
      </c>
    </row>
    <row r="249" spans="1:31" ht="16" customHeight="1" x14ac:dyDescent="0.45">
      <c r="A249" s="22">
        <v>2503</v>
      </c>
      <c r="B249" s="2">
        <v>45740</v>
      </c>
      <c r="D249" s="4" t="s">
        <v>3</v>
      </c>
      <c r="E249" s="5" t="s">
        <v>52</v>
      </c>
      <c r="G249" s="5" t="s">
        <v>1</v>
      </c>
      <c r="H249" s="19" t="s">
        <v>2</v>
      </c>
      <c r="I249" s="19" t="s">
        <v>53</v>
      </c>
      <c r="K249" s="20">
        <v>25</v>
      </c>
      <c r="L249" s="6">
        <v>7</v>
      </c>
      <c r="M249" s="7">
        <v>93.4</v>
      </c>
      <c r="N249" s="8">
        <v>1395</v>
      </c>
      <c r="R249" s="12">
        <v>550</v>
      </c>
      <c r="S249" s="12">
        <f t="shared" si="24"/>
        <v>767250</v>
      </c>
      <c r="Z249" s="18">
        <f t="shared" si="19"/>
        <v>-767250</v>
      </c>
    </row>
    <row r="250" spans="1:31" ht="16" customHeight="1" x14ac:dyDescent="0.45">
      <c r="A250" s="22">
        <v>2503</v>
      </c>
      <c r="B250" s="2">
        <v>45741</v>
      </c>
      <c r="D250" s="4" t="s">
        <v>3</v>
      </c>
      <c r="E250" s="5" t="s">
        <v>52</v>
      </c>
      <c r="G250" s="5" t="s">
        <v>1</v>
      </c>
      <c r="H250" s="19" t="s">
        <v>2</v>
      </c>
      <c r="I250" s="19" t="s">
        <v>147</v>
      </c>
      <c r="L250" s="6">
        <v>5</v>
      </c>
      <c r="M250" s="7">
        <v>64.3</v>
      </c>
      <c r="N250" s="8">
        <v>990</v>
      </c>
      <c r="R250" s="12">
        <v>500</v>
      </c>
      <c r="S250" s="12">
        <f t="shared" si="24"/>
        <v>495000</v>
      </c>
      <c r="Z250" s="18">
        <f t="shared" si="19"/>
        <v>-495000</v>
      </c>
    </row>
    <row r="251" spans="1:31" ht="16" customHeight="1" x14ac:dyDescent="0.45">
      <c r="A251" s="22">
        <v>2503</v>
      </c>
      <c r="B251" s="2">
        <v>45743</v>
      </c>
      <c r="D251" s="4" t="s">
        <v>3</v>
      </c>
      <c r="E251" s="5" t="s">
        <v>211</v>
      </c>
      <c r="G251" s="5" t="s">
        <v>1</v>
      </c>
      <c r="H251" s="19" t="s">
        <v>2</v>
      </c>
      <c r="I251" s="19" t="s">
        <v>53</v>
      </c>
      <c r="K251" s="20" t="s">
        <v>361</v>
      </c>
      <c r="L251" s="6">
        <v>11</v>
      </c>
      <c r="M251" s="7">
        <v>91</v>
      </c>
      <c r="N251" s="8">
        <v>1376</v>
      </c>
      <c r="R251" s="12">
        <v>550</v>
      </c>
      <c r="S251" s="12">
        <f t="shared" si="24"/>
        <v>756800</v>
      </c>
      <c r="Z251" s="18">
        <f t="shared" si="19"/>
        <v>-756800</v>
      </c>
    </row>
    <row r="252" spans="1:31" ht="16" customHeight="1" x14ac:dyDescent="0.45">
      <c r="A252" s="22">
        <v>2503</v>
      </c>
      <c r="B252" s="2">
        <v>45743</v>
      </c>
      <c r="D252" s="4" t="s">
        <v>3</v>
      </c>
      <c r="E252" s="5" t="s">
        <v>211</v>
      </c>
      <c r="G252" s="5" t="s">
        <v>1</v>
      </c>
      <c r="H252" s="19" t="s">
        <v>2</v>
      </c>
      <c r="I252" s="19" t="s">
        <v>53</v>
      </c>
      <c r="K252" s="20" t="s">
        <v>362</v>
      </c>
      <c r="L252" s="6">
        <v>7</v>
      </c>
      <c r="M252" s="7">
        <v>94.5</v>
      </c>
      <c r="N252" s="8">
        <v>1391</v>
      </c>
      <c r="R252" s="12">
        <v>550</v>
      </c>
      <c r="S252" s="12">
        <f t="shared" si="24"/>
        <v>765050</v>
      </c>
      <c r="Z252" s="18">
        <f t="shared" si="19"/>
        <v>-765050</v>
      </c>
    </row>
    <row r="253" spans="1:31" ht="16" customHeight="1" x14ac:dyDescent="0.45">
      <c r="A253" s="22">
        <v>2503</v>
      </c>
      <c r="B253" s="2">
        <v>45743</v>
      </c>
      <c r="D253" s="4" t="s">
        <v>3</v>
      </c>
      <c r="E253" s="5" t="s">
        <v>211</v>
      </c>
      <c r="G253" s="5" t="s">
        <v>1</v>
      </c>
      <c r="H253" s="19" t="s">
        <v>2</v>
      </c>
      <c r="I253" s="19" t="s">
        <v>54</v>
      </c>
      <c r="K253" s="20" t="s">
        <v>363</v>
      </c>
      <c r="L253" s="6">
        <v>13</v>
      </c>
      <c r="M253" s="7">
        <v>184.9</v>
      </c>
      <c r="N253" s="8">
        <v>2815</v>
      </c>
      <c r="R253" s="12">
        <v>500</v>
      </c>
      <c r="S253" s="12">
        <f t="shared" si="24"/>
        <v>1407500</v>
      </c>
      <c r="Z253" s="18">
        <f t="shared" si="19"/>
        <v>-1407500</v>
      </c>
    </row>
    <row r="254" spans="1:31" ht="16" customHeight="1" x14ac:dyDescent="0.45">
      <c r="A254" s="22">
        <v>2503</v>
      </c>
      <c r="B254" s="2">
        <v>45743</v>
      </c>
      <c r="D254" s="4" t="s">
        <v>3</v>
      </c>
      <c r="E254" s="5" t="s">
        <v>211</v>
      </c>
      <c r="G254" s="5" t="s">
        <v>1</v>
      </c>
      <c r="H254" s="19" t="s">
        <v>2</v>
      </c>
      <c r="I254" s="19" t="s">
        <v>147</v>
      </c>
      <c r="K254" s="20" t="s">
        <v>364</v>
      </c>
      <c r="L254" s="6">
        <v>6</v>
      </c>
      <c r="M254" s="7">
        <v>95.7</v>
      </c>
      <c r="N254" s="8">
        <v>1434</v>
      </c>
      <c r="R254" s="12">
        <v>500</v>
      </c>
      <c r="S254" s="12">
        <f t="shared" si="24"/>
        <v>717000</v>
      </c>
      <c r="Z254" s="18">
        <f t="shared" si="19"/>
        <v>-717000</v>
      </c>
    </row>
    <row r="255" spans="1:31" s="21" customFormat="1" ht="16" customHeight="1" x14ac:dyDescent="0.45">
      <c r="A255" s="22">
        <v>2503</v>
      </c>
      <c r="B255" s="2">
        <v>45744</v>
      </c>
      <c r="C255" s="3"/>
      <c r="D255" s="4" t="s">
        <v>52</v>
      </c>
      <c r="E255" s="5" t="s">
        <v>211</v>
      </c>
      <c r="F255" s="5"/>
      <c r="G255" s="5" t="s">
        <v>1</v>
      </c>
      <c r="H255" s="19" t="s">
        <v>11</v>
      </c>
      <c r="I255" s="19" t="s">
        <v>147</v>
      </c>
      <c r="J255" s="19"/>
      <c r="K255" s="20"/>
      <c r="L255" s="6">
        <v>5</v>
      </c>
      <c r="M255" s="7">
        <v>48.7</v>
      </c>
      <c r="N255" s="8"/>
      <c r="O255" s="9">
        <v>751</v>
      </c>
      <c r="P255" s="10"/>
      <c r="Q255" s="11"/>
      <c r="R255" s="12">
        <v>140</v>
      </c>
      <c r="S255" s="12">
        <f>O255*R255</f>
        <v>105140</v>
      </c>
      <c r="T255" s="13"/>
      <c r="U255" s="14"/>
      <c r="V255" s="15"/>
      <c r="W255" s="16"/>
      <c r="X255" s="12"/>
      <c r="Y255" s="17"/>
      <c r="Z255" s="18">
        <f t="shared" si="19"/>
        <v>-105140</v>
      </c>
      <c r="AA255" s="17"/>
      <c r="AB255" s="17"/>
      <c r="AC255" s="17"/>
      <c r="AD255" s="17"/>
      <c r="AE255" s="17"/>
    </row>
    <row r="256" spans="1:31" s="21" customFormat="1" ht="16" customHeight="1" x14ac:dyDescent="0.45">
      <c r="A256" s="22">
        <v>2503</v>
      </c>
      <c r="B256" s="2">
        <v>45744</v>
      </c>
      <c r="C256" s="3"/>
      <c r="D256" s="4" t="s">
        <v>52</v>
      </c>
      <c r="E256" s="5" t="s">
        <v>211</v>
      </c>
      <c r="F256" s="5"/>
      <c r="G256" s="5" t="s">
        <v>1</v>
      </c>
      <c r="H256" s="19" t="s">
        <v>2</v>
      </c>
      <c r="I256" s="19" t="s">
        <v>53</v>
      </c>
      <c r="J256" s="19"/>
      <c r="K256" s="20">
        <v>25</v>
      </c>
      <c r="L256" s="6">
        <v>8</v>
      </c>
      <c r="M256" s="7">
        <v>92.9</v>
      </c>
      <c r="N256" s="8"/>
      <c r="O256" s="9">
        <v>1289</v>
      </c>
      <c r="P256" s="10"/>
      <c r="Q256" s="11"/>
      <c r="R256" s="12">
        <v>140</v>
      </c>
      <c r="S256" s="12">
        <f>O256*R256</f>
        <v>180460</v>
      </c>
      <c r="T256" s="13"/>
      <c r="U256" s="14"/>
      <c r="V256" s="15"/>
      <c r="W256" s="16"/>
      <c r="X256" s="12"/>
      <c r="Y256" s="17"/>
      <c r="Z256" s="18">
        <f t="shared" si="19"/>
        <v>-180460</v>
      </c>
      <c r="AA256" s="17"/>
      <c r="AB256" s="17"/>
      <c r="AC256" s="17"/>
      <c r="AD256" s="17"/>
      <c r="AE256" s="17"/>
    </row>
    <row r="257" spans="1:31" ht="16" customHeight="1" x14ac:dyDescent="0.45">
      <c r="A257" s="1">
        <v>2503</v>
      </c>
      <c r="B257" s="2">
        <v>45735</v>
      </c>
      <c r="D257" s="4" t="s">
        <v>31</v>
      </c>
      <c r="E257" s="5" t="s">
        <v>302</v>
      </c>
      <c r="G257" s="5" t="s">
        <v>31</v>
      </c>
      <c r="H257" s="19" t="s">
        <v>365</v>
      </c>
      <c r="M257" s="7">
        <v>30</v>
      </c>
      <c r="P257" s="141"/>
      <c r="Q257" s="95"/>
      <c r="R257" s="12">
        <v>0</v>
      </c>
      <c r="S257" s="12">
        <v>0</v>
      </c>
      <c r="Z257" s="18">
        <f t="shared" si="19"/>
        <v>0</v>
      </c>
    </row>
    <row r="258" spans="1:31" s="21" customFormat="1" ht="16" customHeight="1" x14ac:dyDescent="0.45">
      <c r="A258" s="22">
        <v>2503</v>
      </c>
      <c r="B258" s="2">
        <v>45723</v>
      </c>
      <c r="C258" s="3"/>
      <c r="D258" s="4" t="s">
        <v>123</v>
      </c>
      <c r="E258" s="5" t="s">
        <v>37</v>
      </c>
      <c r="F258" s="5"/>
      <c r="G258" s="5" t="s">
        <v>5</v>
      </c>
      <c r="H258" s="19" t="s">
        <v>141</v>
      </c>
      <c r="I258" s="19"/>
      <c r="J258" s="19"/>
      <c r="K258" s="20"/>
      <c r="L258" s="6">
        <v>9</v>
      </c>
      <c r="M258" s="7">
        <v>184.5</v>
      </c>
      <c r="N258" s="8"/>
      <c r="O258" s="9"/>
      <c r="P258" s="10"/>
      <c r="Q258" s="11"/>
      <c r="R258" s="12">
        <v>3700</v>
      </c>
      <c r="S258" s="12">
        <f>M258*R258</f>
        <v>682650</v>
      </c>
      <c r="T258" s="13"/>
      <c r="U258" s="14"/>
      <c r="V258" s="15"/>
      <c r="W258" s="16"/>
      <c r="X258" s="12"/>
      <c r="Y258" s="17"/>
      <c r="Z258" s="18">
        <f t="shared" ref="Z258:Z321" si="25">W258-S258-Q258</f>
        <v>-682650</v>
      </c>
      <c r="AA258" s="17"/>
      <c r="AB258" s="17"/>
      <c r="AC258" s="17"/>
      <c r="AD258" s="17"/>
      <c r="AE258" s="17"/>
    </row>
    <row r="259" spans="1:31" s="21" customFormat="1" ht="16" customHeight="1" x14ac:dyDescent="0.45">
      <c r="A259" s="22">
        <v>2503</v>
      </c>
      <c r="B259" s="23">
        <v>45735</v>
      </c>
      <c r="C259" s="24"/>
      <c r="D259" s="25"/>
      <c r="E259" s="26" t="s">
        <v>17</v>
      </c>
      <c r="F259" s="26"/>
      <c r="G259" s="26" t="s">
        <v>17</v>
      </c>
      <c r="H259" s="27" t="s">
        <v>366</v>
      </c>
      <c r="I259" s="27" t="s">
        <v>36</v>
      </c>
      <c r="J259" s="27" t="s">
        <v>91</v>
      </c>
      <c r="K259" s="28"/>
      <c r="L259" s="29"/>
      <c r="M259" s="30"/>
      <c r="N259" s="31"/>
      <c r="O259" s="32"/>
      <c r="P259" s="91"/>
      <c r="Q259" s="92"/>
      <c r="R259" s="93"/>
      <c r="S259" s="93"/>
      <c r="T259" s="33"/>
      <c r="U259" s="34"/>
      <c r="V259" s="35"/>
      <c r="W259" s="36"/>
      <c r="X259" s="93"/>
      <c r="Z259" s="18">
        <f t="shared" si="25"/>
        <v>0</v>
      </c>
      <c r="AA259" s="17"/>
      <c r="AB259" s="17"/>
      <c r="AC259" s="17"/>
      <c r="AD259" s="17"/>
      <c r="AE259" s="17"/>
    </row>
    <row r="260" spans="1:31" ht="16" customHeight="1" x14ac:dyDescent="0.45">
      <c r="A260" s="1">
        <v>2503</v>
      </c>
      <c r="B260" s="2">
        <v>45747</v>
      </c>
      <c r="C260" s="24"/>
      <c r="E260" s="5" t="s">
        <v>31</v>
      </c>
      <c r="G260" s="5" t="s">
        <v>31</v>
      </c>
      <c r="J260" s="19" t="s">
        <v>188</v>
      </c>
      <c r="P260" s="141"/>
      <c r="Q260" s="95"/>
      <c r="T260" s="33"/>
      <c r="U260" s="34"/>
      <c r="Z260" s="18">
        <f t="shared" si="25"/>
        <v>0</v>
      </c>
    </row>
    <row r="261" spans="1:31" ht="16" customHeight="1" x14ac:dyDescent="0.45">
      <c r="A261" s="1">
        <v>2504</v>
      </c>
      <c r="B261" s="2">
        <v>45765</v>
      </c>
      <c r="D261" s="4" t="s">
        <v>367</v>
      </c>
      <c r="E261" s="5" t="s">
        <v>339</v>
      </c>
      <c r="G261" s="5" t="s">
        <v>28</v>
      </c>
      <c r="H261" s="19" t="s">
        <v>101</v>
      </c>
      <c r="K261" s="73"/>
      <c r="M261" s="7">
        <v>19892.900000000001</v>
      </c>
      <c r="P261" s="10">
        <v>3037</v>
      </c>
      <c r="Q261" s="11">
        <f>M261*P261</f>
        <v>60414737.300000004</v>
      </c>
      <c r="Z261" s="18">
        <f t="shared" si="25"/>
        <v>-60414737.300000004</v>
      </c>
    </row>
    <row r="262" spans="1:31" ht="16" customHeight="1" x14ac:dyDescent="0.45">
      <c r="A262" s="1">
        <v>2504</v>
      </c>
      <c r="B262" s="2">
        <v>45749</v>
      </c>
      <c r="D262" s="4" t="s">
        <v>0</v>
      </c>
      <c r="E262" s="5" t="s">
        <v>3</v>
      </c>
      <c r="G262" s="5" t="s">
        <v>1</v>
      </c>
      <c r="H262" s="19" t="s">
        <v>2</v>
      </c>
      <c r="L262" s="6">
        <v>6</v>
      </c>
      <c r="M262" s="7">
        <v>108</v>
      </c>
      <c r="R262" s="12">
        <v>3800</v>
      </c>
      <c r="S262" s="12">
        <f>M262*R262</f>
        <v>410400</v>
      </c>
      <c r="Z262" s="18">
        <f t="shared" si="25"/>
        <v>-410400</v>
      </c>
    </row>
    <row r="263" spans="1:31" s="21" customFormat="1" ht="16" customHeight="1" x14ac:dyDescent="0.45">
      <c r="A263" s="1">
        <v>2504</v>
      </c>
      <c r="B263" s="2">
        <v>45755</v>
      </c>
      <c r="C263" s="3"/>
      <c r="D263" s="4" t="s">
        <v>0</v>
      </c>
      <c r="E263" s="5" t="s">
        <v>3</v>
      </c>
      <c r="F263" s="5"/>
      <c r="G263" s="5" t="s">
        <v>1</v>
      </c>
      <c r="H263" s="19" t="s">
        <v>2</v>
      </c>
      <c r="I263" s="19"/>
      <c r="J263" s="19"/>
      <c r="K263" s="20"/>
      <c r="L263" s="6">
        <v>6</v>
      </c>
      <c r="M263" s="7">
        <v>108</v>
      </c>
      <c r="N263" s="8"/>
      <c r="O263" s="9"/>
      <c r="P263" s="10"/>
      <c r="Q263" s="11"/>
      <c r="R263" s="12">
        <v>3800</v>
      </c>
      <c r="S263" s="12">
        <f>M263*R263</f>
        <v>410400</v>
      </c>
      <c r="T263" s="13"/>
      <c r="U263" s="14"/>
      <c r="V263" s="15"/>
      <c r="W263" s="16"/>
      <c r="X263" s="12"/>
      <c r="Y263" s="17"/>
      <c r="Z263" s="18">
        <f t="shared" si="25"/>
        <v>-410400</v>
      </c>
      <c r="AA263" s="17"/>
      <c r="AB263" s="17"/>
      <c r="AC263" s="17"/>
      <c r="AD263" s="17"/>
      <c r="AE263" s="17"/>
    </row>
    <row r="264" spans="1:31" s="21" customFormat="1" ht="16" customHeight="1" x14ac:dyDescent="0.45">
      <c r="A264" s="1">
        <v>2504</v>
      </c>
      <c r="B264" s="2">
        <v>45756</v>
      </c>
      <c r="C264" s="3"/>
      <c r="D264" s="4" t="s">
        <v>0</v>
      </c>
      <c r="E264" s="5" t="s">
        <v>3</v>
      </c>
      <c r="F264" s="5"/>
      <c r="G264" s="5" t="s">
        <v>1</v>
      </c>
      <c r="H264" s="19" t="s">
        <v>2</v>
      </c>
      <c r="I264" s="19"/>
      <c r="J264" s="19"/>
      <c r="K264" s="20"/>
      <c r="L264" s="6">
        <v>6</v>
      </c>
      <c r="M264" s="7">
        <v>109</v>
      </c>
      <c r="N264" s="8"/>
      <c r="O264" s="9"/>
      <c r="P264" s="10"/>
      <c r="Q264" s="11"/>
      <c r="R264" s="12">
        <v>3800</v>
      </c>
      <c r="S264" s="12">
        <f>M264*R264</f>
        <v>414200</v>
      </c>
      <c r="T264" s="13"/>
      <c r="U264" s="14"/>
      <c r="V264" s="15"/>
      <c r="W264" s="16"/>
      <c r="X264" s="12"/>
      <c r="Y264" s="17"/>
      <c r="Z264" s="18">
        <f t="shared" si="25"/>
        <v>-414200</v>
      </c>
      <c r="AA264" s="17"/>
      <c r="AB264" s="17"/>
      <c r="AC264" s="17"/>
      <c r="AD264" s="17"/>
      <c r="AE264" s="17"/>
    </row>
    <row r="265" spans="1:31" ht="16" customHeight="1" x14ac:dyDescent="0.45">
      <c r="A265" s="1">
        <v>2504</v>
      </c>
      <c r="B265" s="2">
        <v>45772</v>
      </c>
      <c r="D265" s="4" t="s">
        <v>0</v>
      </c>
      <c r="E265" s="5" t="s">
        <v>3</v>
      </c>
      <c r="G265" s="5" t="s">
        <v>1</v>
      </c>
      <c r="H265" s="19" t="s">
        <v>2</v>
      </c>
      <c r="K265" s="73"/>
      <c r="L265" s="6">
        <v>5</v>
      </c>
      <c r="M265" s="7">
        <v>105.5</v>
      </c>
      <c r="R265" s="12">
        <v>3800</v>
      </c>
      <c r="S265" s="12">
        <f>M265*R265</f>
        <v>400900</v>
      </c>
      <c r="Z265" s="18">
        <f t="shared" si="25"/>
        <v>-400900</v>
      </c>
    </row>
    <row r="266" spans="1:31" ht="16" customHeight="1" x14ac:dyDescent="0.45">
      <c r="A266" s="1">
        <v>2504</v>
      </c>
      <c r="B266" s="2">
        <v>45755</v>
      </c>
      <c r="D266" s="4" t="s">
        <v>198</v>
      </c>
      <c r="E266" s="5" t="s">
        <v>27</v>
      </c>
      <c r="G266" s="5" t="s">
        <v>28</v>
      </c>
      <c r="H266" s="19" t="s">
        <v>294</v>
      </c>
      <c r="I266" s="19">
        <v>3206</v>
      </c>
      <c r="L266" s="6">
        <v>3</v>
      </c>
      <c r="M266" s="7">
        <v>630.79999999999995</v>
      </c>
      <c r="R266" s="12">
        <v>1200</v>
      </c>
      <c r="S266" s="12">
        <f>M266*R266</f>
        <v>756960</v>
      </c>
      <c r="Z266" s="18">
        <f t="shared" si="25"/>
        <v>-756960</v>
      </c>
    </row>
    <row r="267" spans="1:31" ht="16" customHeight="1" x14ac:dyDescent="0.45">
      <c r="A267" s="1">
        <v>2504</v>
      </c>
      <c r="B267" s="2">
        <v>45762</v>
      </c>
      <c r="D267" s="144" t="s">
        <v>368</v>
      </c>
      <c r="G267" s="5" t="s">
        <v>369</v>
      </c>
      <c r="H267" s="19" t="s">
        <v>370</v>
      </c>
      <c r="I267" s="19" t="s">
        <v>184</v>
      </c>
      <c r="N267" s="8">
        <v>89</v>
      </c>
      <c r="R267" s="12">
        <v>750</v>
      </c>
      <c r="S267" s="12">
        <f>N267*R267</f>
        <v>66750</v>
      </c>
      <c r="Z267" s="18">
        <f t="shared" si="25"/>
        <v>-66750</v>
      </c>
    </row>
    <row r="268" spans="1:31" ht="16" customHeight="1" x14ac:dyDescent="0.45">
      <c r="A268" s="1">
        <v>2504</v>
      </c>
      <c r="B268" s="23">
        <v>45765</v>
      </c>
      <c r="C268" s="24"/>
      <c r="D268" s="25" t="s">
        <v>4</v>
      </c>
      <c r="E268" s="26" t="s">
        <v>5</v>
      </c>
      <c r="F268" s="26"/>
      <c r="G268" s="26" t="s">
        <v>5</v>
      </c>
      <c r="H268" s="27" t="s">
        <v>6</v>
      </c>
      <c r="I268" s="27" t="s">
        <v>124</v>
      </c>
      <c r="J268" s="27"/>
      <c r="K268" s="38">
        <v>102</v>
      </c>
      <c r="L268" s="29">
        <v>5</v>
      </c>
      <c r="M268" s="30"/>
      <c r="N268" s="31"/>
      <c r="O268" s="32">
        <v>405</v>
      </c>
      <c r="P268" s="91"/>
      <c r="Q268" s="92"/>
      <c r="R268" s="93">
        <v>130</v>
      </c>
      <c r="S268" s="93">
        <f>O268*R268</f>
        <v>52650</v>
      </c>
      <c r="T268" s="33"/>
      <c r="U268" s="34"/>
      <c r="V268" s="35">
        <v>6200</v>
      </c>
      <c r="W268" s="36">
        <f>O268*V268</f>
        <v>2511000</v>
      </c>
      <c r="X268" s="93"/>
      <c r="Y268" s="21"/>
      <c r="Z268" s="18">
        <f t="shared" si="25"/>
        <v>2458350</v>
      </c>
    </row>
    <row r="269" spans="1:31" ht="16" customHeight="1" x14ac:dyDescent="0.45">
      <c r="A269" s="1">
        <v>2504</v>
      </c>
      <c r="B269" s="23">
        <v>45765</v>
      </c>
      <c r="C269" s="24"/>
      <c r="D269" s="25" t="s">
        <v>4</v>
      </c>
      <c r="E269" s="26" t="s">
        <v>5</v>
      </c>
      <c r="F269" s="26"/>
      <c r="G269" s="26" t="s">
        <v>5</v>
      </c>
      <c r="H269" s="27" t="s">
        <v>6</v>
      </c>
      <c r="I269" s="27" t="s">
        <v>8</v>
      </c>
      <c r="J269" s="27"/>
      <c r="K269" s="38">
        <v>128</v>
      </c>
      <c r="L269" s="29">
        <v>5</v>
      </c>
      <c r="M269" s="30"/>
      <c r="N269" s="31"/>
      <c r="O269" s="32">
        <v>418</v>
      </c>
      <c r="P269" s="91"/>
      <c r="Q269" s="92"/>
      <c r="R269" s="93">
        <v>130</v>
      </c>
      <c r="S269" s="93">
        <f>O269*R269</f>
        <v>54340</v>
      </c>
      <c r="T269" s="33"/>
      <c r="U269" s="34"/>
      <c r="V269" s="35">
        <v>6200</v>
      </c>
      <c r="W269" s="36">
        <f>O269*V269</f>
        <v>2591600</v>
      </c>
      <c r="X269" s="93"/>
      <c r="Y269" s="21"/>
      <c r="Z269" s="18">
        <f t="shared" si="25"/>
        <v>2537260</v>
      </c>
    </row>
    <row r="270" spans="1:31" ht="16" customHeight="1" x14ac:dyDescent="0.45">
      <c r="A270" s="1">
        <v>2504</v>
      </c>
      <c r="B270" s="23">
        <v>45755</v>
      </c>
      <c r="C270" s="24"/>
      <c r="D270" s="25" t="s">
        <v>10</v>
      </c>
      <c r="E270" s="26" t="s">
        <v>19</v>
      </c>
      <c r="F270" s="26"/>
      <c r="G270" s="26" t="s">
        <v>19</v>
      </c>
      <c r="H270" s="27" t="s">
        <v>176</v>
      </c>
      <c r="I270" s="27" t="s">
        <v>65</v>
      </c>
      <c r="J270" s="27"/>
      <c r="K270" s="28"/>
      <c r="L270" s="29">
        <v>8</v>
      </c>
      <c r="M270" s="30"/>
      <c r="N270" s="31"/>
      <c r="O270" s="32">
        <v>5715</v>
      </c>
      <c r="P270" s="91"/>
      <c r="Q270" s="92"/>
      <c r="R270" s="93">
        <v>1850</v>
      </c>
      <c r="S270" s="93">
        <f>O270*R270</f>
        <v>10572750</v>
      </c>
      <c r="T270" s="33"/>
      <c r="U270" s="34"/>
      <c r="V270" s="35">
        <v>3100</v>
      </c>
      <c r="W270" s="36">
        <f>O270*V270</f>
        <v>17716500</v>
      </c>
      <c r="X270" s="93"/>
      <c r="Y270" s="21"/>
      <c r="Z270" s="18">
        <f t="shared" si="25"/>
        <v>7143750</v>
      </c>
    </row>
    <row r="271" spans="1:31" s="21" customFormat="1" ht="16" customHeight="1" x14ac:dyDescent="0.45">
      <c r="A271" s="1">
        <v>2504</v>
      </c>
      <c r="B271" s="23">
        <v>45769</v>
      </c>
      <c r="C271" s="24"/>
      <c r="D271" s="25" t="s">
        <v>10</v>
      </c>
      <c r="E271" s="26" t="s">
        <v>19</v>
      </c>
      <c r="F271" s="26"/>
      <c r="G271" s="26" t="s">
        <v>19</v>
      </c>
      <c r="H271" s="27" t="s">
        <v>176</v>
      </c>
      <c r="I271" s="27" t="s">
        <v>65</v>
      </c>
      <c r="J271" s="27"/>
      <c r="K271" s="38"/>
      <c r="L271" s="29"/>
      <c r="M271" s="30"/>
      <c r="N271" s="31"/>
      <c r="O271" s="32">
        <v>975</v>
      </c>
      <c r="P271" s="91"/>
      <c r="Q271" s="92"/>
      <c r="R271" s="93">
        <v>1850</v>
      </c>
      <c r="S271" s="93">
        <f>O271*R271</f>
        <v>1803750</v>
      </c>
      <c r="T271" s="33"/>
      <c r="U271" s="34"/>
      <c r="V271" s="35">
        <v>3100</v>
      </c>
      <c r="W271" s="36">
        <f>O271*V271</f>
        <v>3022500</v>
      </c>
      <c r="X271" s="93"/>
      <c r="Z271" s="18">
        <f t="shared" si="25"/>
        <v>1218750</v>
      </c>
      <c r="AA271" s="17"/>
      <c r="AB271" s="17"/>
      <c r="AC271" s="17"/>
      <c r="AD271" s="17"/>
      <c r="AE271" s="17"/>
    </row>
    <row r="272" spans="1:31" ht="16" customHeight="1" x14ac:dyDescent="0.45">
      <c r="A272" s="1">
        <v>2504</v>
      </c>
      <c r="B272" s="23">
        <v>45771</v>
      </c>
      <c r="C272" s="24"/>
      <c r="D272" s="25" t="s">
        <v>10</v>
      </c>
      <c r="E272" s="26" t="s">
        <v>19</v>
      </c>
      <c r="F272" s="26"/>
      <c r="G272" s="26" t="s">
        <v>19</v>
      </c>
      <c r="H272" s="27" t="s">
        <v>176</v>
      </c>
      <c r="I272" s="27" t="s">
        <v>65</v>
      </c>
      <c r="J272" s="27"/>
      <c r="K272" s="38"/>
      <c r="L272" s="29">
        <v>1</v>
      </c>
      <c r="M272" s="30"/>
      <c r="N272" s="31"/>
      <c r="O272" s="32">
        <v>192</v>
      </c>
      <c r="P272" s="91"/>
      <c r="Q272" s="92"/>
      <c r="R272" s="93">
        <v>1850</v>
      </c>
      <c r="S272" s="93">
        <f>O272*R272</f>
        <v>355200</v>
      </c>
      <c r="T272" s="33"/>
      <c r="U272" s="34"/>
      <c r="V272" s="35">
        <v>3100</v>
      </c>
      <c r="W272" s="36">
        <f>O272*V272</f>
        <v>595200</v>
      </c>
      <c r="X272" s="93"/>
      <c r="Y272" s="21"/>
      <c r="Z272" s="18">
        <f t="shared" si="25"/>
        <v>240000</v>
      </c>
    </row>
    <row r="273" spans="1:31" s="39" customFormat="1" ht="16" customHeight="1" x14ac:dyDescent="0.45">
      <c r="A273" s="1">
        <v>2504</v>
      </c>
      <c r="B273" s="2">
        <v>45757</v>
      </c>
      <c r="C273" s="3"/>
      <c r="D273" s="4" t="s">
        <v>22</v>
      </c>
      <c r="E273" s="5" t="s">
        <v>4</v>
      </c>
      <c r="F273" s="5"/>
      <c r="G273" s="5" t="s">
        <v>5</v>
      </c>
      <c r="H273" s="19" t="s">
        <v>6</v>
      </c>
      <c r="I273" s="19" t="s">
        <v>124</v>
      </c>
      <c r="J273" s="19"/>
      <c r="K273" s="20"/>
      <c r="L273" s="6">
        <v>5</v>
      </c>
      <c r="M273" s="7"/>
      <c r="N273" s="8">
        <v>448</v>
      </c>
      <c r="O273" s="9">
        <v>410</v>
      </c>
      <c r="P273" s="10"/>
      <c r="Q273" s="11"/>
      <c r="R273" s="12">
        <v>4450</v>
      </c>
      <c r="S273" s="12">
        <f>N273*R273</f>
        <v>1993600</v>
      </c>
      <c r="T273" s="13"/>
      <c r="U273" s="14"/>
      <c r="V273" s="15"/>
      <c r="W273" s="16"/>
      <c r="X273" s="12"/>
      <c r="Y273" s="17"/>
      <c r="Z273" s="18">
        <f t="shared" si="25"/>
        <v>-1993600</v>
      </c>
      <c r="AA273" s="17"/>
      <c r="AB273" s="17"/>
      <c r="AC273" s="17"/>
      <c r="AD273" s="17"/>
      <c r="AE273" s="17"/>
    </row>
    <row r="274" spans="1:31" ht="16" customHeight="1" x14ac:dyDescent="0.45">
      <c r="A274" s="1">
        <v>2504</v>
      </c>
      <c r="B274" s="40">
        <v>45757</v>
      </c>
      <c r="C274" s="41"/>
      <c r="D274" s="37" t="s">
        <v>22</v>
      </c>
      <c r="E274" s="42" t="s">
        <v>4</v>
      </c>
      <c r="F274" s="42"/>
      <c r="G274" s="42" t="s">
        <v>5</v>
      </c>
      <c r="H274" s="43" t="s">
        <v>6</v>
      </c>
      <c r="I274" s="43" t="s">
        <v>8</v>
      </c>
      <c r="J274" s="43"/>
      <c r="K274" s="44"/>
      <c r="L274" s="45">
        <v>5</v>
      </c>
      <c r="M274" s="46"/>
      <c r="N274" s="47">
        <v>463</v>
      </c>
      <c r="O274" s="48">
        <v>424</v>
      </c>
      <c r="P274" s="106"/>
      <c r="Q274" s="107"/>
      <c r="R274" s="90">
        <v>4450</v>
      </c>
      <c r="S274" s="90">
        <f>N274*R274</f>
        <v>2060350</v>
      </c>
      <c r="T274" s="49"/>
      <c r="U274" s="50"/>
      <c r="V274" s="51"/>
      <c r="W274" s="52"/>
      <c r="X274" s="90"/>
      <c r="Y274" s="39"/>
      <c r="Z274" s="18">
        <f t="shared" si="25"/>
        <v>-2060350</v>
      </c>
    </row>
    <row r="275" spans="1:31" ht="16" customHeight="1" x14ac:dyDescent="0.45">
      <c r="A275" s="1">
        <v>2504</v>
      </c>
      <c r="B275" s="23">
        <v>45757</v>
      </c>
      <c r="C275" s="24"/>
      <c r="D275" s="25" t="s">
        <v>22</v>
      </c>
      <c r="E275" s="26" t="s">
        <v>5</v>
      </c>
      <c r="F275" s="26"/>
      <c r="G275" s="26" t="s">
        <v>5</v>
      </c>
      <c r="H275" s="27" t="s">
        <v>6</v>
      </c>
      <c r="I275" s="27" t="s">
        <v>124</v>
      </c>
      <c r="J275" s="27" t="s">
        <v>115</v>
      </c>
      <c r="K275" s="28"/>
      <c r="L275" s="29"/>
      <c r="M275" s="30"/>
      <c r="N275" s="31"/>
      <c r="O275" s="32"/>
      <c r="P275" s="91"/>
      <c r="Q275" s="92"/>
      <c r="R275" s="93"/>
      <c r="S275" s="93">
        <v>500000</v>
      </c>
      <c r="T275" s="33"/>
      <c r="U275" s="34"/>
      <c r="V275" s="35"/>
      <c r="W275" s="36">
        <v>250000</v>
      </c>
      <c r="X275" s="93"/>
      <c r="Y275" s="21"/>
      <c r="Z275" s="18">
        <f t="shared" si="25"/>
        <v>-250000</v>
      </c>
    </row>
    <row r="276" spans="1:31" s="21" customFormat="1" ht="16" customHeight="1" x14ac:dyDescent="0.45">
      <c r="A276" s="1">
        <v>2504</v>
      </c>
      <c r="B276" s="23">
        <v>45757</v>
      </c>
      <c r="C276" s="24"/>
      <c r="D276" s="25" t="s">
        <v>22</v>
      </c>
      <c r="E276" s="26" t="s">
        <v>5</v>
      </c>
      <c r="F276" s="26"/>
      <c r="G276" s="26" t="s">
        <v>5</v>
      </c>
      <c r="H276" s="27" t="s">
        <v>6</v>
      </c>
      <c r="I276" s="27" t="s">
        <v>8</v>
      </c>
      <c r="J276" s="27" t="s">
        <v>115</v>
      </c>
      <c r="K276" s="28"/>
      <c r="L276" s="29"/>
      <c r="M276" s="30"/>
      <c r="N276" s="31"/>
      <c r="O276" s="32"/>
      <c r="P276" s="91"/>
      <c r="Q276" s="92"/>
      <c r="R276" s="93"/>
      <c r="S276" s="93">
        <v>500000</v>
      </c>
      <c r="T276" s="33"/>
      <c r="U276" s="34"/>
      <c r="V276" s="35"/>
      <c r="W276" s="36">
        <v>250000</v>
      </c>
      <c r="X276" s="93"/>
      <c r="Z276" s="18">
        <f t="shared" si="25"/>
        <v>-250000</v>
      </c>
      <c r="AA276" s="17"/>
      <c r="AB276" s="17"/>
      <c r="AC276" s="17"/>
      <c r="AD276" s="17"/>
      <c r="AE276" s="17"/>
    </row>
    <row r="277" spans="1:31" s="21" customFormat="1" ht="16" customHeight="1" x14ac:dyDescent="0.45">
      <c r="A277" s="1">
        <v>2504</v>
      </c>
      <c r="B277" s="23">
        <v>45763</v>
      </c>
      <c r="C277" s="24"/>
      <c r="D277" s="25" t="s">
        <v>66</v>
      </c>
      <c r="E277" s="26" t="s">
        <v>230</v>
      </c>
      <c r="F277" s="26" t="s">
        <v>371</v>
      </c>
      <c r="G277" s="26" t="s">
        <v>230</v>
      </c>
      <c r="H277" s="27" t="s">
        <v>231</v>
      </c>
      <c r="I277" s="27">
        <v>30607</v>
      </c>
      <c r="J277" s="27"/>
      <c r="K277" s="28"/>
      <c r="L277" s="29"/>
      <c r="M277" s="30"/>
      <c r="N277" s="31">
        <v>3413</v>
      </c>
      <c r="O277" s="32">
        <v>3120</v>
      </c>
      <c r="P277" s="91"/>
      <c r="Q277" s="92"/>
      <c r="R277" s="93">
        <v>800</v>
      </c>
      <c r="S277" s="93">
        <f>N277*R277</f>
        <v>2730400</v>
      </c>
      <c r="T277" s="33"/>
      <c r="U277" s="34"/>
      <c r="V277" s="35">
        <v>1313</v>
      </c>
      <c r="W277" s="36">
        <f t="shared" ref="W277:W282" si="26">O277*V277</f>
        <v>4096560</v>
      </c>
      <c r="X277" s="93"/>
      <c r="Z277" s="18">
        <f t="shared" si="25"/>
        <v>1366160</v>
      </c>
      <c r="AA277" s="17"/>
      <c r="AB277" s="17"/>
      <c r="AC277" s="17"/>
      <c r="AD277" s="17"/>
      <c r="AE277" s="17"/>
    </row>
    <row r="278" spans="1:31" s="21" customFormat="1" ht="16" customHeight="1" x14ac:dyDescent="0.45">
      <c r="A278" s="1">
        <v>2504</v>
      </c>
      <c r="B278" s="23">
        <v>45763</v>
      </c>
      <c r="C278" s="24"/>
      <c r="D278" s="25" t="s">
        <v>66</v>
      </c>
      <c r="E278" s="26" t="s">
        <v>230</v>
      </c>
      <c r="F278" s="26" t="s">
        <v>371</v>
      </c>
      <c r="G278" s="26" t="s">
        <v>230</v>
      </c>
      <c r="H278" s="27" t="s">
        <v>231</v>
      </c>
      <c r="I278" s="27">
        <v>90840</v>
      </c>
      <c r="J278" s="27"/>
      <c r="K278" s="28"/>
      <c r="L278" s="29"/>
      <c r="M278" s="30"/>
      <c r="N278" s="31">
        <v>600</v>
      </c>
      <c r="O278" s="32">
        <v>548</v>
      </c>
      <c r="P278" s="91"/>
      <c r="Q278" s="92"/>
      <c r="R278" s="93">
        <v>870</v>
      </c>
      <c r="S278" s="93">
        <f>N278*R278</f>
        <v>522000</v>
      </c>
      <c r="T278" s="33"/>
      <c r="U278" s="34"/>
      <c r="V278" s="35">
        <v>1313</v>
      </c>
      <c r="W278" s="36">
        <f t="shared" si="26"/>
        <v>719524</v>
      </c>
      <c r="X278" s="93"/>
      <c r="Z278" s="18">
        <f t="shared" si="25"/>
        <v>197524</v>
      </c>
      <c r="AA278" s="17"/>
      <c r="AB278" s="17"/>
      <c r="AC278" s="17"/>
      <c r="AD278" s="17"/>
      <c r="AE278" s="17"/>
    </row>
    <row r="279" spans="1:31" s="21" customFormat="1" ht="16" customHeight="1" x14ac:dyDescent="0.45">
      <c r="A279" s="1">
        <v>2504</v>
      </c>
      <c r="B279" s="23">
        <v>45763</v>
      </c>
      <c r="C279" s="24"/>
      <c r="D279" s="25" t="s">
        <v>66</v>
      </c>
      <c r="E279" s="26" t="s">
        <v>230</v>
      </c>
      <c r="F279" s="26" t="s">
        <v>371</v>
      </c>
      <c r="G279" s="26" t="s">
        <v>230</v>
      </c>
      <c r="H279" s="27" t="s">
        <v>231</v>
      </c>
      <c r="I279" s="27">
        <v>94006</v>
      </c>
      <c r="J279" s="27"/>
      <c r="K279" s="28"/>
      <c r="L279" s="29"/>
      <c r="M279" s="30"/>
      <c r="N279" s="31">
        <v>570</v>
      </c>
      <c r="O279" s="32">
        <v>521</v>
      </c>
      <c r="P279" s="91"/>
      <c r="Q279" s="92"/>
      <c r="R279" s="93" t="s">
        <v>234</v>
      </c>
      <c r="S279" s="93"/>
      <c r="T279" s="33"/>
      <c r="U279" s="34"/>
      <c r="V279" s="35">
        <v>1313</v>
      </c>
      <c r="W279" s="36">
        <f t="shared" si="26"/>
        <v>684073</v>
      </c>
      <c r="X279" s="93"/>
      <c r="Z279" s="18">
        <f t="shared" si="25"/>
        <v>684073</v>
      </c>
      <c r="AA279" s="17"/>
      <c r="AB279" s="17"/>
      <c r="AC279" s="17"/>
      <c r="AD279" s="17"/>
      <c r="AE279" s="17"/>
    </row>
    <row r="280" spans="1:31" s="21" customFormat="1" ht="16" customHeight="1" x14ac:dyDescent="0.45">
      <c r="A280" s="1">
        <v>2504</v>
      </c>
      <c r="B280" s="23">
        <v>45763</v>
      </c>
      <c r="C280" s="24"/>
      <c r="D280" s="25" t="s">
        <v>66</v>
      </c>
      <c r="E280" s="26" t="s">
        <v>230</v>
      </c>
      <c r="F280" s="26" t="s">
        <v>371</v>
      </c>
      <c r="G280" s="26" t="s">
        <v>230</v>
      </c>
      <c r="H280" s="27" t="s">
        <v>231</v>
      </c>
      <c r="I280" s="27">
        <v>94010</v>
      </c>
      <c r="J280" s="27"/>
      <c r="K280" s="28"/>
      <c r="L280" s="29"/>
      <c r="M280" s="30"/>
      <c r="N280" s="31">
        <v>1125</v>
      </c>
      <c r="O280" s="32">
        <v>1028</v>
      </c>
      <c r="P280" s="91"/>
      <c r="Q280" s="92"/>
      <c r="R280" s="93">
        <v>870</v>
      </c>
      <c r="S280" s="93">
        <f t="shared" ref="S280:S291" si="27">N280*R280</f>
        <v>978750</v>
      </c>
      <c r="T280" s="33"/>
      <c r="U280" s="34"/>
      <c r="V280" s="35">
        <v>1313</v>
      </c>
      <c r="W280" s="36">
        <f t="shared" si="26"/>
        <v>1349764</v>
      </c>
      <c r="X280" s="93"/>
      <c r="Z280" s="18">
        <f t="shared" si="25"/>
        <v>371014</v>
      </c>
      <c r="AA280" s="17"/>
      <c r="AB280" s="17"/>
      <c r="AC280" s="17"/>
      <c r="AD280" s="17"/>
      <c r="AE280" s="17"/>
    </row>
    <row r="281" spans="1:31" s="21" customFormat="1" ht="16" customHeight="1" x14ac:dyDescent="0.45">
      <c r="A281" s="1">
        <v>2504</v>
      </c>
      <c r="B281" s="23">
        <v>45763</v>
      </c>
      <c r="C281" s="24"/>
      <c r="D281" s="25" t="s">
        <v>66</v>
      </c>
      <c r="E281" s="26" t="s">
        <v>230</v>
      </c>
      <c r="F281" s="26" t="s">
        <v>372</v>
      </c>
      <c r="G281" s="26" t="s">
        <v>230</v>
      </c>
      <c r="H281" s="27" t="s">
        <v>231</v>
      </c>
      <c r="I281" s="27">
        <v>30607</v>
      </c>
      <c r="J281" s="27"/>
      <c r="K281" s="28"/>
      <c r="L281" s="29"/>
      <c r="M281" s="30"/>
      <c r="N281" s="31">
        <v>600</v>
      </c>
      <c r="O281" s="32">
        <v>548</v>
      </c>
      <c r="P281" s="91"/>
      <c r="Q281" s="92"/>
      <c r="R281" s="93">
        <v>800</v>
      </c>
      <c r="S281" s="93">
        <f t="shared" si="27"/>
        <v>480000</v>
      </c>
      <c r="T281" s="33"/>
      <c r="U281" s="34"/>
      <c r="V281" s="35">
        <v>1313</v>
      </c>
      <c r="W281" s="36">
        <f t="shared" si="26"/>
        <v>719524</v>
      </c>
      <c r="X281" s="93"/>
      <c r="Z281" s="18">
        <f t="shared" si="25"/>
        <v>239524</v>
      </c>
      <c r="AA281" s="17"/>
      <c r="AB281" s="17"/>
      <c r="AC281" s="17"/>
      <c r="AD281" s="17"/>
      <c r="AE281" s="17"/>
    </row>
    <row r="282" spans="1:31" s="21" customFormat="1" ht="16" customHeight="1" x14ac:dyDescent="0.45">
      <c r="A282" s="1">
        <v>2504</v>
      </c>
      <c r="B282" s="23">
        <v>45763</v>
      </c>
      <c r="C282" s="24"/>
      <c r="D282" s="25" t="s">
        <v>66</v>
      </c>
      <c r="E282" s="26" t="s">
        <v>230</v>
      </c>
      <c r="F282" s="26" t="s">
        <v>372</v>
      </c>
      <c r="G282" s="26" t="s">
        <v>230</v>
      </c>
      <c r="H282" s="27" t="s">
        <v>231</v>
      </c>
      <c r="I282" s="27">
        <v>80933</v>
      </c>
      <c r="J282" s="27"/>
      <c r="K282" s="28"/>
      <c r="L282" s="29"/>
      <c r="M282" s="30"/>
      <c r="N282" s="31">
        <v>600</v>
      </c>
      <c r="O282" s="32">
        <v>548</v>
      </c>
      <c r="P282" s="91"/>
      <c r="Q282" s="92"/>
      <c r="R282" s="93">
        <v>870</v>
      </c>
      <c r="S282" s="93">
        <f t="shared" si="27"/>
        <v>522000</v>
      </c>
      <c r="T282" s="33"/>
      <c r="U282" s="34"/>
      <c r="V282" s="35">
        <v>1313</v>
      </c>
      <c r="W282" s="36">
        <f t="shared" si="26"/>
        <v>719524</v>
      </c>
      <c r="X282" s="93"/>
      <c r="Z282" s="18">
        <f t="shared" si="25"/>
        <v>197524</v>
      </c>
      <c r="AA282" s="17"/>
      <c r="AB282" s="17"/>
      <c r="AC282" s="17"/>
      <c r="AD282" s="17"/>
      <c r="AE282" s="17"/>
    </row>
    <row r="283" spans="1:31" s="21" customFormat="1" ht="16" customHeight="1" x14ac:dyDescent="0.45">
      <c r="A283" s="1">
        <v>2504</v>
      </c>
      <c r="B283" s="2">
        <v>45777</v>
      </c>
      <c r="C283" s="3"/>
      <c r="D283" s="144" t="s">
        <v>66</v>
      </c>
      <c r="E283" s="5" t="s">
        <v>219</v>
      </c>
      <c r="F283" s="5"/>
      <c r="G283" s="5" t="s">
        <v>219</v>
      </c>
      <c r="H283" s="19" t="s">
        <v>172</v>
      </c>
      <c r="I283" s="19" t="s">
        <v>373</v>
      </c>
      <c r="J283" s="19"/>
      <c r="K283" s="20"/>
      <c r="L283" s="6"/>
      <c r="M283" s="7"/>
      <c r="N283" s="8">
        <v>1693</v>
      </c>
      <c r="O283" s="9"/>
      <c r="P283" s="10"/>
      <c r="Q283" s="11"/>
      <c r="R283" s="12">
        <v>800</v>
      </c>
      <c r="S283" s="12">
        <f t="shared" si="27"/>
        <v>1354400</v>
      </c>
      <c r="T283" s="13"/>
      <c r="U283" s="14"/>
      <c r="V283" s="15" t="s">
        <v>374</v>
      </c>
      <c r="W283" s="16"/>
      <c r="X283" s="12"/>
      <c r="Y283" s="17"/>
      <c r="Z283" s="18">
        <f t="shared" si="25"/>
        <v>-1354400</v>
      </c>
      <c r="AA283" s="17"/>
      <c r="AB283" s="17"/>
      <c r="AC283" s="17"/>
      <c r="AD283" s="17"/>
      <c r="AE283" s="17"/>
    </row>
    <row r="284" spans="1:31" s="21" customFormat="1" ht="16" customHeight="1" x14ac:dyDescent="0.45">
      <c r="A284" s="1">
        <v>2504</v>
      </c>
      <c r="B284" s="23">
        <v>45751</v>
      </c>
      <c r="C284" s="24"/>
      <c r="D284" s="25" t="s">
        <v>66</v>
      </c>
      <c r="E284" s="26" t="s">
        <v>117</v>
      </c>
      <c r="F284" s="26"/>
      <c r="G284" s="26" t="s">
        <v>117</v>
      </c>
      <c r="H284" s="27" t="s">
        <v>375</v>
      </c>
      <c r="I284" s="27" t="s">
        <v>151</v>
      </c>
      <c r="J284" s="27"/>
      <c r="K284" s="28"/>
      <c r="L284" s="29"/>
      <c r="M284" s="30"/>
      <c r="N284" s="31">
        <v>17567</v>
      </c>
      <c r="O284" s="32"/>
      <c r="P284" s="91"/>
      <c r="Q284" s="92"/>
      <c r="R284" s="93">
        <v>920</v>
      </c>
      <c r="S284" s="93">
        <f t="shared" si="27"/>
        <v>16161640</v>
      </c>
      <c r="T284" s="33"/>
      <c r="U284" s="34"/>
      <c r="V284" s="35">
        <v>1330</v>
      </c>
      <c r="W284" s="36">
        <f>N284*V284</f>
        <v>23364110</v>
      </c>
      <c r="X284" s="93"/>
      <c r="Z284" s="18">
        <f t="shared" si="25"/>
        <v>7202470</v>
      </c>
      <c r="AA284" s="17"/>
      <c r="AB284" s="17"/>
      <c r="AC284" s="17"/>
      <c r="AD284" s="17"/>
      <c r="AE284" s="17"/>
    </row>
    <row r="285" spans="1:31" s="21" customFormat="1" ht="16" customHeight="1" x14ac:dyDescent="0.45">
      <c r="A285" s="1">
        <v>2504</v>
      </c>
      <c r="B285" s="23">
        <v>45755</v>
      </c>
      <c r="C285" s="24"/>
      <c r="D285" s="25" t="s">
        <v>66</v>
      </c>
      <c r="E285" s="26" t="s">
        <v>117</v>
      </c>
      <c r="F285" s="26"/>
      <c r="G285" s="26" t="s">
        <v>117</v>
      </c>
      <c r="H285" s="27" t="s">
        <v>298</v>
      </c>
      <c r="I285" s="27" t="s">
        <v>151</v>
      </c>
      <c r="J285" s="27"/>
      <c r="K285" s="28"/>
      <c r="L285" s="29"/>
      <c r="M285" s="30"/>
      <c r="N285" s="31">
        <v>4395</v>
      </c>
      <c r="O285" s="32"/>
      <c r="P285" s="91"/>
      <c r="Q285" s="92"/>
      <c r="R285" s="93">
        <v>920</v>
      </c>
      <c r="S285" s="93">
        <f t="shared" si="27"/>
        <v>4043400</v>
      </c>
      <c r="T285" s="33"/>
      <c r="U285" s="34"/>
      <c r="V285" s="35">
        <v>1330</v>
      </c>
      <c r="W285" s="36">
        <f>N285*V285</f>
        <v>5845350</v>
      </c>
      <c r="X285" s="93"/>
      <c r="Z285" s="18">
        <f t="shared" si="25"/>
        <v>1801950</v>
      </c>
      <c r="AA285" s="17"/>
      <c r="AB285" s="17"/>
      <c r="AC285" s="17"/>
      <c r="AD285" s="17"/>
      <c r="AE285" s="17"/>
    </row>
    <row r="286" spans="1:31" s="21" customFormat="1" ht="16" customHeight="1" x14ac:dyDescent="0.45">
      <c r="A286" s="1">
        <v>2504</v>
      </c>
      <c r="B286" s="23">
        <v>45757</v>
      </c>
      <c r="C286" s="24"/>
      <c r="D286" s="25" t="s">
        <v>66</v>
      </c>
      <c r="E286" s="26" t="s">
        <v>203</v>
      </c>
      <c r="F286" s="26"/>
      <c r="G286" s="26" t="s">
        <v>203</v>
      </c>
      <c r="H286" s="27" t="s">
        <v>376</v>
      </c>
      <c r="I286" s="27" t="s">
        <v>151</v>
      </c>
      <c r="J286" s="27"/>
      <c r="K286" s="28"/>
      <c r="L286" s="29">
        <v>38</v>
      </c>
      <c r="M286" s="30"/>
      <c r="N286" s="31">
        <v>10218</v>
      </c>
      <c r="O286" s="32"/>
      <c r="P286" s="91"/>
      <c r="Q286" s="92"/>
      <c r="R286" s="93">
        <v>920</v>
      </c>
      <c r="S286" s="93">
        <f t="shared" si="27"/>
        <v>9400560</v>
      </c>
      <c r="T286" s="33"/>
      <c r="U286" s="34"/>
      <c r="V286" s="35">
        <v>1350</v>
      </c>
      <c r="W286" s="36">
        <f>N286*V286</f>
        <v>13794300</v>
      </c>
      <c r="X286" s="93"/>
      <c r="Z286" s="18">
        <f t="shared" si="25"/>
        <v>4393740</v>
      </c>
      <c r="AA286" s="17"/>
      <c r="AB286" s="17"/>
      <c r="AC286" s="17"/>
      <c r="AD286" s="17"/>
      <c r="AE286" s="17"/>
    </row>
    <row r="287" spans="1:31" ht="16" customHeight="1" x14ac:dyDescent="0.45">
      <c r="A287" s="1">
        <v>2504</v>
      </c>
      <c r="B287" s="145">
        <v>45769</v>
      </c>
      <c r="C287" s="24"/>
      <c r="D287" s="25" t="s">
        <v>66</v>
      </c>
      <c r="E287" s="26" t="s">
        <v>203</v>
      </c>
      <c r="F287" s="26"/>
      <c r="G287" s="26" t="s">
        <v>203</v>
      </c>
      <c r="H287" s="27" t="s">
        <v>375</v>
      </c>
      <c r="I287" s="27" t="s">
        <v>151</v>
      </c>
      <c r="J287" s="27">
        <v>6732</v>
      </c>
      <c r="K287" s="28"/>
      <c r="L287" s="29"/>
      <c r="M287" s="30"/>
      <c r="N287" s="31">
        <v>10201</v>
      </c>
      <c r="O287" s="32"/>
      <c r="P287" s="91"/>
      <c r="Q287" s="92"/>
      <c r="R287" s="93">
        <v>920</v>
      </c>
      <c r="S287" s="93">
        <f t="shared" si="27"/>
        <v>9384920</v>
      </c>
      <c r="T287" s="33"/>
      <c r="U287" s="34"/>
      <c r="V287" s="35">
        <v>1350</v>
      </c>
      <c r="W287" s="36">
        <f>N287*V287</f>
        <v>13771350</v>
      </c>
      <c r="X287" s="93"/>
      <c r="Y287" s="21"/>
      <c r="Z287" s="18">
        <f t="shared" si="25"/>
        <v>4386430</v>
      </c>
    </row>
    <row r="288" spans="1:31" s="21" customFormat="1" ht="16" customHeight="1" x14ac:dyDescent="0.45">
      <c r="A288" s="1">
        <v>2504</v>
      </c>
      <c r="B288" s="23">
        <v>45755</v>
      </c>
      <c r="C288" s="24"/>
      <c r="D288" s="25" t="s">
        <v>66</v>
      </c>
      <c r="E288" s="26" t="s">
        <v>220</v>
      </c>
      <c r="F288" s="26"/>
      <c r="G288" s="26" t="s">
        <v>220</v>
      </c>
      <c r="H288" s="27" t="s">
        <v>172</v>
      </c>
      <c r="I288" s="27" t="s">
        <v>53</v>
      </c>
      <c r="J288" s="27"/>
      <c r="K288" s="28"/>
      <c r="L288" s="29">
        <v>6</v>
      </c>
      <c r="M288" s="30"/>
      <c r="N288" s="31">
        <v>1735</v>
      </c>
      <c r="O288" s="32"/>
      <c r="P288" s="91"/>
      <c r="Q288" s="92"/>
      <c r="R288" s="93">
        <v>800</v>
      </c>
      <c r="S288" s="93">
        <f t="shared" si="27"/>
        <v>1388000</v>
      </c>
      <c r="T288" s="33"/>
      <c r="U288" s="34"/>
      <c r="V288" s="35">
        <v>1200</v>
      </c>
      <c r="W288" s="36">
        <f>N288*V288</f>
        <v>2082000</v>
      </c>
      <c r="X288" s="93"/>
      <c r="Z288" s="18">
        <f t="shared" si="25"/>
        <v>694000</v>
      </c>
      <c r="AA288" s="17"/>
      <c r="AB288" s="17"/>
      <c r="AC288" s="17"/>
      <c r="AD288" s="17"/>
      <c r="AE288" s="17"/>
    </row>
    <row r="289" spans="1:31" s="21" customFormat="1" ht="16" customHeight="1" x14ac:dyDescent="0.45">
      <c r="A289" s="1">
        <v>2504</v>
      </c>
      <c r="B289" s="2">
        <v>45763</v>
      </c>
      <c r="C289" s="3"/>
      <c r="D289" s="4" t="s">
        <v>66</v>
      </c>
      <c r="E289" s="5" t="s">
        <v>114</v>
      </c>
      <c r="F289" s="5" t="s">
        <v>372</v>
      </c>
      <c r="G289" s="5" t="s">
        <v>230</v>
      </c>
      <c r="H289" s="19" t="s">
        <v>231</v>
      </c>
      <c r="I289" s="19">
        <v>30607</v>
      </c>
      <c r="J289" s="19"/>
      <c r="K289" s="73"/>
      <c r="L289" s="6"/>
      <c r="M289" s="7"/>
      <c r="N289" s="8">
        <v>352</v>
      </c>
      <c r="O289" s="9"/>
      <c r="P289" s="10"/>
      <c r="Q289" s="11"/>
      <c r="R289" s="12">
        <v>750</v>
      </c>
      <c r="S289" s="12">
        <f t="shared" si="27"/>
        <v>264000</v>
      </c>
      <c r="T289" s="13"/>
      <c r="U289" s="14"/>
      <c r="V289" s="15"/>
      <c r="W289" s="16"/>
      <c r="X289" s="12"/>
      <c r="Y289" s="17"/>
      <c r="Z289" s="18">
        <f t="shared" si="25"/>
        <v>-264000</v>
      </c>
      <c r="AA289" s="17"/>
      <c r="AB289" s="17"/>
      <c r="AC289" s="17"/>
      <c r="AD289" s="17"/>
      <c r="AE289" s="17"/>
    </row>
    <row r="290" spans="1:31" s="21" customFormat="1" ht="16" customHeight="1" x14ac:dyDescent="0.45">
      <c r="A290" s="1">
        <v>2504</v>
      </c>
      <c r="B290" s="2">
        <v>45763</v>
      </c>
      <c r="C290" s="3"/>
      <c r="D290" s="4" t="s">
        <v>66</v>
      </c>
      <c r="E290" s="5" t="s">
        <v>114</v>
      </c>
      <c r="F290" s="5" t="s">
        <v>372</v>
      </c>
      <c r="G290" s="5" t="s">
        <v>230</v>
      </c>
      <c r="H290" s="19" t="s">
        <v>231</v>
      </c>
      <c r="I290" s="19">
        <v>80933</v>
      </c>
      <c r="J290" s="19"/>
      <c r="K290" s="73"/>
      <c r="L290" s="6"/>
      <c r="M290" s="7"/>
      <c r="N290" s="8">
        <v>285</v>
      </c>
      <c r="O290" s="9"/>
      <c r="P290" s="10"/>
      <c r="Q290" s="11"/>
      <c r="R290" s="12">
        <v>820</v>
      </c>
      <c r="S290" s="12">
        <f t="shared" si="27"/>
        <v>233700</v>
      </c>
      <c r="T290" s="13"/>
      <c r="U290" s="14"/>
      <c r="V290" s="15"/>
      <c r="W290" s="16"/>
      <c r="X290" s="12"/>
      <c r="Y290" s="17"/>
      <c r="Z290" s="18">
        <f t="shared" si="25"/>
        <v>-233700</v>
      </c>
      <c r="AA290" s="17"/>
      <c r="AB290" s="17"/>
      <c r="AC290" s="17"/>
      <c r="AD290" s="17"/>
      <c r="AE290" s="17"/>
    </row>
    <row r="291" spans="1:31" s="21" customFormat="1" ht="16" customHeight="1" x14ac:dyDescent="0.45">
      <c r="A291" s="1">
        <v>2504</v>
      </c>
      <c r="B291" s="2">
        <v>45763</v>
      </c>
      <c r="C291" s="3"/>
      <c r="D291" s="4" t="s">
        <v>66</v>
      </c>
      <c r="E291" s="5" t="s">
        <v>114</v>
      </c>
      <c r="F291" s="5" t="s">
        <v>372</v>
      </c>
      <c r="G291" s="5" t="s">
        <v>230</v>
      </c>
      <c r="H291" s="19" t="s">
        <v>231</v>
      </c>
      <c r="I291" s="19">
        <v>90840</v>
      </c>
      <c r="J291" s="19"/>
      <c r="K291" s="73"/>
      <c r="L291" s="6"/>
      <c r="M291" s="7"/>
      <c r="N291" s="8">
        <v>277</v>
      </c>
      <c r="O291" s="9"/>
      <c r="P291" s="10"/>
      <c r="Q291" s="11"/>
      <c r="R291" s="12">
        <v>820</v>
      </c>
      <c r="S291" s="12">
        <f t="shared" si="27"/>
        <v>227140</v>
      </c>
      <c r="T291" s="13"/>
      <c r="U291" s="14"/>
      <c r="V291" s="15"/>
      <c r="W291" s="16"/>
      <c r="X291" s="12"/>
      <c r="Y291" s="17"/>
      <c r="Z291" s="18">
        <f t="shared" si="25"/>
        <v>-227140</v>
      </c>
      <c r="AA291" s="17"/>
      <c r="AB291" s="17"/>
      <c r="AC291" s="17"/>
      <c r="AD291" s="17"/>
      <c r="AE291" s="17"/>
    </row>
    <row r="292" spans="1:31" ht="16" customHeight="1" x14ac:dyDescent="0.45">
      <c r="A292" s="1">
        <v>2504</v>
      </c>
      <c r="B292" s="2">
        <v>45762</v>
      </c>
      <c r="D292" s="4" t="s">
        <v>80</v>
      </c>
      <c r="E292" s="5" t="s">
        <v>30</v>
      </c>
      <c r="G292" s="5" t="s">
        <v>31</v>
      </c>
      <c r="H292" s="19" t="s">
        <v>81</v>
      </c>
      <c r="K292" s="73"/>
      <c r="M292" s="7">
        <v>2064</v>
      </c>
      <c r="P292" s="141">
        <v>2304</v>
      </c>
      <c r="Q292" s="95">
        <f>M292*P292</f>
        <v>4755456</v>
      </c>
      <c r="Z292" s="18">
        <f t="shared" si="25"/>
        <v>-4755456</v>
      </c>
    </row>
    <row r="293" spans="1:31" ht="16" customHeight="1" x14ac:dyDescent="0.45">
      <c r="A293" s="1">
        <v>2504</v>
      </c>
      <c r="B293" s="23">
        <v>45749</v>
      </c>
      <c r="C293" s="24"/>
      <c r="D293" s="25" t="s">
        <v>222</v>
      </c>
      <c r="E293" s="26" t="s">
        <v>61</v>
      </c>
      <c r="F293" s="26"/>
      <c r="G293" s="26" t="s">
        <v>61</v>
      </c>
      <c r="H293" s="27" t="s">
        <v>377</v>
      </c>
      <c r="I293" s="27"/>
      <c r="J293" s="27"/>
      <c r="K293" s="28"/>
      <c r="L293" s="29"/>
      <c r="M293" s="30"/>
      <c r="N293" s="31">
        <v>4000</v>
      </c>
      <c r="O293" s="32"/>
      <c r="P293" s="91"/>
      <c r="Q293" s="92"/>
      <c r="R293" s="96">
        <v>950</v>
      </c>
      <c r="S293" s="93">
        <f>N293*R293</f>
        <v>3800000</v>
      </c>
      <c r="T293" s="33"/>
      <c r="U293" s="34"/>
      <c r="V293" s="35">
        <v>980</v>
      </c>
      <c r="W293" s="36">
        <f>N293*V293</f>
        <v>3920000</v>
      </c>
      <c r="X293" s="93"/>
      <c r="Y293" s="21"/>
      <c r="Z293" s="18">
        <f t="shared" si="25"/>
        <v>120000</v>
      </c>
    </row>
    <row r="294" spans="1:31" s="21" customFormat="1" ht="16" customHeight="1" x14ac:dyDescent="0.45">
      <c r="A294" s="1">
        <v>2504</v>
      </c>
      <c r="B294" s="23">
        <v>45749</v>
      </c>
      <c r="C294" s="24"/>
      <c r="D294" s="25" t="s">
        <v>222</v>
      </c>
      <c r="E294" s="26" t="s">
        <v>61</v>
      </c>
      <c r="F294" s="26"/>
      <c r="G294" s="26" t="s">
        <v>61</v>
      </c>
      <c r="H294" s="27" t="s">
        <v>347</v>
      </c>
      <c r="I294" s="27"/>
      <c r="J294" s="27"/>
      <c r="K294" s="28"/>
      <c r="L294" s="29"/>
      <c r="M294" s="30"/>
      <c r="N294" s="31">
        <v>22026</v>
      </c>
      <c r="O294" s="32"/>
      <c r="P294" s="91"/>
      <c r="Q294" s="92"/>
      <c r="R294" s="93">
        <v>680</v>
      </c>
      <c r="S294" s="93">
        <f>N294*R294</f>
        <v>14977680</v>
      </c>
      <c r="T294" s="33"/>
      <c r="U294" s="34"/>
      <c r="V294" s="35">
        <v>750</v>
      </c>
      <c r="W294" s="36">
        <f>N294*V294</f>
        <v>16519500</v>
      </c>
      <c r="X294" s="93"/>
      <c r="Z294" s="18">
        <f t="shared" si="25"/>
        <v>1541820</v>
      </c>
      <c r="AA294" s="17"/>
      <c r="AB294" s="17"/>
      <c r="AC294" s="17"/>
      <c r="AD294" s="17"/>
      <c r="AE294" s="17"/>
    </row>
    <row r="295" spans="1:31" s="21" customFormat="1" ht="16" customHeight="1" x14ac:dyDescent="0.45">
      <c r="A295" s="1">
        <v>2504</v>
      </c>
      <c r="B295" s="2">
        <v>45758</v>
      </c>
      <c r="C295" s="3"/>
      <c r="D295" s="144" t="s">
        <v>378</v>
      </c>
      <c r="E295" s="5"/>
      <c r="F295" s="5"/>
      <c r="G295" s="5"/>
      <c r="H295" s="19" t="s">
        <v>379</v>
      </c>
      <c r="I295" s="19"/>
      <c r="J295" s="19"/>
      <c r="K295" s="20"/>
      <c r="L295" s="6"/>
      <c r="M295" s="7"/>
      <c r="N295" s="8"/>
      <c r="O295" s="9"/>
      <c r="P295" s="10"/>
      <c r="Q295" s="11"/>
      <c r="R295" s="12"/>
      <c r="S295" s="12">
        <v>-1250000</v>
      </c>
      <c r="T295" s="13"/>
      <c r="U295" s="14"/>
      <c r="V295" s="15"/>
      <c r="W295" s="16"/>
      <c r="X295" s="12"/>
      <c r="Y295" s="17"/>
      <c r="Z295" s="18">
        <f t="shared" si="25"/>
        <v>1250000</v>
      </c>
      <c r="AA295" s="17"/>
      <c r="AB295" s="17"/>
      <c r="AC295" s="17"/>
      <c r="AD295" s="17"/>
      <c r="AE295" s="17"/>
    </row>
    <row r="296" spans="1:31" s="21" customFormat="1" ht="16" customHeight="1" x14ac:dyDescent="0.45">
      <c r="A296" s="1">
        <v>2504</v>
      </c>
      <c r="B296" s="23">
        <v>45748</v>
      </c>
      <c r="C296" s="24"/>
      <c r="D296" s="25" t="s">
        <v>211</v>
      </c>
      <c r="E296" s="26" t="s">
        <v>1</v>
      </c>
      <c r="F296" s="26"/>
      <c r="G296" s="26" t="s">
        <v>1</v>
      </c>
      <c r="H296" s="27" t="s">
        <v>11</v>
      </c>
      <c r="I296" s="27" t="s">
        <v>142</v>
      </c>
      <c r="J296" s="27"/>
      <c r="K296" s="28">
        <v>14</v>
      </c>
      <c r="L296" s="29">
        <v>4</v>
      </c>
      <c r="M296" s="30"/>
      <c r="N296" s="31"/>
      <c r="O296" s="32">
        <v>1377</v>
      </c>
      <c r="P296" s="91"/>
      <c r="Q296" s="92"/>
      <c r="R296" s="93">
        <v>2350</v>
      </c>
      <c r="S296" s="93">
        <f t="shared" ref="S296:S305" si="28">O296*R296</f>
        <v>3235950</v>
      </c>
      <c r="T296" s="33"/>
      <c r="U296" s="34"/>
      <c r="V296" s="35">
        <v>4700</v>
      </c>
      <c r="W296" s="36">
        <f t="shared" ref="W296:W307" si="29">O296*V296</f>
        <v>6471900</v>
      </c>
      <c r="X296" s="93"/>
      <c r="Z296" s="18">
        <f t="shared" si="25"/>
        <v>3235950</v>
      </c>
      <c r="AA296" s="17"/>
      <c r="AB296" s="17"/>
      <c r="AC296" s="17"/>
      <c r="AD296" s="17"/>
      <c r="AE296" s="17"/>
    </row>
    <row r="297" spans="1:31" s="21" customFormat="1" ht="16" customHeight="1" x14ac:dyDescent="0.45">
      <c r="A297" s="1">
        <v>2504</v>
      </c>
      <c r="B297" s="23">
        <v>45749</v>
      </c>
      <c r="C297" s="24"/>
      <c r="D297" s="25" t="s">
        <v>211</v>
      </c>
      <c r="E297" s="26" t="s">
        <v>1</v>
      </c>
      <c r="F297" s="26"/>
      <c r="G297" s="26" t="s">
        <v>1</v>
      </c>
      <c r="H297" s="27" t="s">
        <v>11</v>
      </c>
      <c r="I297" s="27" t="s">
        <v>21</v>
      </c>
      <c r="J297" s="27"/>
      <c r="K297" s="28">
        <v>27</v>
      </c>
      <c r="L297" s="29">
        <v>4</v>
      </c>
      <c r="M297" s="30"/>
      <c r="N297" s="31"/>
      <c r="O297" s="32">
        <v>813</v>
      </c>
      <c r="P297" s="91"/>
      <c r="Q297" s="92"/>
      <c r="R297" s="93">
        <v>2350</v>
      </c>
      <c r="S297" s="93">
        <f t="shared" si="28"/>
        <v>1910550</v>
      </c>
      <c r="T297" s="33"/>
      <c r="U297" s="34"/>
      <c r="V297" s="35">
        <v>4700</v>
      </c>
      <c r="W297" s="36">
        <f t="shared" si="29"/>
        <v>3821100</v>
      </c>
      <c r="X297" s="93"/>
      <c r="Z297" s="18">
        <f t="shared" si="25"/>
        <v>1910550</v>
      </c>
      <c r="AA297" s="17"/>
      <c r="AB297" s="17"/>
      <c r="AC297" s="17"/>
      <c r="AD297" s="17"/>
      <c r="AE297" s="17"/>
    </row>
    <row r="298" spans="1:31" s="21" customFormat="1" ht="16" customHeight="1" x14ac:dyDescent="0.45">
      <c r="A298" s="1">
        <v>2504</v>
      </c>
      <c r="B298" s="23">
        <v>45751</v>
      </c>
      <c r="C298" s="24"/>
      <c r="D298" s="25" t="s">
        <v>211</v>
      </c>
      <c r="E298" s="26" t="s">
        <v>1</v>
      </c>
      <c r="F298" s="26"/>
      <c r="G298" s="26" t="s">
        <v>1</v>
      </c>
      <c r="H298" s="27" t="s">
        <v>11</v>
      </c>
      <c r="I298" s="27" t="s">
        <v>142</v>
      </c>
      <c r="J298" s="27"/>
      <c r="K298" s="28">
        <v>12</v>
      </c>
      <c r="L298" s="29">
        <v>3</v>
      </c>
      <c r="M298" s="30"/>
      <c r="N298" s="31"/>
      <c r="O298" s="32">
        <v>738</v>
      </c>
      <c r="P298" s="91"/>
      <c r="Q298" s="92"/>
      <c r="R298" s="93">
        <v>2350</v>
      </c>
      <c r="S298" s="93">
        <f t="shared" si="28"/>
        <v>1734300</v>
      </c>
      <c r="T298" s="33"/>
      <c r="U298" s="34"/>
      <c r="V298" s="35">
        <v>4700</v>
      </c>
      <c r="W298" s="36">
        <f t="shared" si="29"/>
        <v>3468600</v>
      </c>
      <c r="X298" s="93"/>
      <c r="Z298" s="18">
        <f t="shared" si="25"/>
        <v>1734300</v>
      </c>
      <c r="AA298" s="17"/>
      <c r="AB298" s="17"/>
      <c r="AC298" s="17"/>
      <c r="AD298" s="17"/>
      <c r="AE298" s="17"/>
    </row>
    <row r="299" spans="1:31" ht="16" customHeight="1" x14ac:dyDescent="0.45">
      <c r="A299" s="1">
        <v>2504</v>
      </c>
      <c r="B299" s="23">
        <v>45751</v>
      </c>
      <c r="C299" s="24"/>
      <c r="D299" s="25" t="s">
        <v>211</v>
      </c>
      <c r="E299" s="26" t="s">
        <v>1</v>
      </c>
      <c r="F299" s="26"/>
      <c r="G299" s="26" t="s">
        <v>1</v>
      </c>
      <c r="H299" s="27" t="s">
        <v>11</v>
      </c>
      <c r="I299" s="27" t="s">
        <v>380</v>
      </c>
      <c r="J299" s="27"/>
      <c r="K299" s="28">
        <v>2</v>
      </c>
      <c r="L299" s="29">
        <v>8</v>
      </c>
      <c r="M299" s="30"/>
      <c r="N299" s="31"/>
      <c r="O299" s="32">
        <v>2611</v>
      </c>
      <c r="P299" s="91"/>
      <c r="Q299" s="92"/>
      <c r="R299" s="93">
        <v>2350</v>
      </c>
      <c r="S299" s="93">
        <f t="shared" si="28"/>
        <v>6135850</v>
      </c>
      <c r="T299" s="33"/>
      <c r="U299" s="34"/>
      <c r="V299" s="35">
        <v>4700</v>
      </c>
      <c r="W299" s="36">
        <f t="shared" si="29"/>
        <v>12271700</v>
      </c>
      <c r="X299" s="93"/>
      <c r="Y299" s="21"/>
      <c r="Z299" s="18">
        <f t="shared" si="25"/>
        <v>6135850</v>
      </c>
    </row>
    <row r="300" spans="1:31" s="21" customFormat="1" ht="16" customHeight="1" x14ac:dyDescent="0.45">
      <c r="A300" s="1">
        <v>2504</v>
      </c>
      <c r="B300" s="23">
        <v>45751</v>
      </c>
      <c r="C300" s="24"/>
      <c r="D300" s="25" t="s">
        <v>211</v>
      </c>
      <c r="E300" s="26" t="s">
        <v>1</v>
      </c>
      <c r="F300" s="26"/>
      <c r="G300" s="26" t="s">
        <v>1</v>
      </c>
      <c r="H300" s="27" t="s">
        <v>11</v>
      </c>
      <c r="I300" s="27" t="s">
        <v>18</v>
      </c>
      <c r="J300" s="27"/>
      <c r="K300" s="28">
        <v>28</v>
      </c>
      <c r="L300" s="29">
        <v>4</v>
      </c>
      <c r="M300" s="30"/>
      <c r="N300" s="31"/>
      <c r="O300" s="32">
        <v>1322</v>
      </c>
      <c r="P300" s="91"/>
      <c r="Q300" s="92"/>
      <c r="R300" s="93">
        <v>2350</v>
      </c>
      <c r="S300" s="93">
        <f t="shared" si="28"/>
        <v>3106700</v>
      </c>
      <c r="T300" s="33"/>
      <c r="U300" s="34"/>
      <c r="V300" s="35">
        <v>4700</v>
      </c>
      <c r="W300" s="36">
        <f t="shared" si="29"/>
        <v>6213400</v>
      </c>
      <c r="X300" s="93"/>
      <c r="Z300" s="18">
        <f t="shared" si="25"/>
        <v>3106700</v>
      </c>
      <c r="AA300" s="17"/>
      <c r="AB300" s="17"/>
      <c r="AC300" s="17"/>
      <c r="AD300" s="17"/>
      <c r="AE300" s="17"/>
    </row>
    <row r="301" spans="1:31" s="21" customFormat="1" ht="16" customHeight="1" x14ac:dyDescent="0.45">
      <c r="A301" s="1">
        <v>2504</v>
      </c>
      <c r="B301" s="23">
        <v>45751</v>
      </c>
      <c r="C301" s="24"/>
      <c r="D301" s="25" t="s">
        <v>211</v>
      </c>
      <c r="E301" s="26" t="s">
        <v>1</v>
      </c>
      <c r="F301" s="26"/>
      <c r="G301" s="26" t="s">
        <v>1</v>
      </c>
      <c r="H301" s="27" t="s">
        <v>11</v>
      </c>
      <c r="I301" s="27" t="s">
        <v>21</v>
      </c>
      <c r="J301" s="27"/>
      <c r="K301" s="28">
        <v>27.25</v>
      </c>
      <c r="L301" s="29">
        <v>9</v>
      </c>
      <c r="M301" s="30"/>
      <c r="N301" s="31"/>
      <c r="O301" s="32">
        <v>1910</v>
      </c>
      <c r="P301" s="91"/>
      <c r="Q301" s="92"/>
      <c r="R301" s="93">
        <v>2350</v>
      </c>
      <c r="S301" s="93">
        <f t="shared" si="28"/>
        <v>4488500</v>
      </c>
      <c r="T301" s="33"/>
      <c r="U301" s="34"/>
      <c r="V301" s="35">
        <v>4700</v>
      </c>
      <c r="W301" s="36">
        <f t="shared" si="29"/>
        <v>8977000</v>
      </c>
      <c r="X301" s="93"/>
      <c r="Z301" s="18">
        <f t="shared" si="25"/>
        <v>4488500</v>
      </c>
      <c r="AA301" s="17"/>
      <c r="AB301" s="17"/>
      <c r="AC301" s="17"/>
      <c r="AD301" s="17"/>
      <c r="AE301" s="17"/>
    </row>
    <row r="302" spans="1:31" s="21" customFormat="1" ht="16" customHeight="1" x14ac:dyDescent="0.45">
      <c r="A302" s="1">
        <v>2504</v>
      </c>
      <c r="B302" s="23">
        <v>45754</v>
      </c>
      <c r="C302" s="24"/>
      <c r="D302" s="25" t="s">
        <v>211</v>
      </c>
      <c r="E302" s="26" t="s">
        <v>1</v>
      </c>
      <c r="F302" s="26"/>
      <c r="G302" s="26" t="s">
        <v>1</v>
      </c>
      <c r="H302" s="27" t="s">
        <v>11</v>
      </c>
      <c r="I302" s="27" t="s">
        <v>126</v>
      </c>
      <c r="J302" s="27"/>
      <c r="K302" s="28">
        <v>2</v>
      </c>
      <c r="L302" s="29">
        <v>4</v>
      </c>
      <c r="M302" s="30"/>
      <c r="N302" s="31"/>
      <c r="O302" s="32">
        <v>1391</v>
      </c>
      <c r="P302" s="91"/>
      <c r="Q302" s="92"/>
      <c r="R302" s="93">
        <v>2350</v>
      </c>
      <c r="S302" s="93">
        <f t="shared" si="28"/>
        <v>3268850</v>
      </c>
      <c r="T302" s="33"/>
      <c r="U302" s="34"/>
      <c r="V302" s="35">
        <v>4700</v>
      </c>
      <c r="W302" s="36">
        <f t="shared" si="29"/>
        <v>6537700</v>
      </c>
      <c r="X302" s="93"/>
      <c r="Z302" s="18">
        <f t="shared" si="25"/>
        <v>3268850</v>
      </c>
      <c r="AA302" s="17"/>
      <c r="AB302" s="17"/>
      <c r="AC302" s="17"/>
      <c r="AD302" s="17"/>
      <c r="AE302" s="17"/>
    </row>
    <row r="303" spans="1:31" s="21" customFormat="1" ht="16" customHeight="1" x14ac:dyDescent="0.45">
      <c r="A303" s="1">
        <v>2504</v>
      </c>
      <c r="B303" s="23">
        <v>45762</v>
      </c>
      <c r="C303" s="24"/>
      <c r="D303" s="25" t="s">
        <v>211</v>
      </c>
      <c r="E303" s="26" t="s">
        <v>1</v>
      </c>
      <c r="F303" s="26"/>
      <c r="G303" s="26" t="s">
        <v>1</v>
      </c>
      <c r="H303" s="27" t="s">
        <v>11</v>
      </c>
      <c r="I303" s="27" t="s">
        <v>381</v>
      </c>
      <c r="J303" s="27"/>
      <c r="K303" s="38">
        <v>18</v>
      </c>
      <c r="L303" s="29">
        <v>4</v>
      </c>
      <c r="M303" s="30"/>
      <c r="N303" s="31"/>
      <c r="O303" s="32">
        <v>1428</v>
      </c>
      <c r="P303" s="91"/>
      <c r="Q303" s="92"/>
      <c r="R303" s="93">
        <v>2350</v>
      </c>
      <c r="S303" s="93">
        <f t="shared" si="28"/>
        <v>3355800</v>
      </c>
      <c r="T303" s="33"/>
      <c r="U303" s="34"/>
      <c r="V303" s="35">
        <v>4700</v>
      </c>
      <c r="W303" s="36">
        <f t="shared" si="29"/>
        <v>6711600</v>
      </c>
      <c r="X303" s="93"/>
      <c r="Z303" s="18">
        <f t="shared" si="25"/>
        <v>3355800</v>
      </c>
      <c r="AA303" s="17"/>
      <c r="AB303" s="17"/>
      <c r="AC303" s="17"/>
      <c r="AD303" s="17"/>
      <c r="AE303" s="17"/>
    </row>
    <row r="304" spans="1:31" s="21" customFormat="1" ht="16" customHeight="1" x14ac:dyDescent="0.45">
      <c r="A304" s="1">
        <v>2504</v>
      </c>
      <c r="B304" s="23">
        <v>45770</v>
      </c>
      <c r="C304" s="24"/>
      <c r="D304" s="25" t="s">
        <v>211</v>
      </c>
      <c r="E304" s="26" t="s">
        <v>1</v>
      </c>
      <c r="F304" s="26"/>
      <c r="G304" s="26" t="s">
        <v>1</v>
      </c>
      <c r="H304" s="27" t="s">
        <v>382</v>
      </c>
      <c r="I304" s="27" t="s">
        <v>63</v>
      </c>
      <c r="J304" s="27"/>
      <c r="K304" s="38">
        <v>19</v>
      </c>
      <c r="L304" s="29">
        <v>4</v>
      </c>
      <c r="M304" s="30"/>
      <c r="N304" s="31"/>
      <c r="O304" s="32">
        <v>1400</v>
      </c>
      <c r="P304" s="91"/>
      <c r="Q304" s="92"/>
      <c r="R304" s="93">
        <v>2350</v>
      </c>
      <c r="S304" s="93">
        <f t="shared" si="28"/>
        <v>3290000</v>
      </c>
      <c r="T304" s="33"/>
      <c r="U304" s="34"/>
      <c r="V304" s="35">
        <v>4700</v>
      </c>
      <c r="W304" s="36">
        <f t="shared" si="29"/>
        <v>6580000</v>
      </c>
      <c r="X304" s="93"/>
      <c r="Z304" s="18">
        <f t="shared" si="25"/>
        <v>3290000</v>
      </c>
      <c r="AA304" s="17"/>
      <c r="AB304" s="17"/>
      <c r="AC304" s="17"/>
      <c r="AD304" s="17"/>
      <c r="AE304" s="17"/>
    </row>
    <row r="305" spans="1:31" s="21" customFormat="1" ht="16" customHeight="1" x14ac:dyDescent="0.45">
      <c r="A305" s="1">
        <v>2504</v>
      </c>
      <c r="B305" s="23">
        <v>45770</v>
      </c>
      <c r="C305" s="24"/>
      <c r="D305" s="25" t="s">
        <v>211</v>
      </c>
      <c r="E305" s="26" t="s">
        <v>1</v>
      </c>
      <c r="F305" s="26"/>
      <c r="G305" s="26" t="s">
        <v>1</v>
      </c>
      <c r="H305" s="27" t="s">
        <v>383</v>
      </c>
      <c r="I305" s="27" t="s">
        <v>62</v>
      </c>
      <c r="J305" s="27"/>
      <c r="K305" s="38"/>
      <c r="L305" s="29">
        <v>4</v>
      </c>
      <c r="M305" s="30"/>
      <c r="N305" s="31"/>
      <c r="O305" s="32">
        <v>1398</v>
      </c>
      <c r="P305" s="91"/>
      <c r="Q305" s="92"/>
      <c r="R305" s="93">
        <v>2350</v>
      </c>
      <c r="S305" s="93">
        <f t="shared" si="28"/>
        <v>3285300</v>
      </c>
      <c r="T305" s="33"/>
      <c r="U305" s="34"/>
      <c r="V305" s="35">
        <v>4700</v>
      </c>
      <c r="W305" s="36">
        <f t="shared" si="29"/>
        <v>6570600</v>
      </c>
      <c r="X305" s="93"/>
      <c r="Z305" s="18">
        <f t="shared" si="25"/>
        <v>3285300</v>
      </c>
      <c r="AA305" s="17"/>
      <c r="AB305" s="17"/>
      <c r="AC305" s="17"/>
      <c r="AD305" s="17"/>
      <c r="AE305" s="17"/>
    </row>
    <row r="306" spans="1:31" s="21" customFormat="1" ht="16" customHeight="1" x14ac:dyDescent="0.45">
      <c r="A306" s="1">
        <v>2504</v>
      </c>
      <c r="B306" s="23">
        <v>45776</v>
      </c>
      <c r="C306" s="24"/>
      <c r="D306" s="25" t="s">
        <v>211</v>
      </c>
      <c r="E306" s="26" t="s">
        <v>1</v>
      </c>
      <c r="F306" s="26"/>
      <c r="G306" s="26" t="s">
        <v>1</v>
      </c>
      <c r="H306" s="27" t="s">
        <v>383</v>
      </c>
      <c r="I306" s="27" t="s">
        <v>12</v>
      </c>
      <c r="J306" s="27"/>
      <c r="K306" s="38"/>
      <c r="L306" s="29">
        <v>3</v>
      </c>
      <c r="M306" s="30"/>
      <c r="N306" s="31"/>
      <c r="O306" s="32">
        <v>1394</v>
      </c>
      <c r="P306" s="91"/>
      <c r="Q306" s="92"/>
      <c r="R306" s="93" t="s">
        <v>384</v>
      </c>
      <c r="S306" s="93"/>
      <c r="T306" s="33"/>
      <c r="U306" s="34"/>
      <c r="V306" s="35">
        <v>4700</v>
      </c>
      <c r="W306" s="36">
        <f t="shared" si="29"/>
        <v>6551800</v>
      </c>
      <c r="X306" s="93"/>
      <c r="Z306" s="18">
        <f t="shared" si="25"/>
        <v>6551800</v>
      </c>
      <c r="AA306" s="17"/>
      <c r="AB306" s="17"/>
      <c r="AC306" s="17"/>
      <c r="AD306" s="17"/>
      <c r="AE306" s="17"/>
    </row>
    <row r="307" spans="1:31" s="21" customFormat="1" ht="16" customHeight="1" x14ac:dyDescent="0.45">
      <c r="A307" s="1">
        <v>2504</v>
      </c>
      <c r="B307" s="23">
        <v>45762</v>
      </c>
      <c r="C307" s="24"/>
      <c r="D307" s="25" t="s">
        <v>211</v>
      </c>
      <c r="E307" s="26" t="s">
        <v>385</v>
      </c>
      <c r="F307" s="26"/>
      <c r="G307" s="26" t="s">
        <v>1</v>
      </c>
      <c r="H307" s="27" t="s">
        <v>11</v>
      </c>
      <c r="I307" s="27" t="s">
        <v>18</v>
      </c>
      <c r="J307" s="27"/>
      <c r="K307" s="38">
        <v>29</v>
      </c>
      <c r="L307" s="29">
        <v>6</v>
      </c>
      <c r="M307" s="30"/>
      <c r="N307" s="31"/>
      <c r="O307" s="32">
        <v>1951</v>
      </c>
      <c r="P307" s="91"/>
      <c r="Q307" s="92"/>
      <c r="R307" s="93" t="s">
        <v>178</v>
      </c>
      <c r="S307" s="93"/>
      <c r="T307" s="33"/>
      <c r="U307" s="34"/>
      <c r="V307" s="35">
        <v>4700</v>
      </c>
      <c r="W307" s="36">
        <f t="shared" si="29"/>
        <v>9169700</v>
      </c>
      <c r="X307" s="93"/>
      <c r="Z307" s="18">
        <f t="shared" si="25"/>
        <v>9169700</v>
      </c>
      <c r="AA307" s="17"/>
      <c r="AB307" s="17"/>
      <c r="AC307" s="17"/>
      <c r="AD307" s="17"/>
      <c r="AE307" s="17"/>
    </row>
    <row r="308" spans="1:31" s="21" customFormat="1" ht="16" customHeight="1" x14ac:dyDescent="0.45">
      <c r="A308" s="1">
        <v>2504</v>
      </c>
      <c r="B308" s="2">
        <v>45755</v>
      </c>
      <c r="C308" s="3"/>
      <c r="D308" s="4" t="s">
        <v>339</v>
      </c>
      <c r="E308" s="5" t="s">
        <v>27</v>
      </c>
      <c r="F308" s="5"/>
      <c r="G308" s="5" t="s">
        <v>28</v>
      </c>
      <c r="H308" s="19" t="s">
        <v>386</v>
      </c>
      <c r="I308" s="19"/>
      <c r="J308" s="19"/>
      <c r="K308" s="20"/>
      <c r="L308" s="6">
        <v>2</v>
      </c>
      <c r="M308" s="7">
        <v>847.5</v>
      </c>
      <c r="N308" s="8"/>
      <c r="O308" s="9"/>
      <c r="P308" s="10"/>
      <c r="Q308" s="11"/>
      <c r="R308" s="12">
        <v>1000</v>
      </c>
      <c r="S308" s="12">
        <f t="shared" ref="S308:S314" si="30">M308*R308</f>
        <v>847500</v>
      </c>
      <c r="T308" s="13"/>
      <c r="U308" s="14"/>
      <c r="V308" s="15"/>
      <c r="W308" s="16"/>
      <c r="X308" s="12"/>
      <c r="Y308" s="17"/>
      <c r="Z308" s="18">
        <f t="shared" si="25"/>
        <v>-847500</v>
      </c>
      <c r="AA308" s="17"/>
      <c r="AB308" s="17"/>
      <c r="AC308" s="17"/>
      <c r="AD308" s="17"/>
      <c r="AE308" s="17"/>
    </row>
    <row r="309" spans="1:31" s="21" customFormat="1" ht="16" customHeight="1" x14ac:dyDescent="0.45">
      <c r="A309" s="1">
        <v>2504</v>
      </c>
      <c r="B309" s="2">
        <v>45769</v>
      </c>
      <c r="C309" s="3"/>
      <c r="D309" s="4" t="s">
        <v>339</v>
      </c>
      <c r="E309" s="5" t="s">
        <v>27</v>
      </c>
      <c r="F309" s="5"/>
      <c r="G309" s="5" t="s">
        <v>28</v>
      </c>
      <c r="H309" s="19" t="s">
        <v>101</v>
      </c>
      <c r="I309" s="19"/>
      <c r="J309" s="19"/>
      <c r="K309" s="73"/>
      <c r="L309" s="6">
        <v>2</v>
      </c>
      <c r="M309" s="7">
        <v>547.29999999999995</v>
      </c>
      <c r="N309" s="8"/>
      <c r="O309" s="9"/>
      <c r="P309" s="10"/>
      <c r="Q309" s="11"/>
      <c r="R309" s="12">
        <v>1000</v>
      </c>
      <c r="S309" s="12">
        <f t="shared" si="30"/>
        <v>547300</v>
      </c>
      <c r="T309" s="13"/>
      <c r="U309" s="14"/>
      <c r="V309" s="15"/>
      <c r="W309" s="16"/>
      <c r="X309" s="12"/>
      <c r="Y309" s="17"/>
      <c r="Z309" s="18">
        <f t="shared" si="25"/>
        <v>-547300</v>
      </c>
      <c r="AA309" s="17"/>
      <c r="AB309" s="17"/>
      <c r="AC309" s="17"/>
      <c r="AD309" s="17"/>
      <c r="AE309" s="17"/>
    </row>
    <row r="310" spans="1:31" s="21" customFormat="1" ht="16" customHeight="1" x14ac:dyDescent="0.45">
      <c r="A310" s="1">
        <v>2504</v>
      </c>
      <c r="B310" s="2">
        <v>45771</v>
      </c>
      <c r="C310" s="3"/>
      <c r="D310" s="4" t="s">
        <v>339</v>
      </c>
      <c r="E310" s="5" t="s">
        <v>27</v>
      </c>
      <c r="F310" s="5"/>
      <c r="G310" s="5" t="s">
        <v>28</v>
      </c>
      <c r="H310" s="19" t="s">
        <v>101</v>
      </c>
      <c r="I310" s="19"/>
      <c r="J310" s="19"/>
      <c r="K310" s="73"/>
      <c r="L310" s="6">
        <v>4</v>
      </c>
      <c r="M310" s="7">
        <v>1099</v>
      </c>
      <c r="N310" s="8"/>
      <c r="O310" s="9"/>
      <c r="P310" s="10"/>
      <c r="Q310" s="11"/>
      <c r="R310" s="12">
        <v>1000</v>
      </c>
      <c r="S310" s="12">
        <f t="shared" si="30"/>
        <v>1099000</v>
      </c>
      <c r="T310" s="13"/>
      <c r="U310" s="14"/>
      <c r="V310" s="15"/>
      <c r="W310" s="16"/>
      <c r="X310" s="12"/>
      <c r="Y310" s="17"/>
      <c r="Z310" s="18">
        <f t="shared" si="25"/>
        <v>-1099000</v>
      </c>
      <c r="AA310" s="17"/>
      <c r="AB310" s="17"/>
      <c r="AC310" s="17"/>
      <c r="AD310" s="17"/>
      <c r="AE310" s="17"/>
    </row>
    <row r="311" spans="1:31" s="21" customFormat="1" ht="16" customHeight="1" x14ac:dyDescent="0.45">
      <c r="A311" s="1">
        <v>2504</v>
      </c>
      <c r="B311" s="2">
        <v>45773</v>
      </c>
      <c r="C311" s="3"/>
      <c r="D311" s="4" t="s">
        <v>339</v>
      </c>
      <c r="E311" s="5" t="s">
        <v>27</v>
      </c>
      <c r="F311" s="5"/>
      <c r="G311" s="5" t="s">
        <v>28</v>
      </c>
      <c r="H311" s="19" t="s">
        <v>101</v>
      </c>
      <c r="I311" s="19"/>
      <c r="J311" s="19"/>
      <c r="K311" s="73"/>
      <c r="L311" s="6">
        <v>2</v>
      </c>
      <c r="M311" s="7">
        <v>843.4</v>
      </c>
      <c r="N311" s="8"/>
      <c r="O311" s="9"/>
      <c r="P311" s="10"/>
      <c r="Q311" s="11"/>
      <c r="R311" s="12">
        <v>1000</v>
      </c>
      <c r="S311" s="12">
        <f t="shared" si="30"/>
        <v>843400</v>
      </c>
      <c r="T311" s="13"/>
      <c r="U311" s="14"/>
      <c r="V311" s="15"/>
      <c r="W311" s="16"/>
      <c r="X311" s="12"/>
      <c r="Y311" s="17"/>
      <c r="Z311" s="18">
        <f t="shared" si="25"/>
        <v>-843400</v>
      </c>
      <c r="AA311" s="17"/>
      <c r="AB311" s="17"/>
      <c r="AC311" s="17"/>
      <c r="AD311" s="17"/>
      <c r="AE311" s="17"/>
    </row>
    <row r="312" spans="1:31" s="21" customFormat="1" ht="16" customHeight="1" x14ac:dyDescent="0.45">
      <c r="A312" s="1">
        <v>2504</v>
      </c>
      <c r="B312" s="2">
        <v>45775</v>
      </c>
      <c r="C312" s="3"/>
      <c r="D312" s="4" t="s">
        <v>339</v>
      </c>
      <c r="E312" s="5" t="s">
        <v>27</v>
      </c>
      <c r="F312" s="5"/>
      <c r="G312" s="5" t="s">
        <v>28</v>
      </c>
      <c r="H312" s="19" t="s">
        <v>101</v>
      </c>
      <c r="I312" s="19"/>
      <c r="J312" s="19"/>
      <c r="K312" s="73"/>
      <c r="L312" s="6">
        <v>3</v>
      </c>
      <c r="M312" s="7">
        <v>1167.9000000000001</v>
      </c>
      <c r="N312" s="8"/>
      <c r="O312" s="9"/>
      <c r="P312" s="10"/>
      <c r="Q312" s="11"/>
      <c r="R312" s="12">
        <v>1000</v>
      </c>
      <c r="S312" s="12">
        <f t="shared" si="30"/>
        <v>1167900</v>
      </c>
      <c r="T312" s="13"/>
      <c r="U312" s="14"/>
      <c r="V312" s="15"/>
      <c r="W312" s="16"/>
      <c r="X312" s="12"/>
      <c r="Y312" s="17"/>
      <c r="Z312" s="18">
        <f t="shared" si="25"/>
        <v>-1167900</v>
      </c>
      <c r="AA312" s="17"/>
      <c r="AB312" s="17"/>
      <c r="AC312" s="17"/>
      <c r="AD312" s="17"/>
      <c r="AE312" s="17"/>
    </row>
    <row r="313" spans="1:31" s="21" customFormat="1" ht="16" customHeight="1" x14ac:dyDescent="0.45">
      <c r="A313" s="1">
        <v>2504</v>
      </c>
      <c r="B313" s="2">
        <v>45777</v>
      </c>
      <c r="C313" s="3"/>
      <c r="D313" s="4" t="s">
        <v>339</v>
      </c>
      <c r="E313" s="5" t="s">
        <v>27</v>
      </c>
      <c r="F313" s="5"/>
      <c r="G313" s="5" t="s">
        <v>28</v>
      </c>
      <c r="H313" s="19" t="s">
        <v>101</v>
      </c>
      <c r="I313" s="19"/>
      <c r="J313" s="19"/>
      <c r="K313" s="73"/>
      <c r="L313" s="6">
        <v>3</v>
      </c>
      <c r="M313" s="7">
        <v>1253.7</v>
      </c>
      <c r="N313" s="8"/>
      <c r="O313" s="9"/>
      <c r="P313" s="10"/>
      <c r="Q313" s="11"/>
      <c r="R313" s="12">
        <v>1000</v>
      </c>
      <c r="S313" s="12">
        <f t="shared" si="30"/>
        <v>1253700</v>
      </c>
      <c r="T313" s="13"/>
      <c r="U313" s="14"/>
      <c r="V313" s="15"/>
      <c r="W313" s="16"/>
      <c r="X313" s="12"/>
      <c r="Y313" s="17"/>
      <c r="Z313" s="18">
        <f t="shared" si="25"/>
        <v>-1253700</v>
      </c>
      <c r="AA313" s="17"/>
      <c r="AB313" s="17"/>
      <c r="AC313" s="17"/>
      <c r="AD313" s="17"/>
      <c r="AE313" s="17"/>
    </row>
    <row r="314" spans="1:31" s="21" customFormat="1" ht="16" customHeight="1" x14ac:dyDescent="0.45">
      <c r="A314" s="1">
        <v>2504</v>
      </c>
      <c r="B314" s="2">
        <v>45751</v>
      </c>
      <c r="C314" s="3"/>
      <c r="D314" s="144" t="s">
        <v>93</v>
      </c>
      <c r="E314" s="5" t="s">
        <v>27</v>
      </c>
      <c r="F314" s="5"/>
      <c r="G314" s="5" t="s">
        <v>28</v>
      </c>
      <c r="H314" s="19" t="s">
        <v>101</v>
      </c>
      <c r="I314" s="19"/>
      <c r="J314" s="19"/>
      <c r="K314" s="20"/>
      <c r="L314" s="6"/>
      <c r="M314" s="7">
        <v>1128</v>
      </c>
      <c r="N314" s="8"/>
      <c r="O314" s="9"/>
      <c r="P314" s="10"/>
      <c r="Q314" s="11"/>
      <c r="R314" s="12">
        <v>1100</v>
      </c>
      <c r="S314" s="12">
        <f t="shared" si="30"/>
        <v>1240800</v>
      </c>
      <c r="T314" s="13"/>
      <c r="U314" s="14"/>
      <c r="V314" s="15"/>
      <c r="W314" s="16"/>
      <c r="X314" s="12"/>
      <c r="Y314" s="17"/>
      <c r="Z314" s="18">
        <f t="shared" si="25"/>
        <v>-1240800</v>
      </c>
      <c r="AA314" s="17"/>
      <c r="AB314" s="17"/>
      <c r="AC314" s="17"/>
      <c r="AD314" s="17"/>
      <c r="AE314" s="17"/>
    </row>
    <row r="315" spans="1:31" ht="16" customHeight="1" x14ac:dyDescent="0.45">
      <c r="A315" s="1">
        <v>2504</v>
      </c>
      <c r="B315" s="2">
        <v>45770</v>
      </c>
      <c r="C315" s="24"/>
      <c r="D315" s="4" t="s">
        <v>30</v>
      </c>
      <c r="E315" s="5" t="s">
        <v>31</v>
      </c>
      <c r="G315" s="5" t="s">
        <v>31</v>
      </c>
      <c r="H315" s="19" t="s">
        <v>133</v>
      </c>
      <c r="K315" s="73"/>
      <c r="L315" s="6">
        <v>6</v>
      </c>
      <c r="O315" s="9">
        <v>4200</v>
      </c>
      <c r="P315" s="141"/>
      <c r="Q315" s="95"/>
      <c r="R315" s="12">
        <v>1470</v>
      </c>
      <c r="S315" s="12">
        <f>O315*R315</f>
        <v>6174000</v>
      </c>
      <c r="T315" s="33"/>
      <c r="U315" s="34"/>
      <c r="V315" s="15">
        <v>2450</v>
      </c>
      <c r="W315" s="16">
        <f>O315*V315</f>
        <v>10290000</v>
      </c>
      <c r="Z315" s="18">
        <f t="shared" si="25"/>
        <v>4116000</v>
      </c>
    </row>
    <row r="316" spans="1:31" ht="16" customHeight="1" x14ac:dyDescent="0.45">
      <c r="A316" s="1">
        <v>2504</v>
      </c>
      <c r="B316" s="2">
        <v>45770</v>
      </c>
      <c r="C316" s="24"/>
      <c r="D316" s="4" t="s">
        <v>30</v>
      </c>
      <c r="E316" s="5" t="s">
        <v>31</v>
      </c>
      <c r="G316" s="5" t="s">
        <v>31</v>
      </c>
      <c r="H316" s="19" t="s">
        <v>97</v>
      </c>
      <c r="K316" s="73"/>
      <c r="L316" s="6">
        <v>1</v>
      </c>
      <c r="O316" s="9">
        <v>600</v>
      </c>
      <c r="P316" s="141"/>
      <c r="Q316" s="95"/>
      <c r="R316" s="12">
        <v>1020</v>
      </c>
      <c r="S316" s="12">
        <f>O316*R316</f>
        <v>612000</v>
      </c>
      <c r="T316" s="33"/>
      <c r="U316" s="34"/>
      <c r="V316" s="15">
        <v>3000</v>
      </c>
      <c r="W316" s="16">
        <f>O316*V316</f>
        <v>1800000</v>
      </c>
      <c r="Z316" s="18">
        <f t="shared" si="25"/>
        <v>1188000</v>
      </c>
    </row>
    <row r="317" spans="1:31" ht="16" customHeight="1" x14ac:dyDescent="0.45">
      <c r="A317" s="1">
        <v>2504</v>
      </c>
      <c r="B317" s="2">
        <v>45770</v>
      </c>
      <c r="C317" s="24"/>
      <c r="D317" s="4" t="s">
        <v>30</v>
      </c>
      <c r="E317" s="5" t="s">
        <v>31</v>
      </c>
      <c r="G317" s="5" t="s">
        <v>31</v>
      </c>
      <c r="H317" s="19" t="s">
        <v>97</v>
      </c>
      <c r="K317" s="73"/>
      <c r="L317" s="6">
        <v>1</v>
      </c>
      <c r="O317" s="9">
        <v>-110</v>
      </c>
      <c r="P317" s="141"/>
      <c r="Q317" s="95"/>
      <c r="R317" s="12">
        <v>1020</v>
      </c>
      <c r="S317" s="12">
        <f>O317*R317</f>
        <v>-112200</v>
      </c>
      <c r="T317" s="33"/>
      <c r="U317" s="34"/>
      <c r="V317" s="15">
        <v>3000</v>
      </c>
      <c r="W317" s="16">
        <f>O317*V317</f>
        <v>-330000</v>
      </c>
      <c r="Z317" s="18">
        <f t="shared" si="25"/>
        <v>-217800</v>
      </c>
    </row>
    <row r="318" spans="1:31" ht="16" customHeight="1" x14ac:dyDescent="0.45">
      <c r="A318" s="1">
        <v>2504</v>
      </c>
      <c r="B318" s="2">
        <v>45770</v>
      </c>
      <c r="C318" s="24"/>
      <c r="D318" s="4" t="s">
        <v>30</v>
      </c>
      <c r="E318" s="5" t="s">
        <v>31</v>
      </c>
      <c r="G318" s="5" t="s">
        <v>31</v>
      </c>
      <c r="H318" s="19" t="s">
        <v>113</v>
      </c>
      <c r="K318" s="73"/>
      <c r="L318" s="6">
        <v>3</v>
      </c>
      <c r="O318" s="9">
        <v>3000</v>
      </c>
      <c r="P318" s="141"/>
      <c r="Q318" s="95"/>
      <c r="R318" s="12">
        <v>1230</v>
      </c>
      <c r="S318" s="12">
        <f>O318*R318</f>
        <v>3690000</v>
      </c>
      <c r="T318" s="33"/>
      <c r="U318" s="34"/>
      <c r="V318" s="15">
        <v>1380</v>
      </c>
      <c r="W318" s="16">
        <f>O318*V318</f>
        <v>4140000</v>
      </c>
      <c r="Z318" s="18">
        <f t="shared" si="25"/>
        <v>450000</v>
      </c>
    </row>
    <row r="319" spans="1:31" ht="16" customHeight="1" x14ac:dyDescent="0.45">
      <c r="A319" s="1">
        <v>2504</v>
      </c>
      <c r="B319" s="2">
        <v>45777</v>
      </c>
      <c r="C319" s="24"/>
      <c r="D319" s="4" t="s">
        <v>30</v>
      </c>
      <c r="E319" s="5" t="s">
        <v>31</v>
      </c>
      <c r="G319" s="5" t="s">
        <v>31</v>
      </c>
      <c r="H319" s="19" t="s">
        <v>188</v>
      </c>
      <c r="K319" s="73"/>
      <c r="L319" s="6">
        <v>3</v>
      </c>
      <c r="P319" s="141"/>
      <c r="Q319" s="95"/>
      <c r="S319" s="12">
        <v>-200000</v>
      </c>
      <c r="T319" s="33"/>
      <c r="U319" s="34"/>
      <c r="W319" s="16">
        <v>-403100</v>
      </c>
      <c r="Z319" s="18">
        <f t="shared" si="25"/>
        <v>-203100</v>
      </c>
    </row>
    <row r="320" spans="1:31" ht="16" customHeight="1" x14ac:dyDescent="0.45">
      <c r="A320" s="1">
        <v>2504</v>
      </c>
      <c r="B320" s="2">
        <v>45750</v>
      </c>
      <c r="D320" s="4" t="s">
        <v>27</v>
      </c>
      <c r="E320" s="5" t="s">
        <v>37</v>
      </c>
      <c r="G320" s="5" t="s">
        <v>28</v>
      </c>
      <c r="H320" s="19" t="s">
        <v>33</v>
      </c>
      <c r="L320" s="6">
        <v>165</v>
      </c>
      <c r="M320" s="7">
        <v>2887.5</v>
      </c>
      <c r="R320" s="12">
        <v>2100</v>
      </c>
      <c r="S320" s="12">
        <f>M320*R320</f>
        <v>6063750</v>
      </c>
      <c r="Z320" s="18">
        <f t="shared" si="25"/>
        <v>-6063750</v>
      </c>
    </row>
    <row r="321" spans="1:31" ht="16" customHeight="1" x14ac:dyDescent="0.45">
      <c r="A321" s="1">
        <v>2504</v>
      </c>
      <c r="B321" s="2">
        <v>45755</v>
      </c>
      <c r="D321" s="4" t="s">
        <v>27</v>
      </c>
      <c r="E321" s="76" t="s">
        <v>37</v>
      </c>
      <c r="F321" s="76"/>
      <c r="G321" s="76" t="s">
        <v>28</v>
      </c>
      <c r="H321" s="17" t="s">
        <v>33</v>
      </c>
      <c r="I321" s="17"/>
      <c r="J321" s="17"/>
      <c r="K321" s="78"/>
      <c r="L321" s="111">
        <v>128</v>
      </c>
      <c r="M321" s="79">
        <v>2226</v>
      </c>
      <c r="N321" s="80"/>
      <c r="O321" s="81"/>
      <c r="P321" s="114"/>
      <c r="Q321" s="105"/>
      <c r="R321" s="12">
        <v>2100</v>
      </c>
      <c r="S321" s="12">
        <f>M321*R321</f>
        <v>4674600</v>
      </c>
      <c r="T321" s="82"/>
      <c r="U321" s="83"/>
      <c r="V321" s="84"/>
      <c r="W321" s="85"/>
      <c r="Z321" s="18">
        <f t="shared" si="25"/>
        <v>-4674600</v>
      </c>
    </row>
    <row r="322" spans="1:31" ht="16" customHeight="1" x14ac:dyDescent="0.45">
      <c r="A322" s="1">
        <v>2504</v>
      </c>
      <c r="B322" s="2">
        <v>45758</v>
      </c>
      <c r="D322" s="4" t="s">
        <v>27</v>
      </c>
      <c r="E322" s="76" t="s">
        <v>37</v>
      </c>
      <c r="F322" s="76"/>
      <c r="G322" s="76" t="s">
        <v>28</v>
      </c>
      <c r="H322" s="17" t="s">
        <v>33</v>
      </c>
      <c r="I322" s="17"/>
      <c r="J322" s="17"/>
      <c r="K322" s="78"/>
      <c r="L322" s="111">
        <v>84</v>
      </c>
      <c r="M322" s="79">
        <v>1470</v>
      </c>
      <c r="N322" s="80"/>
      <c r="O322" s="81"/>
      <c r="P322" s="114"/>
      <c r="Q322" s="105"/>
      <c r="R322" s="12">
        <v>2100</v>
      </c>
      <c r="S322" s="12">
        <f>M322*R322</f>
        <v>3087000</v>
      </c>
      <c r="T322" s="82"/>
      <c r="U322" s="83"/>
      <c r="V322" s="84"/>
      <c r="W322" s="85"/>
      <c r="Z322" s="18">
        <f t="shared" ref="Z322:Z385" si="31">W322-S322-Q322</f>
        <v>-3087000</v>
      </c>
    </row>
    <row r="323" spans="1:31" ht="16" customHeight="1" x14ac:dyDescent="0.45">
      <c r="A323" s="1">
        <v>2504</v>
      </c>
      <c r="B323" s="2">
        <v>45764</v>
      </c>
      <c r="D323" s="4" t="s">
        <v>27</v>
      </c>
      <c r="E323" s="5" t="s">
        <v>37</v>
      </c>
      <c r="G323" s="5" t="s">
        <v>28</v>
      </c>
      <c r="H323" s="19" t="s">
        <v>33</v>
      </c>
      <c r="K323" s="73"/>
      <c r="L323" s="6">
        <v>126</v>
      </c>
      <c r="M323" s="7">
        <v>2205</v>
      </c>
      <c r="R323" s="12">
        <v>2100</v>
      </c>
      <c r="S323" s="12">
        <f>M323*R323</f>
        <v>4630500</v>
      </c>
      <c r="V323" s="84"/>
      <c r="W323" s="85"/>
      <c r="Z323" s="18">
        <f t="shared" si="31"/>
        <v>-4630500</v>
      </c>
    </row>
    <row r="324" spans="1:31" ht="16" customHeight="1" x14ac:dyDescent="0.45">
      <c r="A324" s="1">
        <v>2504</v>
      </c>
      <c r="B324" s="2">
        <v>45777</v>
      </c>
      <c r="D324" s="144" t="s">
        <v>27</v>
      </c>
      <c r="E324" s="5" t="s">
        <v>37</v>
      </c>
      <c r="G324" s="5" t="s">
        <v>28</v>
      </c>
      <c r="H324" s="19" t="s">
        <v>33</v>
      </c>
      <c r="L324" s="6">
        <v>126</v>
      </c>
      <c r="M324" s="7">
        <v>2205</v>
      </c>
      <c r="R324" s="12">
        <v>2100</v>
      </c>
      <c r="S324" s="12">
        <f>M324*R324</f>
        <v>4630500</v>
      </c>
      <c r="V324" s="84"/>
      <c r="W324" s="85"/>
      <c r="Z324" s="18">
        <f t="shared" si="31"/>
        <v>-4630500</v>
      </c>
    </row>
    <row r="325" spans="1:31" ht="16" customHeight="1" x14ac:dyDescent="0.45">
      <c r="A325" s="1">
        <v>2504</v>
      </c>
      <c r="B325" s="2">
        <v>45777</v>
      </c>
      <c r="D325" s="144" t="s">
        <v>27</v>
      </c>
      <c r="G325" s="5" t="s">
        <v>28</v>
      </c>
      <c r="H325" s="19" t="s">
        <v>201</v>
      </c>
      <c r="M325" s="7">
        <v>2617.3000000000002</v>
      </c>
      <c r="P325" s="10">
        <v>2390</v>
      </c>
      <c r="Q325" s="11">
        <f>M325*P325</f>
        <v>6255347</v>
      </c>
      <c r="V325" s="84"/>
      <c r="W325" s="85"/>
      <c r="Z325" s="18">
        <f t="shared" si="31"/>
        <v>-6255347</v>
      </c>
    </row>
    <row r="326" spans="1:31" ht="16" customHeight="1" x14ac:dyDescent="0.45">
      <c r="A326" s="1">
        <v>2504</v>
      </c>
      <c r="B326" s="2">
        <v>45748</v>
      </c>
      <c r="D326" s="4" t="s">
        <v>35</v>
      </c>
      <c r="E326" s="5" t="s">
        <v>10</v>
      </c>
      <c r="G326" s="5" t="s">
        <v>19</v>
      </c>
      <c r="H326" s="19" t="s">
        <v>78</v>
      </c>
      <c r="I326" s="19" t="s">
        <v>105</v>
      </c>
      <c r="N326" s="8">
        <v>6288</v>
      </c>
      <c r="R326" s="12">
        <v>680</v>
      </c>
      <c r="S326" s="12">
        <f>N326*R326</f>
        <v>4275840</v>
      </c>
      <c r="V326" s="84"/>
      <c r="W326" s="85"/>
      <c r="Z326" s="18">
        <f t="shared" si="31"/>
        <v>-4275840</v>
      </c>
    </row>
    <row r="327" spans="1:31" s="39" customFormat="1" ht="16" customHeight="1" x14ac:dyDescent="0.45">
      <c r="A327" s="1">
        <v>2504</v>
      </c>
      <c r="B327" s="2">
        <v>45761</v>
      </c>
      <c r="C327" s="3"/>
      <c r="D327" s="4" t="s">
        <v>35</v>
      </c>
      <c r="E327" s="5" t="s">
        <v>10</v>
      </c>
      <c r="F327" s="5"/>
      <c r="G327" s="5" t="s">
        <v>19</v>
      </c>
      <c r="H327" s="19" t="s">
        <v>387</v>
      </c>
      <c r="I327" s="19" t="s">
        <v>105</v>
      </c>
      <c r="J327" s="19"/>
      <c r="K327" s="73"/>
      <c r="L327" s="6">
        <v>5</v>
      </c>
      <c r="M327" s="7">
        <v>74.7</v>
      </c>
      <c r="N327" s="8">
        <v>1071</v>
      </c>
      <c r="O327" s="9"/>
      <c r="P327" s="10"/>
      <c r="Q327" s="11"/>
      <c r="R327" s="12">
        <v>680</v>
      </c>
      <c r="S327" s="12">
        <f>N327*R327</f>
        <v>728280</v>
      </c>
      <c r="T327" s="13"/>
      <c r="U327" s="14"/>
      <c r="V327" s="84"/>
      <c r="W327" s="16"/>
      <c r="X327" s="12"/>
      <c r="Y327" s="17"/>
      <c r="Z327" s="18">
        <f t="shared" si="31"/>
        <v>-728280</v>
      </c>
      <c r="AA327" s="17"/>
      <c r="AB327" s="17"/>
      <c r="AC327" s="17"/>
      <c r="AD327" s="17"/>
      <c r="AE327" s="17"/>
    </row>
    <row r="328" spans="1:31" ht="16" customHeight="1" x14ac:dyDescent="0.45">
      <c r="A328" s="1">
        <v>2504</v>
      </c>
      <c r="B328" s="2">
        <v>45765</v>
      </c>
      <c r="D328" s="4" t="s">
        <v>35</v>
      </c>
      <c r="E328" s="5" t="s">
        <v>10</v>
      </c>
      <c r="G328" s="5" t="s">
        <v>19</v>
      </c>
      <c r="H328" s="19" t="s">
        <v>78</v>
      </c>
      <c r="I328" s="19" t="s">
        <v>105</v>
      </c>
      <c r="K328" s="73"/>
      <c r="N328" s="8">
        <v>214</v>
      </c>
      <c r="P328" s="10">
        <v>680</v>
      </c>
      <c r="Q328" s="11">
        <f>N328*P328</f>
        <v>145520</v>
      </c>
      <c r="Z328" s="18">
        <f t="shared" si="31"/>
        <v>-145520</v>
      </c>
    </row>
    <row r="329" spans="1:31" ht="16" customHeight="1" x14ac:dyDescent="0.45">
      <c r="A329" s="1">
        <v>2504</v>
      </c>
      <c r="B329" s="2">
        <v>45772</v>
      </c>
      <c r="D329" s="4" t="s">
        <v>35</v>
      </c>
      <c r="E329" s="5" t="s">
        <v>10</v>
      </c>
      <c r="G329" s="5" t="s">
        <v>19</v>
      </c>
      <c r="H329" s="19" t="s">
        <v>104</v>
      </c>
      <c r="I329" s="19" t="s">
        <v>53</v>
      </c>
      <c r="K329" s="73"/>
      <c r="L329" s="6">
        <v>7</v>
      </c>
      <c r="M329" s="7">
        <v>159.5</v>
      </c>
      <c r="N329" s="8">
        <v>3124</v>
      </c>
      <c r="P329" s="10">
        <v>970</v>
      </c>
      <c r="Q329" s="11">
        <f>N329*P329</f>
        <v>3030280</v>
      </c>
      <c r="Z329" s="18">
        <f t="shared" si="31"/>
        <v>-3030280</v>
      </c>
    </row>
    <row r="330" spans="1:31" ht="16" customHeight="1" x14ac:dyDescent="0.45">
      <c r="A330" s="1">
        <v>2504</v>
      </c>
      <c r="B330" s="2">
        <v>45772</v>
      </c>
      <c r="D330" s="4" t="s">
        <v>35</v>
      </c>
      <c r="E330" s="5" t="s">
        <v>10</v>
      </c>
      <c r="G330" s="5" t="s">
        <v>19</v>
      </c>
      <c r="H330" s="19" t="s">
        <v>104</v>
      </c>
      <c r="I330" s="19" t="s">
        <v>53</v>
      </c>
      <c r="K330" s="73"/>
      <c r="L330" s="6">
        <v>3</v>
      </c>
      <c r="M330" s="7">
        <v>78.7</v>
      </c>
      <c r="N330" s="8">
        <v>1542</v>
      </c>
      <c r="P330" s="10">
        <v>970</v>
      </c>
      <c r="Q330" s="11">
        <f>N330*P330</f>
        <v>1495740</v>
      </c>
      <c r="Z330" s="18">
        <f t="shared" si="31"/>
        <v>-1495740</v>
      </c>
    </row>
    <row r="331" spans="1:31" s="21" customFormat="1" ht="16" customHeight="1" x14ac:dyDescent="0.45">
      <c r="A331" s="1">
        <v>2504</v>
      </c>
      <c r="B331" s="23">
        <v>45765</v>
      </c>
      <c r="C331" s="24"/>
      <c r="D331" s="25" t="s">
        <v>37</v>
      </c>
      <c r="E331" s="26" t="s">
        <v>5</v>
      </c>
      <c r="F331" s="26"/>
      <c r="G331" s="26" t="s">
        <v>5</v>
      </c>
      <c r="H331" s="27" t="s">
        <v>129</v>
      </c>
      <c r="I331" s="27"/>
      <c r="J331" s="27"/>
      <c r="K331" s="38"/>
      <c r="L331" s="29">
        <v>9</v>
      </c>
      <c r="M331" s="30">
        <v>177.5</v>
      </c>
      <c r="N331" s="31"/>
      <c r="O331" s="32">
        <v>906</v>
      </c>
      <c r="P331" s="91"/>
      <c r="Q331" s="92"/>
      <c r="R331" s="93">
        <v>1850</v>
      </c>
      <c r="S331" s="93">
        <f t="shared" ref="S331:S360" si="32">M331*R331</f>
        <v>328375</v>
      </c>
      <c r="T331" s="33"/>
      <c r="U331" s="34"/>
      <c r="V331" s="35">
        <v>1270</v>
      </c>
      <c r="W331" s="36">
        <f t="shared" ref="W331:W360" si="33">O331*V331</f>
        <v>1150620</v>
      </c>
      <c r="X331" s="93"/>
      <c r="Z331" s="18">
        <f t="shared" si="31"/>
        <v>822245</v>
      </c>
      <c r="AA331" s="17"/>
      <c r="AB331" s="17"/>
      <c r="AC331" s="17"/>
      <c r="AD331" s="17"/>
      <c r="AE331" s="17"/>
    </row>
    <row r="332" spans="1:31" ht="16" customHeight="1" x14ac:dyDescent="0.45">
      <c r="A332" s="1">
        <v>2504</v>
      </c>
      <c r="B332" s="2">
        <v>45748</v>
      </c>
      <c r="C332" s="24"/>
      <c r="D332" s="4" t="s">
        <v>37</v>
      </c>
      <c r="E332" s="5" t="s">
        <v>28</v>
      </c>
      <c r="G332" s="5" t="s">
        <v>28</v>
      </c>
      <c r="H332" s="19" t="s">
        <v>38</v>
      </c>
      <c r="I332" s="19" t="s">
        <v>39</v>
      </c>
      <c r="K332" s="73" t="s">
        <v>40</v>
      </c>
      <c r="L332" s="6">
        <v>33</v>
      </c>
      <c r="M332" s="7">
        <v>507.2</v>
      </c>
      <c r="O332" s="9">
        <v>793</v>
      </c>
      <c r="P332" s="141"/>
      <c r="Q332" s="95"/>
      <c r="R332" s="12">
        <v>2500</v>
      </c>
      <c r="S332" s="12">
        <f t="shared" si="32"/>
        <v>1268000</v>
      </c>
      <c r="T332" s="33"/>
      <c r="U332" s="34"/>
      <c r="V332" s="15">
        <v>6700</v>
      </c>
      <c r="W332" s="16">
        <f t="shared" si="33"/>
        <v>5313100</v>
      </c>
      <c r="Z332" s="18">
        <f t="shared" si="31"/>
        <v>4045100</v>
      </c>
    </row>
    <row r="333" spans="1:31" ht="16" customHeight="1" x14ac:dyDescent="0.45">
      <c r="A333" s="1">
        <v>2504</v>
      </c>
      <c r="B333" s="2">
        <v>45748</v>
      </c>
      <c r="C333" s="24"/>
      <c r="D333" s="4" t="s">
        <v>37</v>
      </c>
      <c r="E333" s="5" t="s">
        <v>28</v>
      </c>
      <c r="G333" s="5" t="s">
        <v>28</v>
      </c>
      <c r="H333" s="19" t="s">
        <v>38</v>
      </c>
      <c r="I333" s="19" t="s">
        <v>39</v>
      </c>
      <c r="K333" s="73" t="s">
        <v>41</v>
      </c>
      <c r="L333" s="6">
        <v>32</v>
      </c>
      <c r="M333" s="7">
        <v>482.1</v>
      </c>
      <c r="O333" s="9">
        <v>755</v>
      </c>
      <c r="P333" s="141"/>
      <c r="Q333" s="95"/>
      <c r="R333" s="12">
        <v>2500</v>
      </c>
      <c r="S333" s="12">
        <f t="shared" si="32"/>
        <v>1205250</v>
      </c>
      <c r="T333" s="33"/>
      <c r="U333" s="34"/>
      <c r="V333" s="15">
        <v>6700</v>
      </c>
      <c r="W333" s="16">
        <f t="shared" si="33"/>
        <v>5058500</v>
      </c>
      <c r="Z333" s="18">
        <f t="shared" si="31"/>
        <v>3853250</v>
      </c>
    </row>
    <row r="334" spans="1:31" ht="16" customHeight="1" x14ac:dyDescent="0.45">
      <c r="A334" s="1">
        <v>2504</v>
      </c>
      <c r="B334" s="2">
        <v>45748</v>
      </c>
      <c r="C334" s="24"/>
      <c r="D334" s="4" t="s">
        <v>37</v>
      </c>
      <c r="E334" s="5" t="s">
        <v>28</v>
      </c>
      <c r="G334" s="5" t="s">
        <v>28</v>
      </c>
      <c r="H334" s="19" t="s">
        <v>38</v>
      </c>
      <c r="I334" s="19" t="s">
        <v>39</v>
      </c>
      <c r="K334" s="73" t="s">
        <v>42</v>
      </c>
      <c r="L334" s="6">
        <v>32</v>
      </c>
      <c r="M334" s="7">
        <v>485.6</v>
      </c>
      <c r="O334" s="9">
        <v>752</v>
      </c>
      <c r="P334" s="141"/>
      <c r="Q334" s="95"/>
      <c r="R334" s="12">
        <v>2500</v>
      </c>
      <c r="S334" s="12">
        <f t="shared" si="32"/>
        <v>1214000</v>
      </c>
      <c r="T334" s="33"/>
      <c r="U334" s="34"/>
      <c r="V334" s="15">
        <v>6700</v>
      </c>
      <c r="W334" s="16">
        <f t="shared" si="33"/>
        <v>5038400</v>
      </c>
      <c r="Z334" s="18">
        <f t="shared" si="31"/>
        <v>3824400</v>
      </c>
    </row>
    <row r="335" spans="1:31" ht="16" customHeight="1" x14ac:dyDescent="0.45">
      <c r="A335" s="1">
        <v>2504</v>
      </c>
      <c r="B335" s="2">
        <v>45748</v>
      </c>
      <c r="C335" s="24"/>
      <c r="D335" s="4" t="s">
        <v>37</v>
      </c>
      <c r="E335" s="5" t="s">
        <v>28</v>
      </c>
      <c r="G335" s="5" t="s">
        <v>28</v>
      </c>
      <c r="H335" s="19" t="s">
        <v>38</v>
      </c>
      <c r="I335" s="19" t="s">
        <v>39</v>
      </c>
      <c r="K335" s="73" t="s">
        <v>43</v>
      </c>
      <c r="L335" s="6">
        <v>32</v>
      </c>
      <c r="M335" s="7">
        <v>489.3</v>
      </c>
      <c r="O335" s="9">
        <v>749</v>
      </c>
      <c r="P335" s="141"/>
      <c r="Q335" s="95"/>
      <c r="R335" s="12">
        <v>2500</v>
      </c>
      <c r="S335" s="12">
        <f t="shared" si="32"/>
        <v>1223250</v>
      </c>
      <c r="T335" s="33"/>
      <c r="U335" s="34"/>
      <c r="V335" s="15">
        <v>6700</v>
      </c>
      <c r="W335" s="16">
        <f t="shared" si="33"/>
        <v>5018300</v>
      </c>
      <c r="Z335" s="18">
        <f t="shared" si="31"/>
        <v>3795050</v>
      </c>
    </row>
    <row r="336" spans="1:31" ht="16" customHeight="1" x14ac:dyDescent="0.45">
      <c r="A336" s="1">
        <v>2504</v>
      </c>
      <c r="B336" s="2">
        <v>45748</v>
      </c>
      <c r="C336" s="24"/>
      <c r="D336" s="4" t="s">
        <v>37</v>
      </c>
      <c r="E336" s="5" t="s">
        <v>28</v>
      </c>
      <c r="G336" s="5" t="s">
        <v>28</v>
      </c>
      <c r="H336" s="19" t="s">
        <v>38</v>
      </c>
      <c r="I336" s="19" t="s">
        <v>39</v>
      </c>
      <c r="K336" s="73" t="s">
        <v>44</v>
      </c>
      <c r="L336" s="6">
        <v>32</v>
      </c>
      <c r="M336" s="7">
        <v>486.3</v>
      </c>
      <c r="O336" s="9">
        <v>768</v>
      </c>
      <c r="P336" s="141"/>
      <c r="Q336" s="95"/>
      <c r="R336" s="12">
        <v>2500</v>
      </c>
      <c r="S336" s="12">
        <f t="shared" si="32"/>
        <v>1215750</v>
      </c>
      <c r="T336" s="33"/>
      <c r="U336" s="34"/>
      <c r="V336" s="15">
        <v>6700</v>
      </c>
      <c r="W336" s="16">
        <f t="shared" si="33"/>
        <v>5145600</v>
      </c>
      <c r="Z336" s="18">
        <f t="shared" si="31"/>
        <v>3929850</v>
      </c>
    </row>
    <row r="337" spans="1:26" ht="16" customHeight="1" x14ac:dyDescent="0.45">
      <c r="A337" s="1">
        <v>2504</v>
      </c>
      <c r="B337" s="2">
        <v>45748</v>
      </c>
      <c r="C337" s="24"/>
      <c r="D337" s="4" t="s">
        <v>37</v>
      </c>
      <c r="E337" s="5" t="s">
        <v>28</v>
      </c>
      <c r="G337" s="5" t="s">
        <v>28</v>
      </c>
      <c r="H337" s="19" t="s">
        <v>38</v>
      </c>
      <c r="I337" s="19" t="s">
        <v>39</v>
      </c>
      <c r="K337" s="73" t="s">
        <v>45</v>
      </c>
      <c r="L337" s="6">
        <v>32</v>
      </c>
      <c r="M337" s="7">
        <v>484.1</v>
      </c>
      <c r="O337" s="9">
        <v>759</v>
      </c>
      <c r="P337" s="141"/>
      <c r="Q337" s="95"/>
      <c r="R337" s="12">
        <v>2500</v>
      </c>
      <c r="S337" s="12">
        <f t="shared" si="32"/>
        <v>1210250</v>
      </c>
      <c r="T337" s="33"/>
      <c r="U337" s="34"/>
      <c r="V337" s="15">
        <v>6700</v>
      </c>
      <c r="W337" s="16">
        <f t="shared" si="33"/>
        <v>5085300</v>
      </c>
      <c r="Z337" s="18">
        <f t="shared" si="31"/>
        <v>3875050</v>
      </c>
    </row>
    <row r="338" spans="1:26" ht="16" customHeight="1" x14ac:dyDescent="0.45">
      <c r="A338" s="1">
        <v>2504</v>
      </c>
      <c r="B338" s="2">
        <v>45748</v>
      </c>
      <c r="C338" s="24"/>
      <c r="D338" s="4" t="s">
        <v>37</v>
      </c>
      <c r="E338" s="5" t="s">
        <v>28</v>
      </c>
      <c r="G338" s="5" t="s">
        <v>28</v>
      </c>
      <c r="H338" s="19" t="s">
        <v>38</v>
      </c>
      <c r="I338" s="19" t="s">
        <v>39</v>
      </c>
      <c r="K338" s="73" t="s">
        <v>46</v>
      </c>
      <c r="L338" s="6">
        <v>32</v>
      </c>
      <c r="M338" s="7">
        <v>488.2</v>
      </c>
      <c r="O338" s="9">
        <v>761</v>
      </c>
      <c r="P338" s="141"/>
      <c r="Q338" s="95"/>
      <c r="R338" s="12">
        <v>2500</v>
      </c>
      <c r="S338" s="12">
        <f t="shared" si="32"/>
        <v>1220500</v>
      </c>
      <c r="T338" s="33"/>
      <c r="U338" s="34"/>
      <c r="V338" s="15">
        <v>6700</v>
      </c>
      <c r="W338" s="16">
        <f t="shared" si="33"/>
        <v>5098700</v>
      </c>
      <c r="Z338" s="18">
        <f t="shared" si="31"/>
        <v>3878200</v>
      </c>
    </row>
    <row r="339" spans="1:26" ht="16" customHeight="1" x14ac:dyDescent="0.45">
      <c r="A339" s="1">
        <v>2504</v>
      </c>
      <c r="B339" s="2">
        <v>45748</v>
      </c>
      <c r="C339" s="24"/>
      <c r="D339" s="4" t="s">
        <v>37</v>
      </c>
      <c r="E339" s="5" t="s">
        <v>28</v>
      </c>
      <c r="G339" s="5" t="s">
        <v>28</v>
      </c>
      <c r="H339" s="19" t="s">
        <v>38</v>
      </c>
      <c r="I339" s="19" t="s">
        <v>39</v>
      </c>
      <c r="K339" s="73" t="s">
        <v>48</v>
      </c>
      <c r="L339" s="6">
        <v>32</v>
      </c>
      <c r="M339" s="7">
        <v>479.8</v>
      </c>
      <c r="O339" s="9">
        <v>762</v>
      </c>
      <c r="P339" s="141"/>
      <c r="Q339" s="95"/>
      <c r="R339" s="12">
        <v>2500</v>
      </c>
      <c r="S339" s="12">
        <f t="shared" si="32"/>
        <v>1199500</v>
      </c>
      <c r="T339" s="33"/>
      <c r="U339" s="34"/>
      <c r="V339" s="15">
        <v>6700</v>
      </c>
      <c r="W339" s="16">
        <f t="shared" si="33"/>
        <v>5105400</v>
      </c>
      <c r="Z339" s="18">
        <f t="shared" si="31"/>
        <v>3905900</v>
      </c>
    </row>
    <row r="340" spans="1:26" ht="16" customHeight="1" x14ac:dyDescent="0.45">
      <c r="A340" s="1">
        <v>2504</v>
      </c>
      <c r="B340" s="2">
        <v>45748</v>
      </c>
      <c r="C340" s="24"/>
      <c r="D340" s="4" t="s">
        <v>37</v>
      </c>
      <c r="E340" s="5" t="s">
        <v>28</v>
      </c>
      <c r="G340" s="5" t="s">
        <v>28</v>
      </c>
      <c r="H340" s="19" t="s">
        <v>38</v>
      </c>
      <c r="I340" s="19" t="s">
        <v>39</v>
      </c>
      <c r="K340" s="73" t="s">
        <v>49</v>
      </c>
      <c r="L340" s="6">
        <v>32</v>
      </c>
      <c r="M340" s="7">
        <v>492.8</v>
      </c>
      <c r="O340" s="9">
        <v>776</v>
      </c>
      <c r="P340" s="141"/>
      <c r="Q340" s="95"/>
      <c r="R340" s="12">
        <v>2500</v>
      </c>
      <c r="S340" s="12">
        <f t="shared" si="32"/>
        <v>1232000</v>
      </c>
      <c r="T340" s="33"/>
      <c r="U340" s="34"/>
      <c r="V340" s="15">
        <v>6700</v>
      </c>
      <c r="W340" s="16">
        <f t="shared" si="33"/>
        <v>5199200</v>
      </c>
      <c r="Z340" s="18">
        <f t="shared" si="31"/>
        <v>3967200</v>
      </c>
    </row>
    <row r="341" spans="1:26" ht="16" customHeight="1" x14ac:dyDescent="0.45">
      <c r="A341" s="1">
        <v>2504</v>
      </c>
      <c r="B341" s="2">
        <v>45748</v>
      </c>
      <c r="C341" s="24"/>
      <c r="D341" s="4" t="s">
        <v>37</v>
      </c>
      <c r="E341" s="5" t="s">
        <v>28</v>
      </c>
      <c r="G341" s="5" t="s">
        <v>28</v>
      </c>
      <c r="H341" s="19" t="s">
        <v>38</v>
      </c>
      <c r="I341" s="19" t="s">
        <v>39</v>
      </c>
      <c r="K341" s="73" t="s">
        <v>50</v>
      </c>
      <c r="L341" s="6">
        <v>32</v>
      </c>
      <c r="M341" s="7">
        <v>483</v>
      </c>
      <c r="O341" s="9">
        <v>756</v>
      </c>
      <c r="P341" s="141"/>
      <c r="Q341" s="95"/>
      <c r="R341" s="12">
        <v>2500</v>
      </c>
      <c r="S341" s="12">
        <f t="shared" si="32"/>
        <v>1207500</v>
      </c>
      <c r="T341" s="33"/>
      <c r="U341" s="34"/>
      <c r="V341" s="15">
        <v>6700</v>
      </c>
      <c r="W341" s="16">
        <f t="shared" si="33"/>
        <v>5065200</v>
      </c>
      <c r="Z341" s="18">
        <f t="shared" si="31"/>
        <v>3857700</v>
      </c>
    </row>
    <row r="342" spans="1:26" ht="16" customHeight="1" x14ac:dyDescent="0.45">
      <c r="A342" s="1">
        <v>2504</v>
      </c>
      <c r="B342" s="2">
        <v>45748</v>
      </c>
      <c r="C342" s="24"/>
      <c r="D342" s="4" t="s">
        <v>37</v>
      </c>
      <c r="E342" s="5" t="s">
        <v>28</v>
      </c>
      <c r="G342" s="5" t="s">
        <v>28</v>
      </c>
      <c r="H342" s="19" t="s">
        <v>38</v>
      </c>
      <c r="I342" s="19" t="s">
        <v>39</v>
      </c>
      <c r="K342" s="73" t="s">
        <v>51</v>
      </c>
      <c r="L342" s="6">
        <v>32</v>
      </c>
      <c r="M342" s="7">
        <v>484.1</v>
      </c>
      <c r="O342" s="9">
        <v>762</v>
      </c>
      <c r="P342" s="141"/>
      <c r="Q342" s="95"/>
      <c r="R342" s="12">
        <v>2500</v>
      </c>
      <c r="S342" s="12">
        <f t="shared" si="32"/>
        <v>1210250</v>
      </c>
      <c r="T342" s="33"/>
      <c r="U342" s="34"/>
      <c r="V342" s="15">
        <v>6700</v>
      </c>
      <c r="W342" s="16">
        <f t="shared" si="33"/>
        <v>5105400</v>
      </c>
      <c r="Z342" s="18">
        <f t="shared" si="31"/>
        <v>3895150</v>
      </c>
    </row>
    <row r="343" spans="1:26" ht="16" customHeight="1" x14ac:dyDescent="0.45">
      <c r="A343" s="1">
        <v>2504</v>
      </c>
      <c r="B343" s="2">
        <v>45755</v>
      </c>
      <c r="C343" s="24"/>
      <c r="D343" s="4" t="s">
        <v>37</v>
      </c>
      <c r="E343" s="5" t="s">
        <v>28</v>
      </c>
      <c r="G343" s="5" t="s">
        <v>28</v>
      </c>
      <c r="H343" s="19" t="s">
        <v>38</v>
      </c>
      <c r="I343" s="19" t="s">
        <v>39</v>
      </c>
      <c r="K343" s="73" t="s">
        <v>40</v>
      </c>
      <c r="L343" s="6">
        <v>33</v>
      </c>
      <c r="M343" s="7">
        <v>495.9</v>
      </c>
      <c r="O343" s="9">
        <v>790</v>
      </c>
      <c r="P343" s="141"/>
      <c r="Q343" s="95"/>
      <c r="R343" s="12">
        <v>2500</v>
      </c>
      <c r="S343" s="12">
        <f t="shared" si="32"/>
        <v>1239750</v>
      </c>
      <c r="T343" s="33"/>
      <c r="U343" s="34"/>
      <c r="V343" s="15">
        <v>6700</v>
      </c>
      <c r="W343" s="16">
        <f t="shared" si="33"/>
        <v>5293000</v>
      </c>
      <c r="Z343" s="18">
        <f t="shared" si="31"/>
        <v>4053250</v>
      </c>
    </row>
    <row r="344" spans="1:26" ht="16" customHeight="1" x14ac:dyDescent="0.45">
      <c r="A344" s="1">
        <v>2504</v>
      </c>
      <c r="B344" s="2">
        <v>45755</v>
      </c>
      <c r="C344" s="24"/>
      <c r="D344" s="4" t="s">
        <v>37</v>
      </c>
      <c r="E344" s="5" t="s">
        <v>28</v>
      </c>
      <c r="G344" s="5" t="s">
        <v>28</v>
      </c>
      <c r="H344" s="19" t="s">
        <v>38</v>
      </c>
      <c r="I344" s="19" t="s">
        <v>39</v>
      </c>
      <c r="K344" s="73" t="s">
        <v>41</v>
      </c>
      <c r="L344" s="6">
        <v>32</v>
      </c>
      <c r="M344" s="7">
        <v>487.5</v>
      </c>
      <c r="O344" s="9">
        <v>759</v>
      </c>
      <c r="P344" s="141"/>
      <c r="Q344" s="95"/>
      <c r="R344" s="12">
        <v>2500</v>
      </c>
      <c r="S344" s="12">
        <f t="shared" si="32"/>
        <v>1218750</v>
      </c>
      <c r="T344" s="33"/>
      <c r="U344" s="34"/>
      <c r="V344" s="15">
        <v>6700</v>
      </c>
      <c r="W344" s="16">
        <f t="shared" si="33"/>
        <v>5085300</v>
      </c>
      <c r="Z344" s="18">
        <f t="shared" si="31"/>
        <v>3866550</v>
      </c>
    </row>
    <row r="345" spans="1:26" ht="16" customHeight="1" x14ac:dyDescent="0.45">
      <c r="A345" s="1">
        <v>2504</v>
      </c>
      <c r="B345" s="2">
        <v>45755</v>
      </c>
      <c r="C345" s="24"/>
      <c r="D345" s="4" t="s">
        <v>37</v>
      </c>
      <c r="E345" s="5" t="s">
        <v>28</v>
      </c>
      <c r="G345" s="5" t="s">
        <v>28</v>
      </c>
      <c r="H345" s="19" t="s">
        <v>38</v>
      </c>
      <c r="I345" s="19" t="s">
        <v>39</v>
      </c>
      <c r="K345" s="73" t="s">
        <v>42</v>
      </c>
      <c r="L345" s="6">
        <v>33</v>
      </c>
      <c r="M345" s="7">
        <v>496.6</v>
      </c>
      <c r="O345" s="9">
        <v>783</v>
      </c>
      <c r="P345" s="141"/>
      <c r="Q345" s="95"/>
      <c r="R345" s="12">
        <v>2500</v>
      </c>
      <c r="S345" s="12">
        <f t="shared" si="32"/>
        <v>1241500</v>
      </c>
      <c r="T345" s="33"/>
      <c r="U345" s="34"/>
      <c r="V345" s="15">
        <v>6700</v>
      </c>
      <c r="W345" s="16">
        <f t="shared" si="33"/>
        <v>5246100</v>
      </c>
      <c r="Z345" s="18">
        <f t="shared" si="31"/>
        <v>4004600</v>
      </c>
    </row>
    <row r="346" spans="1:26" ht="16" customHeight="1" x14ac:dyDescent="0.45">
      <c r="A346" s="1">
        <v>2504</v>
      </c>
      <c r="B346" s="2">
        <v>45755</v>
      </c>
      <c r="C346" s="24"/>
      <c r="D346" s="4" t="s">
        <v>37</v>
      </c>
      <c r="E346" s="5" t="s">
        <v>28</v>
      </c>
      <c r="G346" s="5" t="s">
        <v>28</v>
      </c>
      <c r="H346" s="19" t="s">
        <v>38</v>
      </c>
      <c r="I346" s="19" t="s">
        <v>39</v>
      </c>
      <c r="K346" s="73" t="s">
        <v>43</v>
      </c>
      <c r="L346" s="6">
        <v>33</v>
      </c>
      <c r="M346" s="7">
        <v>500.3</v>
      </c>
      <c r="O346" s="9">
        <v>780</v>
      </c>
      <c r="P346" s="141"/>
      <c r="Q346" s="95"/>
      <c r="R346" s="12">
        <v>2500</v>
      </c>
      <c r="S346" s="12">
        <f t="shared" si="32"/>
        <v>1250750</v>
      </c>
      <c r="T346" s="33"/>
      <c r="U346" s="34"/>
      <c r="V346" s="15">
        <v>6700</v>
      </c>
      <c r="W346" s="16">
        <f t="shared" si="33"/>
        <v>5226000</v>
      </c>
      <c r="Z346" s="18">
        <f t="shared" si="31"/>
        <v>3975250</v>
      </c>
    </row>
    <row r="347" spans="1:26" ht="16" customHeight="1" x14ac:dyDescent="0.45">
      <c r="A347" s="1">
        <v>2504</v>
      </c>
      <c r="B347" s="2">
        <v>45755</v>
      </c>
      <c r="C347" s="24"/>
      <c r="D347" s="4" t="s">
        <v>37</v>
      </c>
      <c r="E347" s="5" t="s">
        <v>28</v>
      </c>
      <c r="G347" s="5" t="s">
        <v>28</v>
      </c>
      <c r="H347" s="19" t="s">
        <v>38</v>
      </c>
      <c r="I347" s="19" t="s">
        <v>39</v>
      </c>
      <c r="K347" s="73" t="s">
        <v>44</v>
      </c>
      <c r="L347" s="6">
        <v>33</v>
      </c>
      <c r="M347" s="7">
        <v>500.1</v>
      </c>
      <c r="O347" s="9">
        <v>805</v>
      </c>
      <c r="P347" s="141"/>
      <c r="Q347" s="95"/>
      <c r="R347" s="12">
        <v>2500</v>
      </c>
      <c r="S347" s="12">
        <f t="shared" si="32"/>
        <v>1250250</v>
      </c>
      <c r="T347" s="33"/>
      <c r="U347" s="34"/>
      <c r="V347" s="15">
        <v>6700</v>
      </c>
      <c r="W347" s="16">
        <f t="shared" si="33"/>
        <v>5393500</v>
      </c>
      <c r="Z347" s="18">
        <f t="shared" si="31"/>
        <v>4143250</v>
      </c>
    </row>
    <row r="348" spans="1:26" ht="16" customHeight="1" x14ac:dyDescent="0.45">
      <c r="A348" s="1">
        <v>2504</v>
      </c>
      <c r="B348" s="2">
        <v>45762</v>
      </c>
      <c r="C348" s="24"/>
      <c r="D348" s="4" t="s">
        <v>37</v>
      </c>
      <c r="E348" s="5" t="s">
        <v>28</v>
      </c>
      <c r="G348" s="5" t="s">
        <v>28</v>
      </c>
      <c r="H348" s="19" t="s">
        <v>38</v>
      </c>
      <c r="I348" s="19" t="s">
        <v>39</v>
      </c>
      <c r="K348" s="73" t="s">
        <v>45</v>
      </c>
      <c r="L348" s="6">
        <v>32</v>
      </c>
      <c r="M348" s="7">
        <v>477.3</v>
      </c>
      <c r="O348" s="9">
        <v>751</v>
      </c>
      <c r="P348" s="141"/>
      <c r="Q348" s="95"/>
      <c r="R348" s="12">
        <v>2500</v>
      </c>
      <c r="S348" s="12">
        <f t="shared" si="32"/>
        <v>1193250</v>
      </c>
      <c r="T348" s="33"/>
      <c r="U348" s="34"/>
      <c r="V348" s="15">
        <v>6700</v>
      </c>
      <c r="W348" s="16">
        <f t="shared" si="33"/>
        <v>5031700</v>
      </c>
      <c r="Z348" s="18">
        <f t="shared" si="31"/>
        <v>3838450</v>
      </c>
    </row>
    <row r="349" spans="1:26" ht="16" customHeight="1" x14ac:dyDescent="0.45">
      <c r="A349" s="1">
        <v>2504</v>
      </c>
      <c r="B349" s="2">
        <v>45762</v>
      </c>
      <c r="C349" s="24"/>
      <c r="D349" s="4" t="s">
        <v>37</v>
      </c>
      <c r="E349" s="5" t="s">
        <v>28</v>
      </c>
      <c r="G349" s="5" t="s">
        <v>28</v>
      </c>
      <c r="H349" s="19" t="s">
        <v>38</v>
      </c>
      <c r="I349" s="19" t="s">
        <v>39</v>
      </c>
      <c r="K349" s="73" t="s">
        <v>46</v>
      </c>
      <c r="L349" s="6">
        <v>32</v>
      </c>
      <c r="M349" s="7">
        <v>488.2</v>
      </c>
      <c r="O349" s="9">
        <v>758</v>
      </c>
      <c r="P349" s="141"/>
      <c r="Q349" s="95"/>
      <c r="R349" s="12">
        <v>2500</v>
      </c>
      <c r="S349" s="12">
        <f t="shared" si="32"/>
        <v>1220500</v>
      </c>
      <c r="T349" s="33"/>
      <c r="U349" s="34"/>
      <c r="V349" s="15">
        <v>6700</v>
      </c>
      <c r="W349" s="16">
        <f t="shared" si="33"/>
        <v>5078600</v>
      </c>
      <c r="Z349" s="18">
        <f t="shared" si="31"/>
        <v>3858100</v>
      </c>
    </row>
    <row r="350" spans="1:26" ht="16" customHeight="1" x14ac:dyDescent="0.45">
      <c r="A350" s="1">
        <v>2504</v>
      </c>
      <c r="B350" s="2">
        <v>45762</v>
      </c>
      <c r="C350" s="24"/>
      <c r="D350" s="4" t="s">
        <v>37</v>
      </c>
      <c r="E350" s="5" t="s">
        <v>28</v>
      </c>
      <c r="G350" s="5" t="s">
        <v>28</v>
      </c>
      <c r="H350" s="19" t="s">
        <v>38</v>
      </c>
      <c r="I350" s="19" t="s">
        <v>39</v>
      </c>
      <c r="K350" s="73" t="s">
        <v>48</v>
      </c>
      <c r="L350" s="6">
        <v>32</v>
      </c>
      <c r="M350" s="7">
        <v>471.9</v>
      </c>
      <c r="O350" s="9">
        <v>729</v>
      </c>
      <c r="P350" s="141"/>
      <c r="Q350" s="95"/>
      <c r="R350" s="12">
        <v>2500</v>
      </c>
      <c r="S350" s="12">
        <f t="shared" si="32"/>
        <v>1179750</v>
      </c>
      <c r="T350" s="33"/>
      <c r="U350" s="34"/>
      <c r="V350" s="15">
        <v>6700</v>
      </c>
      <c r="W350" s="16">
        <f t="shared" si="33"/>
        <v>4884300</v>
      </c>
      <c r="Z350" s="18">
        <f t="shared" si="31"/>
        <v>3704550</v>
      </c>
    </row>
    <row r="351" spans="1:26" ht="16" customHeight="1" x14ac:dyDescent="0.45">
      <c r="A351" s="1">
        <v>2504</v>
      </c>
      <c r="B351" s="2">
        <v>45762</v>
      </c>
      <c r="C351" s="24"/>
      <c r="D351" s="4" t="s">
        <v>37</v>
      </c>
      <c r="E351" s="5" t="s">
        <v>28</v>
      </c>
      <c r="G351" s="5" t="s">
        <v>28</v>
      </c>
      <c r="H351" s="19" t="s">
        <v>38</v>
      </c>
      <c r="I351" s="19" t="s">
        <v>39</v>
      </c>
      <c r="K351" s="73" t="s">
        <v>49</v>
      </c>
      <c r="L351" s="6">
        <v>32</v>
      </c>
      <c r="M351" s="7">
        <v>477.3</v>
      </c>
      <c r="O351" s="9">
        <v>743</v>
      </c>
      <c r="P351" s="141"/>
      <c r="Q351" s="95"/>
      <c r="R351" s="12">
        <v>2500</v>
      </c>
      <c r="S351" s="12">
        <f t="shared" si="32"/>
        <v>1193250</v>
      </c>
      <c r="T351" s="33"/>
      <c r="U351" s="34"/>
      <c r="V351" s="15">
        <v>6700</v>
      </c>
      <c r="W351" s="16">
        <f t="shared" si="33"/>
        <v>4978100</v>
      </c>
      <c r="Z351" s="18">
        <f t="shared" si="31"/>
        <v>3784850</v>
      </c>
    </row>
    <row r="352" spans="1:26" ht="16" customHeight="1" x14ac:dyDescent="0.45">
      <c r="A352" s="1">
        <v>2504</v>
      </c>
      <c r="B352" s="2">
        <v>45762</v>
      </c>
      <c r="C352" s="24"/>
      <c r="D352" s="4" t="s">
        <v>37</v>
      </c>
      <c r="E352" s="5" t="s">
        <v>28</v>
      </c>
      <c r="G352" s="5" t="s">
        <v>28</v>
      </c>
      <c r="H352" s="19" t="s">
        <v>38</v>
      </c>
      <c r="I352" s="19" t="s">
        <v>39</v>
      </c>
      <c r="K352" s="73" t="s">
        <v>51</v>
      </c>
      <c r="L352" s="6">
        <v>33</v>
      </c>
      <c r="M352" s="7">
        <v>478.6</v>
      </c>
      <c r="O352" s="9">
        <v>739</v>
      </c>
      <c r="P352" s="141"/>
      <c r="Q352" s="95"/>
      <c r="R352" s="12">
        <v>2500</v>
      </c>
      <c r="S352" s="12">
        <f t="shared" si="32"/>
        <v>1196500</v>
      </c>
      <c r="T352" s="33"/>
      <c r="U352" s="34"/>
      <c r="V352" s="15">
        <v>6700</v>
      </c>
      <c r="W352" s="16">
        <f t="shared" si="33"/>
        <v>4951300</v>
      </c>
      <c r="Z352" s="18">
        <f t="shared" si="31"/>
        <v>3754800</v>
      </c>
    </row>
    <row r="353" spans="1:31" ht="16" customHeight="1" x14ac:dyDescent="0.45">
      <c r="A353" s="1">
        <v>2504</v>
      </c>
      <c r="B353" s="2">
        <v>45762</v>
      </c>
      <c r="C353" s="24"/>
      <c r="D353" s="4" t="s">
        <v>37</v>
      </c>
      <c r="E353" s="5" t="s">
        <v>28</v>
      </c>
      <c r="G353" s="5" t="s">
        <v>28</v>
      </c>
      <c r="H353" s="19" t="s">
        <v>38</v>
      </c>
      <c r="I353" s="19" t="s">
        <v>39</v>
      </c>
      <c r="K353" s="73" t="s">
        <v>83</v>
      </c>
      <c r="L353" s="6">
        <v>34</v>
      </c>
      <c r="M353" s="7">
        <v>502.4</v>
      </c>
      <c r="O353" s="9">
        <v>806</v>
      </c>
      <c r="P353" s="141"/>
      <c r="Q353" s="95"/>
      <c r="R353" s="12">
        <v>2500</v>
      </c>
      <c r="S353" s="12">
        <f t="shared" si="32"/>
        <v>1256000</v>
      </c>
      <c r="T353" s="33"/>
      <c r="U353" s="34"/>
      <c r="V353" s="15">
        <v>6700</v>
      </c>
      <c r="W353" s="16">
        <f t="shared" si="33"/>
        <v>5400200</v>
      </c>
      <c r="Z353" s="18">
        <f t="shared" si="31"/>
        <v>4144200</v>
      </c>
    </row>
    <row r="354" spans="1:31" ht="16" customHeight="1" x14ac:dyDescent="0.45">
      <c r="A354" s="1">
        <v>2504</v>
      </c>
      <c r="B354" s="2">
        <v>45776</v>
      </c>
      <c r="C354" s="24"/>
      <c r="D354" s="4" t="s">
        <v>37</v>
      </c>
      <c r="E354" s="5" t="s">
        <v>28</v>
      </c>
      <c r="G354" s="5" t="s">
        <v>28</v>
      </c>
      <c r="H354" s="19" t="s">
        <v>38</v>
      </c>
      <c r="I354" s="19" t="s">
        <v>39</v>
      </c>
      <c r="K354" s="73" t="s">
        <v>85</v>
      </c>
      <c r="L354" s="6">
        <v>32</v>
      </c>
      <c r="M354" s="7">
        <v>484.9</v>
      </c>
      <c r="O354" s="9">
        <v>761</v>
      </c>
      <c r="P354" s="141"/>
      <c r="Q354" s="95"/>
      <c r="R354" s="12">
        <v>2500</v>
      </c>
      <c r="S354" s="12">
        <f t="shared" si="32"/>
        <v>1212250</v>
      </c>
      <c r="T354" s="33"/>
      <c r="U354" s="34"/>
      <c r="V354" s="15">
        <v>6700</v>
      </c>
      <c r="W354" s="16">
        <f t="shared" si="33"/>
        <v>5098700</v>
      </c>
      <c r="Z354" s="18">
        <f t="shared" si="31"/>
        <v>3886450</v>
      </c>
    </row>
    <row r="355" spans="1:31" ht="16" customHeight="1" x14ac:dyDescent="0.45">
      <c r="A355" s="1">
        <v>2504</v>
      </c>
      <c r="B355" s="2">
        <v>45776</v>
      </c>
      <c r="C355" s="24"/>
      <c r="D355" s="4" t="s">
        <v>37</v>
      </c>
      <c r="E355" s="5" t="s">
        <v>28</v>
      </c>
      <c r="G355" s="5" t="s">
        <v>28</v>
      </c>
      <c r="H355" s="19" t="s">
        <v>38</v>
      </c>
      <c r="I355" s="19" t="s">
        <v>39</v>
      </c>
      <c r="K355" s="73" t="s">
        <v>71</v>
      </c>
      <c r="L355" s="6">
        <v>32</v>
      </c>
      <c r="M355" s="7">
        <v>488</v>
      </c>
      <c r="O355" s="9">
        <v>758</v>
      </c>
      <c r="P355" s="141"/>
      <c r="Q355" s="95"/>
      <c r="R355" s="12">
        <v>2500</v>
      </c>
      <c r="S355" s="12">
        <f t="shared" si="32"/>
        <v>1220000</v>
      </c>
      <c r="T355" s="33"/>
      <c r="U355" s="34"/>
      <c r="V355" s="15">
        <v>6700</v>
      </c>
      <c r="W355" s="16">
        <f t="shared" si="33"/>
        <v>5078600</v>
      </c>
      <c r="Z355" s="18">
        <f t="shared" si="31"/>
        <v>3858600</v>
      </c>
    </row>
    <row r="356" spans="1:31" ht="16" customHeight="1" x14ac:dyDescent="0.45">
      <c r="A356" s="1">
        <v>2504</v>
      </c>
      <c r="B356" s="2">
        <v>45776</v>
      </c>
      <c r="C356" s="24"/>
      <c r="D356" s="4" t="s">
        <v>37</v>
      </c>
      <c r="E356" s="5" t="s">
        <v>28</v>
      </c>
      <c r="G356" s="5" t="s">
        <v>28</v>
      </c>
      <c r="H356" s="19" t="s">
        <v>38</v>
      </c>
      <c r="I356" s="19" t="s">
        <v>39</v>
      </c>
      <c r="K356" s="73" t="s">
        <v>72</v>
      </c>
      <c r="L356" s="6">
        <v>32</v>
      </c>
      <c r="M356" s="7">
        <v>480.3</v>
      </c>
      <c r="O356" s="9">
        <v>759</v>
      </c>
      <c r="P356" s="141"/>
      <c r="Q356" s="95"/>
      <c r="R356" s="12">
        <v>2500</v>
      </c>
      <c r="S356" s="12">
        <f t="shared" si="32"/>
        <v>1200750</v>
      </c>
      <c r="T356" s="33"/>
      <c r="U356" s="34"/>
      <c r="V356" s="15">
        <v>6700</v>
      </c>
      <c r="W356" s="16">
        <f t="shared" si="33"/>
        <v>5085300</v>
      </c>
      <c r="Z356" s="18">
        <f t="shared" si="31"/>
        <v>3884550</v>
      </c>
    </row>
    <row r="357" spans="1:31" ht="16" customHeight="1" x14ac:dyDescent="0.45">
      <c r="A357" s="1">
        <v>2504</v>
      </c>
      <c r="B357" s="2">
        <v>45776</v>
      </c>
      <c r="C357" s="24"/>
      <c r="D357" s="4" t="s">
        <v>37</v>
      </c>
      <c r="E357" s="5" t="s">
        <v>28</v>
      </c>
      <c r="G357" s="5" t="s">
        <v>28</v>
      </c>
      <c r="H357" s="19" t="s">
        <v>38</v>
      </c>
      <c r="I357" s="19" t="s">
        <v>39</v>
      </c>
      <c r="K357" s="73" t="s">
        <v>73</v>
      </c>
      <c r="L357" s="6">
        <v>33</v>
      </c>
      <c r="M357" s="7">
        <v>500.4</v>
      </c>
      <c r="O357" s="9">
        <v>787</v>
      </c>
      <c r="P357" s="141"/>
      <c r="Q357" s="95"/>
      <c r="R357" s="12">
        <v>2500</v>
      </c>
      <c r="S357" s="12">
        <f t="shared" si="32"/>
        <v>1251000</v>
      </c>
      <c r="T357" s="33"/>
      <c r="U357" s="34"/>
      <c r="V357" s="15">
        <v>6700</v>
      </c>
      <c r="W357" s="16">
        <f t="shared" si="33"/>
        <v>5272900</v>
      </c>
      <c r="Z357" s="18">
        <f t="shared" si="31"/>
        <v>4021900</v>
      </c>
    </row>
    <row r="358" spans="1:31" ht="16" customHeight="1" x14ac:dyDescent="0.45">
      <c r="A358" s="1">
        <v>2504</v>
      </c>
      <c r="B358" s="2">
        <v>45776</v>
      </c>
      <c r="C358" s="24"/>
      <c r="D358" s="4" t="s">
        <v>37</v>
      </c>
      <c r="E358" s="5" t="s">
        <v>28</v>
      </c>
      <c r="G358" s="5" t="s">
        <v>28</v>
      </c>
      <c r="H358" s="19" t="s">
        <v>38</v>
      </c>
      <c r="I358" s="19" t="s">
        <v>39</v>
      </c>
      <c r="K358" s="73" t="s">
        <v>136</v>
      </c>
      <c r="L358" s="6">
        <v>27</v>
      </c>
      <c r="M358" s="7">
        <v>407.8</v>
      </c>
      <c r="O358" s="9">
        <v>647</v>
      </c>
      <c r="P358" s="141"/>
      <c r="Q358" s="95"/>
      <c r="R358" s="12">
        <v>2500</v>
      </c>
      <c r="S358" s="12">
        <f t="shared" si="32"/>
        <v>1019500</v>
      </c>
      <c r="T358" s="33"/>
      <c r="U358" s="34"/>
      <c r="V358" s="15">
        <v>6700</v>
      </c>
      <c r="W358" s="16">
        <f t="shared" si="33"/>
        <v>4334900</v>
      </c>
      <c r="Z358" s="18">
        <f t="shared" si="31"/>
        <v>3315400</v>
      </c>
    </row>
    <row r="359" spans="1:31" ht="16" customHeight="1" x14ac:dyDescent="0.45">
      <c r="A359" s="1">
        <v>2504</v>
      </c>
      <c r="B359" s="2">
        <v>45776</v>
      </c>
      <c r="C359" s="24"/>
      <c r="D359" s="4" t="s">
        <v>37</v>
      </c>
      <c r="E359" s="5" t="s">
        <v>28</v>
      </c>
      <c r="G359" s="5" t="s">
        <v>28</v>
      </c>
      <c r="H359" s="19" t="s">
        <v>38</v>
      </c>
      <c r="I359" s="19" t="s">
        <v>39</v>
      </c>
      <c r="K359" s="73" t="s">
        <v>107</v>
      </c>
      <c r="L359" s="6">
        <v>27</v>
      </c>
      <c r="M359" s="7">
        <v>411.3</v>
      </c>
      <c r="O359" s="9">
        <v>652</v>
      </c>
      <c r="P359" s="141"/>
      <c r="Q359" s="95"/>
      <c r="R359" s="12">
        <v>2500</v>
      </c>
      <c r="S359" s="12">
        <f t="shared" si="32"/>
        <v>1028250</v>
      </c>
      <c r="T359" s="33"/>
      <c r="U359" s="34"/>
      <c r="V359" s="15">
        <v>6700</v>
      </c>
      <c r="W359" s="16">
        <f t="shared" si="33"/>
        <v>4368400</v>
      </c>
      <c r="Z359" s="18">
        <f t="shared" si="31"/>
        <v>3340150</v>
      </c>
    </row>
    <row r="360" spans="1:31" ht="16" customHeight="1" x14ac:dyDescent="0.45">
      <c r="A360" s="1">
        <v>2504</v>
      </c>
      <c r="B360" s="2">
        <v>45776</v>
      </c>
      <c r="C360" s="24"/>
      <c r="D360" s="4" t="s">
        <v>37</v>
      </c>
      <c r="E360" s="5" t="s">
        <v>28</v>
      </c>
      <c r="G360" s="5" t="s">
        <v>28</v>
      </c>
      <c r="H360" s="19" t="s">
        <v>38</v>
      </c>
      <c r="I360" s="19" t="s">
        <v>39</v>
      </c>
      <c r="K360" s="73" t="s">
        <v>139</v>
      </c>
      <c r="L360" s="6">
        <v>26</v>
      </c>
      <c r="M360" s="7">
        <v>393.1</v>
      </c>
      <c r="O360" s="9">
        <v>622</v>
      </c>
      <c r="P360" s="141"/>
      <c r="Q360" s="95"/>
      <c r="R360" s="12">
        <v>2500</v>
      </c>
      <c r="S360" s="12">
        <f t="shared" si="32"/>
        <v>982750</v>
      </c>
      <c r="T360" s="33"/>
      <c r="U360" s="34"/>
      <c r="V360" s="15">
        <v>6700</v>
      </c>
      <c r="W360" s="16">
        <f t="shared" si="33"/>
        <v>4167400</v>
      </c>
      <c r="Z360" s="18">
        <f t="shared" si="31"/>
        <v>3184650</v>
      </c>
    </row>
    <row r="361" spans="1:31" ht="16" customHeight="1" x14ac:dyDescent="0.45">
      <c r="A361" s="1">
        <v>2504</v>
      </c>
      <c r="B361" s="2">
        <v>45777</v>
      </c>
      <c r="D361" s="144" t="s">
        <v>159</v>
      </c>
      <c r="G361" s="5" t="s">
        <v>28</v>
      </c>
      <c r="H361" s="19" t="s">
        <v>189</v>
      </c>
      <c r="N361" s="8">
        <v>23866</v>
      </c>
      <c r="R361" s="12">
        <v>130</v>
      </c>
      <c r="S361" s="12">
        <f t="shared" ref="S361:S366" si="34">N361*R361</f>
        <v>3102580</v>
      </c>
      <c r="Z361" s="18">
        <f t="shared" si="31"/>
        <v>-3102580</v>
      </c>
    </row>
    <row r="362" spans="1:31" s="21" customFormat="1" ht="16" customHeight="1" x14ac:dyDescent="0.45">
      <c r="A362" s="1">
        <v>2504</v>
      </c>
      <c r="B362" s="2">
        <v>45757</v>
      </c>
      <c r="C362" s="3"/>
      <c r="D362" s="4" t="s">
        <v>3</v>
      </c>
      <c r="E362" s="5" t="s">
        <v>211</v>
      </c>
      <c r="F362" s="5"/>
      <c r="G362" s="5" t="s">
        <v>1</v>
      </c>
      <c r="H362" s="19" t="s">
        <v>2</v>
      </c>
      <c r="I362" s="19" t="s">
        <v>56</v>
      </c>
      <c r="J362" s="19"/>
      <c r="K362" s="20">
        <v>18</v>
      </c>
      <c r="L362" s="6">
        <v>8</v>
      </c>
      <c r="M362" s="7">
        <v>97.3</v>
      </c>
      <c r="N362" s="8">
        <v>1527</v>
      </c>
      <c r="O362" s="9"/>
      <c r="P362" s="10"/>
      <c r="Q362" s="11"/>
      <c r="R362" s="12">
        <v>500</v>
      </c>
      <c r="S362" s="12">
        <f t="shared" si="34"/>
        <v>763500</v>
      </c>
      <c r="T362" s="13"/>
      <c r="U362" s="14"/>
      <c r="V362" s="15"/>
      <c r="W362" s="16"/>
      <c r="X362" s="12"/>
      <c r="Y362" s="17"/>
      <c r="Z362" s="18">
        <f t="shared" si="31"/>
        <v>-763500</v>
      </c>
      <c r="AA362" s="17"/>
      <c r="AB362" s="17"/>
      <c r="AC362" s="17"/>
      <c r="AD362" s="17"/>
      <c r="AE362" s="17"/>
    </row>
    <row r="363" spans="1:31" ht="16" customHeight="1" x14ac:dyDescent="0.45">
      <c r="A363" s="1">
        <v>2504</v>
      </c>
      <c r="B363" s="2">
        <v>45763</v>
      </c>
      <c r="D363" s="4" t="s">
        <v>3</v>
      </c>
      <c r="E363" s="5" t="s">
        <v>211</v>
      </c>
      <c r="G363" s="5" t="s">
        <v>1</v>
      </c>
      <c r="H363" s="19" t="s">
        <v>2</v>
      </c>
      <c r="I363" s="19" t="s">
        <v>56</v>
      </c>
      <c r="K363" s="73">
        <v>19</v>
      </c>
      <c r="L363" s="6">
        <v>6</v>
      </c>
      <c r="M363" s="7">
        <v>95.3</v>
      </c>
      <c r="N363" s="8">
        <v>1473</v>
      </c>
      <c r="R363" s="12">
        <v>500</v>
      </c>
      <c r="S363" s="12">
        <f t="shared" si="34"/>
        <v>736500</v>
      </c>
      <c r="Z363" s="18">
        <f t="shared" si="31"/>
        <v>-736500</v>
      </c>
    </row>
    <row r="364" spans="1:31" ht="16" customHeight="1" x14ac:dyDescent="0.45">
      <c r="A364" s="1">
        <v>2504</v>
      </c>
      <c r="B364" s="2">
        <v>45763</v>
      </c>
      <c r="D364" s="4" t="s">
        <v>3</v>
      </c>
      <c r="E364" s="5" t="s">
        <v>211</v>
      </c>
      <c r="G364" s="5" t="s">
        <v>1</v>
      </c>
      <c r="H364" s="19" t="s">
        <v>2</v>
      </c>
      <c r="I364" s="19" t="s">
        <v>54</v>
      </c>
      <c r="K364" s="73">
        <v>3</v>
      </c>
      <c r="L364" s="6">
        <v>7</v>
      </c>
      <c r="M364" s="7">
        <v>99</v>
      </c>
      <c r="N364" s="8">
        <v>1458</v>
      </c>
      <c r="R364" s="12">
        <v>500</v>
      </c>
      <c r="S364" s="12">
        <f t="shared" si="34"/>
        <v>729000</v>
      </c>
      <c r="Z364" s="18">
        <f t="shared" si="31"/>
        <v>-729000</v>
      </c>
    </row>
    <row r="365" spans="1:31" ht="16" customHeight="1" x14ac:dyDescent="0.45">
      <c r="A365" s="1">
        <v>2504</v>
      </c>
      <c r="B365" s="2">
        <v>45772</v>
      </c>
      <c r="D365" s="4" t="s">
        <v>3</v>
      </c>
      <c r="E365" s="5" t="s">
        <v>211</v>
      </c>
      <c r="G365" s="5" t="s">
        <v>1</v>
      </c>
      <c r="H365" s="19" t="s">
        <v>2</v>
      </c>
      <c r="I365" s="19" t="s">
        <v>53</v>
      </c>
      <c r="K365" s="73">
        <v>29</v>
      </c>
      <c r="L365" s="6">
        <v>6</v>
      </c>
      <c r="M365" s="7">
        <v>90.1</v>
      </c>
      <c r="N365" s="8">
        <v>1400</v>
      </c>
      <c r="R365" s="12">
        <v>550</v>
      </c>
      <c r="S365" s="12">
        <f t="shared" si="34"/>
        <v>770000</v>
      </c>
      <c r="Z365" s="18">
        <f t="shared" si="31"/>
        <v>-770000</v>
      </c>
    </row>
    <row r="366" spans="1:31" ht="16" customHeight="1" x14ac:dyDescent="0.45">
      <c r="A366" s="1">
        <v>2504</v>
      </c>
      <c r="B366" s="2">
        <v>45749</v>
      </c>
      <c r="D366" s="144" t="s">
        <v>3</v>
      </c>
      <c r="E366" s="5" t="s">
        <v>211</v>
      </c>
      <c r="G366" s="5" t="s">
        <v>1</v>
      </c>
      <c r="H366" s="19" t="s">
        <v>2</v>
      </c>
      <c r="I366" s="19" t="s">
        <v>130</v>
      </c>
      <c r="L366" s="6">
        <v>7</v>
      </c>
      <c r="M366" s="7">
        <v>97.2</v>
      </c>
      <c r="N366" s="8">
        <v>1491</v>
      </c>
      <c r="R366" s="12">
        <v>550</v>
      </c>
      <c r="S366" s="12">
        <f t="shared" si="34"/>
        <v>820050</v>
      </c>
      <c r="Z366" s="18">
        <f t="shared" si="31"/>
        <v>-820050</v>
      </c>
    </row>
    <row r="367" spans="1:31" ht="16" customHeight="1" x14ac:dyDescent="0.45">
      <c r="A367" s="1">
        <v>2504</v>
      </c>
      <c r="B367" s="40">
        <v>45755</v>
      </c>
      <c r="C367" s="41"/>
      <c r="D367" s="37" t="s">
        <v>3</v>
      </c>
      <c r="E367" s="42" t="s">
        <v>369</v>
      </c>
      <c r="F367" s="42"/>
      <c r="G367" s="42" t="s">
        <v>369</v>
      </c>
      <c r="H367" s="43" t="s">
        <v>370</v>
      </c>
      <c r="I367" s="43" t="s">
        <v>184</v>
      </c>
      <c r="J367" s="43"/>
      <c r="K367" s="44"/>
      <c r="L367" s="45"/>
      <c r="M367" s="46"/>
      <c r="N367" s="47">
        <v>50</v>
      </c>
      <c r="O367" s="48"/>
      <c r="R367" s="90"/>
      <c r="S367" s="90">
        <v>110000</v>
      </c>
      <c r="T367" s="49"/>
      <c r="U367" s="50"/>
      <c r="V367" s="51"/>
      <c r="W367" s="52"/>
      <c r="X367" s="90"/>
      <c r="Y367" s="39"/>
      <c r="Z367" s="18">
        <f t="shared" si="31"/>
        <v>-110000</v>
      </c>
    </row>
    <row r="368" spans="1:31" ht="16" customHeight="1" x14ac:dyDescent="0.45">
      <c r="A368" s="1">
        <v>2504</v>
      </c>
      <c r="B368" s="2">
        <v>45755</v>
      </c>
      <c r="D368" s="4" t="s">
        <v>3</v>
      </c>
      <c r="E368" s="5" t="s">
        <v>114</v>
      </c>
      <c r="G368" s="5" t="s">
        <v>114</v>
      </c>
      <c r="H368" s="19" t="s">
        <v>370</v>
      </c>
      <c r="I368" s="19" t="s">
        <v>184</v>
      </c>
      <c r="N368" s="8">
        <v>52</v>
      </c>
      <c r="Z368" s="18">
        <f t="shared" si="31"/>
        <v>0</v>
      </c>
    </row>
    <row r="369" spans="1:31" ht="16" customHeight="1" x14ac:dyDescent="0.45">
      <c r="A369" s="1">
        <v>2504</v>
      </c>
      <c r="B369" s="2">
        <v>45763</v>
      </c>
      <c r="D369" s="4" t="s">
        <v>123</v>
      </c>
      <c r="E369" s="5" t="s">
        <v>37</v>
      </c>
      <c r="G369" s="5" t="s">
        <v>5</v>
      </c>
      <c r="H369" s="19" t="s">
        <v>131</v>
      </c>
      <c r="K369" s="73"/>
      <c r="L369" s="6">
        <v>9</v>
      </c>
      <c r="M369" s="7">
        <v>184.5</v>
      </c>
      <c r="R369" s="12">
        <v>3700</v>
      </c>
      <c r="S369" s="12">
        <f>M369*R369</f>
        <v>682650</v>
      </c>
      <c r="Z369" s="18">
        <f t="shared" si="31"/>
        <v>-682650</v>
      </c>
    </row>
    <row r="370" spans="1:31" ht="16" customHeight="1" x14ac:dyDescent="0.45">
      <c r="A370" s="1">
        <v>2504</v>
      </c>
      <c r="B370" s="23">
        <v>45758</v>
      </c>
      <c r="C370" s="24"/>
      <c r="D370" s="25"/>
      <c r="E370" s="26" t="s">
        <v>388</v>
      </c>
      <c r="F370" s="26"/>
      <c r="G370" s="26" t="s">
        <v>1</v>
      </c>
      <c r="H370" s="27" t="s">
        <v>389</v>
      </c>
      <c r="I370" s="27" t="s">
        <v>53</v>
      </c>
      <c r="J370" s="27" t="s">
        <v>390</v>
      </c>
      <c r="K370" s="28"/>
      <c r="L370" s="29"/>
      <c r="M370" s="30"/>
      <c r="N370" s="31"/>
      <c r="O370" s="32"/>
      <c r="P370" s="91"/>
      <c r="Q370" s="92"/>
      <c r="R370" s="93"/>
      <c r="S370" s="93"/>
      <c r="T370" s="33"/>
      <c r="U370" s="34"/>
      <c r="V370" s="35"/>
      <c r="W370" s="36"/>
      <c r="X370" s="93"/>
      <c r="Y370" s="21"/>
      <c r="Z370" s="18">
        <f t="shared" si="31"/>
        <v>0</v>
      </c>
    </row>
    <row r="371" spans="1:31" ht="16" customHeight="1" x14ac:dyDescent="0.45">
      <c r="A371" s="1">
        <v>2504</v>
      </c>
      <c r="B371" s="23">
        <v>45772</v>
      </c>
      <c r="C371" s="24"/>
      <c r="D371" s="25"/>
      <c r="E371" s="26" t="s">
        <v>369</v>
      </c>
      <c r="F371" s="26"/>
      <c r="G371" s="26" t="s">
        <v>369</v>
      </c>
      <c r="H371" s="27" t="s">
        <v>370</v>
      </c>
      <c r="I371" s="27" t="s">
        <v>184</v>
      </c>
      <c r="J371" s="27"/>
      <c r="K371" s="38"/>
      <c r="L371" s="29"/>
      <c r="M371" s="30"/>
      <c r="N371" s="31">
        <v>80</v>
      </c>
      <c r="O371" s="32"/>
      <c r="P371" s="91"/>
      <c r="Q371" s="92"/>
      <c r="R371" s="93"/>
      <c r="S371" s="93"/>
      <c r="T371" s="33"/>
      <c r="U371" s="34"/>
      <c r="V371" s="35">
        <v>1750</v>
      </c>
      <c r="W371" s="36">
        <f>N371*V371</f>
        <v>140000</v>
      </c>
      <c r="X371" s="93"/>
      <c r="Y371" s="21"/>
      <c r="Z371" s="18">
        <f t="shared" si="31"/>
        <v>140000</v>
      </c>
    </row>
    <row r="372" spans="1:31" s="39" customFormat="1" ht="16" customHeight="1" x14ac:dyDescent="0.45">
      <c r="A372" s="1">
        <v>2505</v>
      </c>
      <c r="B372" s="2">
        <v>45796</v>
      </c>
      <c r="C372" s="3"/>
      <c r="D372" s="4" t="s">
        <v>0</v>
      </c>
      <c r="E372" s="5" t="s">
        <v>3</v>
      </c>
      <c r="F372" s="5"/>
      <c r="G372" s="5" t="s">
        <v>1</v>
      </c>
      <c r="H372" s="19" t="s">
        <v>2</v>
      </c>
      <c r="I372" s="19"/>
      <c r="J372" s="19"/>
      <c r="K372" s="20"/>
      <c r="L372" s="6">
        <v>36</v>
      </c>
      <c r="M372" s="7">
        <v>626.5</v>
      </c>
      <c r="N372" s="8"/>
      <c r="O372" s="9"/>
      <c r="P372" s="10"/>
      <c r="Q372" s="11"/>
      <c r="R372" s="12">
        <v>3800</v>
      </c>
      <c r="S372" s="12">
        <f>M372*R372</f>
        <v>2380700</v>
      </c>
      <c r="T372" s="13"/>
      <c r="U372" s="14"/>
      <c r="V372" s="15"/>
      <c r="W372" s="16"/>
      <c r="X372" s="12"/>
      <c r="Y372" s="17"/>
      <c r="Z372" s="18">
        <f t="shared" si="31"/>
        <v>-2380700</v>
      </c>
      <c r="AA372" s="17"/>
      <c r="AB372" s="17"/>
      <c r="AC372" s="17"/>
      <c r="AD372" s="17"/>
      <c r="AE372" s="17"/>
    </row>
    <row r="373" spans="1:31" ht="16" customHeight="1" x14ac:dyDescent="0.45">
      <c r="A373" s="1">
        <v>2505</v>
      </c>
      <c r="B373" s="2">
        <v>45792</v>
      </c>
      <c r="D373" s="4" t="s">
        <v>226</v>
      </c>
      <c r="E373" s="5" t="s">
        <v>3</v>
      </c>
      <c r="G373" s="5" t="s">
        <v>1</v>
      </c>
      <c r="H373" s="19" t="s">
        <v>237</v>
      </c>
      <c r="L373" s="6">
        <v>7</v>
      </c>
      <c r="M373" s="7">
        <v>70</v>
      </c>
      <c r="P373" s="10">
        <v>18500</v>
      </c>
      <c r="Q373" s="11">
        <f>M373*P373</f>
        <v>1295000</v>
      </c>
      <c r="Z373" s="18">
        <f t="shared" si="31"/>
        <v>-1295000</v>
      </c>
    </row>
    <row r="374" spans="1:31" s="21" customFormat="1" ht="16" customHeight="1" x14ac:dyDescent="0.45">
      <c r="A374" s="1">
        <v>2505</v>
      </c>
      <c r="B374" s="2">
        <v>45778</v>
      </c>
      <c r="C374" s="3"/>
      <c r="D374" s="4" t="s">
        <v>198</v>
      </c>
      <c r="E374" s="5" t="s">
        <v>27</v>
      </c>
      <c r="F374" s="5"/>
      <c r="G374" s="5" t="s">
        <v>28</v>
      </c>
      <c r="H374" s="19" t="s">
        <v>294</v>
      </c>
      <c r="I374" s="19"/>
      <c r="J374" s="19"/>
      <c r="K374" s="73"/>
      <c r="L374" s="6">
        <v>3</v>
      </c>
      <c r="M374" s="7">
        <v>643.29999999999995</v>
      </c>
      <c r="N374" s="8"/>
      <c r="O374" s="9"/>
      <c r="P374" s="10"/>
      <c r="Q374" s="11"/>
      <c r="R374" s="12">
        <v>1200</v>
      </c>
      <c r="S374" s="12">
        <f>M374*R374</f>
        <v>771960</v>
      </c>
      <c r="T374" s="13"/>
      <c r="U374" s="14"/>
      <c r="V374" s="15"/>
      <c r="W374" s="16"/>
      <c r="X374" s="12"/>
      <c r="Y374" s="17"/>
      <c r="Z374" s="18">
        <f t="shared" si="31"/>
        <v>-771960</v>
      </c>
      <c r="AA374" s="17"/>
      <c r="AB374" s="17"/>
      <c r="AC374" s="17"/>
      <c r="AD374" s="17"/>
      <c r="AE374" s="17"/>
    </row>
    <row r="375" spans="1:31" ht="16" customHeight="1" x14ac:dyDescent="0.45">
      <c r="A375" s="1">
        <v>2505</v>
      </c>
      <c r="B375" s="2">
        <v>45786</v>
      </c>
      <c r="D375" s="4" t="s">
        <v>198</v>
      </c>
      <c r="E375" s="5" t="s">
        <v>27</v>
      </c>
      <c r="G375" s="5" t="s">
        <v>28</v>
      </c>
      <c r="H375" s="19" t="s">
        <v>294</v>
      </c>
      <c r="K375" s="73"/>
      <c r="L375" s="6">
        <v>3</v>
      </c>
      <c r="M375" s="7">
        <v>643.29999999999995</v>
      </c>
      <c r="R375" s="12">
        <v>1200</v>
      </c>
      <c r="S375" s="12">
        <f>M375*R375</f>
        <v>771960</v>
      </c>
      <c r="Z375" s="18">
        <f t="shared" si="31"/>
        <v>-771960</v>
      </c>
    </row>
    <row r="376" spans="1:31" s="21" customFormat="1" ht="16" customHeight="1" x14ac:dyDescent="0.45">
      <c r="A376" s="1">
        <v>2505</v>
      </c>
      <c r="B376" s="2">
        <v>45786</v>
      </c>
      <c r="C376" s="3"/>
      <c r="D376" s="4" t="s">
        <v>198</v>
      </c>
      <c r="E376" s="5" t="s">
        <v>27</v>
      </c>
      <c r="F376" s="5"/>
      <c r="G376" s="5" t="s">
        <v>28</v>
      </c>
      <c r="H376" s="19" t="s">
        <v>294</v>
      </c>
      <c r="I376" s="75">
        <v>3206</v>
      </c>
      <c r="J376" s="19"/>
      <c r="K376" s="73"/>
      <c r="L376" s="6"/>
      <c r="M376" s="7">
        <v>472.3</v>
      </c>
      <c r="N376" s="8"/>
      <c r="O376" s="9"/>
      <c r="P376" s="10"/>
      <c r="Q376" s="11"/>
      <c r="R376" s="12">
        <v>1200</v>
      </c>
      <c r="S376" s="12">
        <f>M376*R376</f>
        <v>566760</v>
      </c>
      <c r="T376" s="13"/>
      <c r="U376" s="14"/>
      <c r="V376" s="15"/>
      <c r="W376" s="16"/>
      <c r="X376" s="12"/>
      <c r="Y376" s="17"/>
      <c r="Z376" s="18">
        <f t="shared" si="31"/>
        <v>-566760</v>
      </c>
      <c r="AA376" s="17"/>
      <c r="AB376" s="17"/>
      <c r="AC376" s="17"/>
      <c r="AD376" s="17"/>
      <c r="AE376" s="17"/>
    </row>
    <row r="377" spans="1:31" s="21" customFormat="1" ht="16" customHeight="1" x14ac:dyDescent="0.45">
      <c r="A377" s="1">
        <v>2505</v>
      </c>
      <c r="B377" s="23">
        <v>45785</v>
      </c>
      <c r="C377" s="24"/>
      <c r="D377" s="25" t="s">
        <v>10</v>
      </c>
      <c r="E377" s="26" t="s">
        <v>19</v>
      </c>
      <c r="F377" s="26"/>
      <c r="G377" s="26" t="s">
        <v>19</v>
      </c>
      <c r="H377" s="27" t="s">
        <v>20</v>
      </c>
      <c r="I377" s="27" t="s">
        <v>138</v>
      </c>
      <c r="J377" s="27"/>
      <c r="K377" s="38"/>
      <c r="L377" s="29">
        <v>4</v>
      </c>
      <c r="M377" s="30"/>
      <c r="N377" s="31"/>
      <c r="O377" s="32">
        <v>3169</v>
      </c>
      <c r="P377" s="91"/>
      <c r="Q377" s="92"/>
      <c r="R377" s="93">
        <v>1850</v>
      </c>
      <c r="S377" s="93">
        <f>O377*R377</f>
        <v>5862650</v>
      </c>
      <c r="T377" s="33"/>
      <c r="U377" s="34"/>
      <c r="V377" s="35">
        <v>3595</v>
      </c>
      <c r="W377" s="36">
        <f>O377*V377</f>
        <v>11392555</v>
      </c>
      <c r="X377" s="93"/>
      <c r="Z377" s="18">
        <f t="shared" si="31"/>
        <v>5529905</v>
      </c>
      <c r="AA377" s="17"/>
      <c r="AB377" s="17"/>
      <c r="AC377" s="17"/>
      <c r="AD377" s="17"/>
      <c r="AE377" s="17"/>
    </row>
    <row r="378" spans="1:31" ht="16" customHeight="1" x14ac:dyDescent="0.45">
      <c r="A378" s="1">
        <v>2505</v>
      </c>
      <c r="B378" s="23">
        <v>45785</v>
      </c>
      <c r="C378" s="24"/>
      <c r="D378" s="25" t="s">
        <v>10</v>
      </c>
      <c r="E378" s="26" t="s">
        <v>19</v>
      </c>
      <c r="F378" s="26"/>
      <c r="G378" s="26" t="s">
        <v>19</v>
      </c>
      <c r="H378" s="27" t="s">
        <v>20</v>
      </c>
      <c r="I378" s="27" t="s">
        <v>18</v>
      </c>
      <c r="J378" s="27"/>
      <c r="K378" s="38"/>
      <c r="L378" s="29">
        <v>2</v>
      </c>
      <c r="M378" s="30"/>
      <c r="N378" s="31"/>
      <c r="O378" s="32">
        <v>999</v>
      </c>
      <c r="P378" s="91"/>
      <c r="Q378" s="92"/>
      <c r="R378" s="93">
        <v>1850</v>
      </c>
      <c r="S378" s="93">
        <f>O378*R378</f>
        <v>1848150</v>
      </c>
      <c r="T378" s="33"/>
      <c r="U378" s="34"/>
      <c r="V378" s="35">
        <v>3595</v>
      </c>
      <c r="W378" s="36">
        <f>O378*V378</f>
        <v>3591405</v>
      </c>
      <c r="X378" s="93"/>
      <c r="Y378" s="21"/>
      <c r="Z378" s="18">
        <f t="shared" si="31"/>
        <v>1743255</v>
      </c>
    </row>
    <row r="379" spans="1:31" s="21" customFormat="1" ht="16" customHeight="1" x14ac:dyDescent="0.45">
      <c r="A379" s="1">
        <v>2505</v>
      </c>
      <c r="B379" s="23">
        <v>45804</v>
      </c>
      <c r="C379" s="24"/>
      <c r="D379" s="25" t="s">
        <v>10</v>
      </c>
      <c r="E379" s="26" t="s">
        <v>19</v>
      </c>
      <c r="F379" s="26" t="s">
        <v>391</v>
      </c>
      <c r="G379" s="26" t="s">
        <v>19</v>
      </c>
      <c r="H379" s="27" t="s">
        <v>20</v>
      </c>
      <c r="I379" s="27" t="s">
        <v>65</v>
      </c>
      <c r="J379" s="27"/>
      <c r="K379" s="38"/>
      <c r="L379" s="29">
        <v>14</v>
      </c>
      <c r="M379" s="30"/>
      <c r="N379" s="31"/>
      <c r="O379" s="32">
        <v>10109</v>
      </c>
      <c r="P379" s="91"/>
      <c r="Q379" s="92"/>
      <c r="R379" s="93">
        <v>1850</v>
      </c>
      <c r="S379" s="93">
        <f>O379*R379</f>
        <v>18701650</v>
      </c>
      <c r="T379" s="33"/>
      <c r="U379" s="34"/>
      <c r="V379" s="35">
        <v>3595</v>
      </c>
      <c r="W379" s="36">
        <f>O379*V379</f>
        <v>36341855</v>
      </c>
      <c r="X379" s="93"/>
      <c r="Z379" s="18">
        <f t="shared" si="31"/>
        <v>17640205</v>
      </c>
      <c r="AA379" s="17"/>
      <c r="AB379" s="17"/>
      <c r="AC379" s="17"/>
      <c r="AD379" s="17"/>
      <c r="AE379" s="17"/>
    </row>
    <row r="380" spans="1:31" ht="16" customHeight="1" x14ac:dyDescent="0.45">
      <c r="A380" s="1">
        <v>2505</v>
      </c>
      <c r="B380" s="23">
        <v>45777</v>
      </c>
      <c r="C380" s="24"/>
      <c r="D380" s="25" t="s">
        <v>180</v>
      </c>
      <c r="E380" s="26" t="s">
        <v>197</v>
      </c>
      <c r="F380" s="26"/>
      <c r="G380" s="26" t="s">
        <v>197</v>
      </c>
      <c r="H380" s="27" t="s">
        <v>179</v>
      </c>
      <c r="I380" s="27" t="s">
        <v>392</v>
      </c>
      <c r="J380" s="27"/>
      <c r="K380" s="28"/>
      <c r="L380" s="29"/>
      <c r="M380" s="30"/>
      <c r="N380" s="31">
        <v>1693</v>
      </c>
      <c r="O380" s="32"/>
      <c r="P380" s="91"/>
      <c r="Q380" s="92"/>
      <c r="R380" s="93" t="s">
        <v>393</v>
      </c>
      <c r="S380" s="93"/>
      <c r="T380" s="33"/>
      <c r="U380" s="34"/>
      <c r="V380" s="35" t="s">
        <v>394</v>
      </c>
      <c r="W380" s="36"/>
      <c r="X380" s="93"/>
      <c r="Y380" s="21"/>
      <c r="Z380" s="18">
        <f t="shared" si="31"/>
        <v>0</v>
      </c>
    </row>
    <row r="381" spans="1:31" ht="16" customHeight="1" x14ac:dyDescent="0.45">
      <c r="A381" s="1">
        <v>2505</v>
      </c>
      <c r="B381" s="23">
        <v>45797</v>
      </c>
      <c r="C381" s="24"/>
      <c r="D381" s="25" t="s">
        <v>66</v>
      </c>
      <c r="E381" s="26" t="s">
        <v>171</v>
      </c>
      <c r="F381" s="26"/>
      <c r="G381" s="26" t="s">
        <v>171</v>
      </c>
      <c r="H381" s="27" t="s">
        <v>172</v>
      </c>
      <c r="I381" s="27" t="s">
        <v>395</v>
      </c>
      <c r="J381" s="27"/>
      <c r="K381" s="28"/>
      <c r="L381" s="29">
        <v>15</v>
      </c>
      <c r="M381" s="30"/>
      <c r="N381" s="31">
        <v>3777</v>
      </c>
      <c r="O381" s="32"/>
      <c r="P381" s="91"/>
      <c r="Q381" s="92"/>
      <c r="R381" s="93">
        <v>800</v>
      </c>
      <c r="S381" s="93">
        <f>N381*R381</f>
        <v>3021600</v>
      </c>
      <c r="T381" s="33"/>
      <c r="U381" s="34"/>
      <c r="V381" s="35">
        <v>1200</v>
      </c>
      <c r="W381" s="36">
        <f>N381*V381</f>
        <v>4532400</v>
      </c>
      <c r="X381" s="93"/>
      <c r="Y381" s="21"/>
      <c r="Z381" s="18">
        <f t="shared" si="31"/>
        <v>1510800</v>
      </c>
    </row>
    <row r="382" spans="1:31" s="21" customFormat="1" ht="16" customHeight="1" x14ac:dyDescent="0.45">
      <c r="A382" s="1">
        <v>2505</v>
      </c>
      <c r="B382" s="2">
        <v>45797</v>
      </c>
      <c r="C382" s="3"/>
      <c r="D382" s="4" t="s">
        <v>66</v>
      </c>
      <c r="E382" s="5" t="s">
        <v>109</v>
      </c>
      <c r="F382" s="5"/>
      <c r="G382" s="5" t="s">
        <v>171</v>
      </c>
      <c r="H382" s="19" t="s">
        <v>172</v>
      </c>
      <c r="I382" s="19" t="s">
        <v>395</v>
      </c>
      <c r="J382" s="19"/>
      <c r="K382" s="20"/>
      <c r="L382" s="6"/>
      <c r="M382" s="7"/>
      <c r="N382" s="8">
        <v>300</v>
      </c>
      <c r="O382" s="9"/>
      <c r="P382" s="10"/>
      <c r="Q382" s="11"/>
      <c r="R382" s="12">
        <v>800</v>
      </c>
      <c r="S382" s="12">
        <f>N382*R382</f>
        <v>240000</v>
      </c>
      <c r="T382" s="13"/>
      <c r="U382" s="14"/>
      <c r="V382" s="15"/>
      <c r="W382" s="16"/>
      <c r="X382" s="12"/>
      <c r="Y382" s="17"/>
      <c r="Z382" s="18">
        <f t="shared" si="31"/>
        <v>-240000</v>
      </c>
      <c r="AA382" s="17"/>
      <c r="AB382" s="17"/>
      <c r="AC382" s="17"/>
      <c r="AD382" s="17"/>
      <c r="AE382" s="17"/>
    </row>
    <row r="383" spans="1:31" ht="16" customHeight="1" x14ac:dyDescent="0.45">
      <c r="A383" s="1">
        <v>2505</v>
      </c>
      <c r="B383" s="2">
        <v>45798</v>
      </c>
      <c r="D383" s="4" t="s">
        <v>80</v>
      </c>
      <c r="E383" s="5" t="s">
        <v>30</v>
      </c>
      <c r="G383" s="5" t="s">
        <v>31</v>
      </c>
      <c r="H383" s="19" t="s">
        <v>100</v>
      </c>
      <c r="K383" s="73"/>
      <c r="M383" s="7">
        <v>1548</v>
      </c>
      <c r="P383" s="141">
        <v>1150</v>
      </c>
      <c r="Q383" s="95">
        <v>3567845</v>
      </c>
      <c r="Z383" s="18">
        <f t="shared" si="31"/>
        <v>-3567845</v>
      </c>
    </row>
    <row r="384" spans="1:31" ht="16" customHeight="1" x14ac:dyDescent="0.45">
      <c r="A384" s="1">
        <v>2505</v>
      </c>
      <c r="B384" s="23">
        <v>45785</v>
      </c>
      <c r="C384" s="24"/>
      <c r="D384" s="25" t="s">
        <v>222</v>
      </c>
      <c r="E384" s="26" t="s">
        <v>61</v>
      </c>
      <c r="F384" s="26"/>
      <c r="G384" s="26" t="s">
        <v>61</v>
      </c>
      <c r="H384" s="27" t="s">
        <v>347</v>
      </c>
      <c r="I384" s="27" t="s">
        <v>34</v>
      </c>
      <c r="J384" s="27"/>
      <c r="K384" s="38"/>
      <c r="L384" s="29">
        <v>38</v>
      </c>
      <c r="M384" s="30"/>
      <c r="N384" s="31">
        <v>18733</v>
      </c>
      <c r="O384" s="32"/>
      <c r="P384" s="91"/>
      <c r="Q384" s="92"/>
      <c r="R384" s="93">
        <v>680</v>
      </c>
      <c r="S384" s="93">
        <f>N384*R384</f>
        <v>12738440</v>
      </c>
      <c r="T384" s="33"/>
      <c r="U384" s="34"/>
      <c r="V384" s="35">
        <v>750</v>
      </c>
      <c r="W384" s="36">
        <f>N384*V384</f>
        <v>14049750</v>
      </c>
      <c r="X384" s="93"/>
      <c r="Y384" s="21"/>
      <c r="Z384" s="18">
        <f t="shared" si="31"/>
        <v>1311310</v>
      </c>
    </row>
    <row r="385" spans="1:31" ht="16" customHeight="1" x14ac:dyDescent="0.45">
      <c r="A385" s="1">
        <v>2505</v>
      </c>
      <c r="B385" s="23">
        <v>45797</v>
      </c>
      <c r="C385" s="24"/>
      <c r="D385" s="25" t="s">
        <v>222</v>
      </c>
      <c r="E385" s="26" t="s">
        <v>61</v>
      </c>
      <c r="F385" s="26"/>
      <c r="G385" s="26" t="s">
        <v>61</v>
      </c>
      <c r="H385" s="27" t="s">
        <v>347</v>
      </c>
      <c r="I385" s="27" t="s">
        <v>34</v>
      </c>
      <c r="J385" s="27"/>
      <c r="K385" s="28"/>
      <c r="L385" s="29"/>
      <c r="M385" s="30"/>
      <c r="N385" s="31">
        <v>15819</v>
      </c>
      <c r="O385" s="32"/>
      <c r="P385" s="91"/>
      <c r="Q385" s="92"/>
      <c r="R385" s="93">
        <v>680</v>
      </c>
      <c r="S385" s="93">
        <f>N385*R385</f>
        <v>10756920</v>
      </c>
      <c r="T385" s="33"/>
      <c r="U385" s="34"/>
      <c r="V385" s="35">
        <v>750</v>
      </c>
      <c r="W385" s="36">
        <f>N385*V385</f>
        <v>11864250</v>
      </c>
      <c r="X385" s="93"/>
      <c r="Y385" s="21"/>
      <c r="Z385" s="18">
        <f t="shared" si="31"/>
        <v>1107330</v>
      </c>
    </row>
    <row r="386" spans="1:31" ht="16" customHeight="1" x14ac:dyDescent="0.45">
      <c r="A386" s="1">
        <v>2505</v>
      </c>
      <c r="B386" s="40">
        <v>45776</v>
      </c>
      <c r="C386" s="41"/>
      <c r="D386" s="37" t="s">
        <v>211</v>
      </c>
      <c r="E386" s="42" t="s">
        <v>1</v>
      </c>
      <c r="F386" s="42"/>
      <c r="G386" s="42" t="s">
        <v>1</v>
      </c>
      <c r="H386" s="43" t="s">
        <v>11</v>
      </c>
      <c r="I386" s="43" t="s">
        <v>12</v>
      </c>
      <c r="J386" s="43"/>
      <c r="K386" s="118"/>
      <c r="L386" s="45">
        <v>3</v>
      </c>
      <c r="M386" s="46"/>
      <c r="N386" s="47"/>
      <c r="O386" s="48">
        <v>1394</v>
      </c>
      <c r="P386" s="106"/>
      <c r="Q386" s="107"/>
      <c r="R386" s="90">
        <v>2350</v>
      </c>
      <c r="S386" s="90">
        <f>O386*R386</f>
        <v>3275900</v>
      </c>
      <c r="T386" s="49"/>
      <c r="U386" s="50"/>
      <c r="V386" s="51" t="s">
        <v>393</v>
      </c>
      <c r="W386" s="52"/>
      <c r="X386" s="90"/>
      <c r="Y386" s="39"/>
      <c r="Z386" s="18">
        <f t="shared" ref="Z386:Z449" si="35">W386-S386-Q386</f>
        <v>-3275900</v>
      </c>
    </row>
    <row r="387" spans="1:31" s="21" customFormat="1" ht="16" customHeight="1" x14ac:dyDescent="0.45">
      <c r="A387" s="1">
        <v>2505</v>
      </c>
      <c r="B387" s="23">
        <v>45797</v>
      </c>
      <c r="C387" s="24"/>
      <c r="D387" s="25" t="s">
        <v>211</v>
      </c>
      <c r="E387" s="26" t="s">
        <v>1</v>
      </c>
      <c r="F387" s="26"/>
      <c r="G387" s="26" t="s">
        <v>1</v>
      </c>
      <c r="H387" s="27" t="s">
        <v>383</v>
      </c>
      <c r="I387" s="27" t="s">
        <v>12</v>
      </c>
      <c r="J387" s="27"/>
      <c r="K387" s="38">
        <v>31</v>
      </c>
      <c r="L387" s="29"/>
      <c r="M387" s="30"/>
      <c r="N387" s="31"/>
      <c r="O387" s="32">
        <v>1207</v>
      </c>
      <c r="P387" s="91"/>
      <c r="Q387" s="92"/>
      <c r="R387" s="93">
        <v>2350</v>
      </c>
      <c r="S387" s="93">
        <f>O387*R387</f>
        <v>2836450</v>
      </c>
      <c r="T387" s="33"/>
      <c r="U387" s="34"/>
      <c r="V387" s="35">
        <v>4700</v>
      </c>
      <c r="W387" s="36">
        <f>O387*V387</f>
        <v>5672900</v>
      </c>
      <c r="X387" s="93"/>
      <c r="Z387" s="18">
        <f t="shared" si="35"/>
        <v>2836450</v>
      </c>
      <c r="AA387" s="17"/>
      <c r="AB387" s="17"/>
      <c r="AC387" s="17"/>
      <c r="AD387" s="17"/>
      <c r="AE387" s="17"/>
    </row>
    <row r="388" spans="1:31" s="21" customFormat="1" ht="16" customHeight="1" x14ac:dyDescent="0.45">
      <c r="A388" s="1">
        <v>2505</v>
      </c>
      <c r="B388" s="23">
        <v>45804</v>
      </c>
      <c r="C388" s="24"/>
      <c r="D388" s="25" t="s">
        <v>211</v>
      </c>
      <c r="E388" s="26" t="s">
        <v>1</v>
      </c>
      <c r="F388" s="26"/>
      <c r="G388" s="26" t="s">
        <v>1</v>
      </c>
      <c r="H388" s="27" t="s">
        <v>383</v>
      </c>
      <c r="I388" s="27" t="s">
        <v>12</v>
      </c>
      <c r="J388" s="27"/>
      <c r="K388" s="38">
        <v>33</v>
      </c>
      <c r="L388" s="29"/>
      <c r="M388" s="30"/>
      <c r="N388" s="31"/>
      <c r="O388" s="32">
        <v>1400</v>
      </c>
      <c r="P388" s="91"/>
      <c r="Q388" s="92"/>
      <c r="R388" s="93">
        <v>2350</v>
      </c>
      <c r="S388" s="93">
        <f>O388*R388</f>
        <v>3290000</v>
      </c>
      <c r="T388" s="33"/>
      <c r="U388" s="34"/>
      <c r="V388" s="35">
        <v>4700</v>
      </c>
      <c r="W388" s="36">
        <f>O388*V388</f>
        <v>6580000</v>
      </c>
      <c r="X388" s="93"/>
      <c r="Z388" s="18">
        <f t="shared" si="35"/>
        <v>3290000</v>
      </c>
      <c r="AA388" s="17"/>
      <c r="AB388" s="17"/>
      <c r="AC388" s="17"/>
      <c r="AD388" s="17"/>
      <c r="AE388" s="17"/>
    </row>
    <row r="389" spans="1:31" ht="16" customHeight="1" x14ac:dyDescent="0.45">
      <c r="A389" s="1">
        <v>2505</v>
      </c>
      <c r="B389" s="23">
        <v>45807</v>
      </c>
      <c r="C389" s="24"/>
      <c r="D389" s="25" t="s">
        <v>211</v>
      </c>
      <c r="E389" s="26" t="s">
        <v>1</v>
      </c>
      <c r="F389" s="26"/>
      <c r="G389" s="26" t="s">
        <v>1</v>
      </c>
      <c r="H389" s="27" t="s">
        <v>383</v>
      </c>
      <c r="I389" s="27" t="s">
        <v>14</v>
      </c>
      <c r="J389" s="27"/>
      <c r="K389" s="38">
        <v>21.22</v>
      </c>
      <c r="L389" s="29"/>
      <c r="M389" s="30"/>
      <c r="N389" s="31"/>
      <c r="O389" s="32">
        <v>2588</v>
      </c>
      <c r="P389" s="91"/>
      <c r="Q389" s="92"/>
      <c r="R389" s="93">
        <v>2350</v>
      </c>
      <c r="S389" s="93">
        <f>O389*R389</f>
        <v>6081800</v>
      </c>
      <c r="T389" s="33"/>
      <c r="U389" s="34"/>
      <c r="V389" s="35">
        <v>4700</v>
      </c>
      <c r="W389" s="36">
        <f>O389*V389</f>
        <v>12163600</v>
      </c>
      <c r="X389" s="93"/>
      <c r="Y389" s="21"/>
      <c r="Z389" s="18">
        <f t="shared" si="35"/>
        <v>6081800</v>
      </c>
    </row>
    <row r="390" spans="1:31" ht="16" customHeight="1" x14ac:dyDescent="0.45">
      <c r="A390" s="1">
        <v>2505</v>
      </c>
      <c r="B390" s="2">
        <v>45786</v>
      </c>
      <c r="D390" s="4" t="s">
        <v>339</v>
      </c>
      <c r="E390" s="5" t="s">
        <v>27</v>
      </c>
      <c r="G390" s="5" t="s">
        <v>28</v>
      </c>
      <c r="H390" s="19" t="s">
        <v>396</v>
      </c>
      <c r="K390" s="73"/>
      <c r="L390" s="6">
        <v>3</v>
      </c>
      <c r="M390" s="7">
        <v>1255.3</v>
      </c>
      <c r="R390" s="12">
        <v>1000</v>
      </c>
      <c r="S390" s="12">
        <f t="shared" ref="S390:S399" si="36">M390*R390</f>
        <v>1255300</v>
      </c>
      <c r="Z390" s="18">
        <f t="shared" si="35"/>
        <v>-1255300</v>
      </c>
    </row>
    <row r="391" spans="1:31" ht="16" customHeight="1" x14ac:dyDescent="0.45">
      <c r="A391" s="1">
        <v>2505</v>
      </c>
      <c r="B391" s="2">
        <v>45791</v>
      </c>
      <c r="D391" s="4" t="s">
        <v>339</v>
      </c>
      <c r="E391" s="5" t="s">
        <v>27</v>
      </c>
      <c r="G391" s="5" t="s">
        <v>28</v>
      </c>
      <c r="H391" s="19" t="s">
        <v>94</v>
      </c>
      <c r="L391" s="6">
        <v>3</v>
      </c>
      <c r="M391" s="7">
        <v>1258</v>
      </c>
      <c r="R391" s="12">
        <v>1000</v>
      </c>
      <c r="S391" s="12">
        <f t="shared" si="36"/>
        <v>1258000</v>
      </c>
      <c r="Z391" s="18">
        <f t="shared" si="35"/>
        <v>-1258000</v>
      </c>
    </row>
    <row r="392" spans="1:31" s="21" customFormat="1" ht="16" customHeight="1" x14ac:dyDescent="0.45">
      <c r="A392" s="1">
        <v>2505</v>
      </c>
      <c r="B392" s="2">
        <v>45793</v>
      </c>
      <c r="C392" s="3"/>
      <c r="D392" s="4" t="s">
        <v>339</v>
      </c>
      <c r="E392" s="5" t="s">
        <v>27</v>
      </c>
      <c r="F392" s="5"/>
      <c r="G392" s="5" t="s">
        <v>28</v>
      </c>
      <c r="H392" s="19" t="s">
        <v>94</v>
      </c>
      <c r="I392" s="19"/>
      <c r="J392" s="19"/>
      <c r="K392" s="20"/>
      <c r="L392" s="6">
        <v>3</v>
      </c>
      <c r="M392" s="7">
        <v>1256</v>
      </c>
      <c r="N392" s="8"/>
      <c r="O392" s="9"/>
      <c r="P392" s="10"/>
      <c r="Q392" s="11"/>
      <c r="R392" s="12">
        <v>1000</v>
      </c>
      <c r="S392" s="12">
        <f t="shared" si="36"/>
        <v>1256000</v>
      </c>
      <c r="T392" s="13"/>
      <c r="U392" s="14"/>
      <c r="V392" s="15"/>
      <c r="W392" s="16"/>
      <c r="X392" s="12"/>
      <c r="Y392" s="17"/>
      <c r="Z392" s="18">
        <f t="shared" si="35"/>
        <v>-1256000</v>
      </c>
      <c r="AA392" s="17"/>
      <c r="AB392" s="17"/>
      <c r="AC392" s="17"/>
      <c r="AD392" s="17"/>
      <c r="AE392" s="17"/>
    </row>
    <row r="393" spans="1:31" s="21" customFormat="1" ht="16" customHeight="1" x14ac:dyDescent="0.45">
      <c r="A393" s="1">
        <v>2505</v>
      </c>
      <c r="B393" s="2">
        <v>45796</v>
      </c>
      <c r="C393" s="3"/>
      <c r="D393" s="4" t="s">
        <v>339</v>
      </c>
      <c r="E393" s="5" t="s">
        <v>27</v>
      </c>
      <c r="F393" s="5"/>
      <c r="G393" s="5" t="s">
        <v>28</v>
      </c>
      <c r="H393" s="19" t="s">
        <v>94</v>
      </c>
      <c r="I393" s="19"/>
      <c r="J393" s="19"/>
      <c r="K393" s="20"/>
      <c r="L393" s="6">
        <v>3</v>
      </c>
      <c r="M393" s="7">
        <v>1257.5</v>
      </c>
      <c r="N393" s="8"/>
      <c r="O393" s="9"/>
      <c r="P393" s="10"/>
      <c r="Q393" s="11"/>
      <c r="R393" s="12">
        <v>1000</v>
      </c>
      <c r="S393" s="12">
        <f t="shared" si="36"/>
        <v>1257500</v>
      </c>
      <c r="T393" s="13"/>
      <c r="U393" s="14"/>
      <c r="V393" s="15"/>
      <c r="W393" s="16"/>
      <c r="X393" s="12"/>
      <c r="Y393" s="17"/>
      <c r="Z393" s="18">
        <f t="shared" si="35"/>
        <v>-1257500</v>
      </c>
      <c r="AA393" s="17"/>
      <c r="AB393" s="17"/>
      <c r="AC393" s="17"/>
      <c r="AD393" s="17"/>
      <c r="AE393" s="17"/>
    </row>
    <row r="394" spans="1:31" s="21" customFormat="1" ht="16" customHeight="1" x14ac:dyDescent="0.45">
      <c r="A394" s="1">
        <v>2505</v>
      </c>
      <c r="B394" s="2">
        <v>45796</v>
      </c>
      <c r="C394" s="3"/>
      <c r="D394" s="4" t="s">
        <v>339</v>
      </c>
      <c r="E394" s="5" t="s">
        <v>27</v>
      </c>
      <c r="F394" s="5"/>
      <c r="G394" s="5" t="s">
        <v>28</v>
      </c>
      <c r="H394" s="19" t="s">
        <v>101</v>
      </c>
      <c r="I394" s="19"/>
      <c r="J394" s="19"/>
      <c r="K394" s="73"/>
      <c r="L394" s="6"/>
      <c r="M394" s="7">
        <v>1257.5</v>
      </c>
      <c r="N394" s="8"/>
      <c r="O394" s="9"/>
      <c r="P394" s="10"/>
      <c r="Q394" s="11"/>
      <c r="R394" s="12">
        <v>1000</v>
      </c>
      <c r="S394" s="12">
        <f t="shared" si="36"/>
        <v>1257500</v>
      </c>
      <c r="T394" s="13"/>
      <c r="U394" s="14"/>
      <c r="V394" s="15"/>
      <c r="W394" s="16"/>
      <c r="X394" s="12"/>
      <c r="Y394" s="17"/>
      <c r="Z394" s="18">
        <f t="shared" si="35"/>
        <v>-1257500</v>
      </c>
      <c r="AA394" s="17"/>
      <c r="AB394" s="17"/>
      <c r="AC394" s="17"/>
      <c r="AD394" s="17"/>
      <c r="AE394" s="17"/>
    </row>
    <row r="395" spans="1:31" s="21" customFormat="1" ht="16" customHeight="1" x14ac:dyDescent="0.45">
      <c r="A395" s="1">
        <v>2505</v>
      </c>
      <c r="B395" s="2">
        <v>45804</v>
      </c>
      <c r="C395" s="3"/>
      <c r="D395" s="4" t="s">
        <v>339</v>
      </c>
      <c r="E395" s="5" t="s">
        <v>27</v>
      </c>
      <c r="F395" s="5"/>
      <c r="G395" s="5" t="s">
        <v>28</v>
      </c>
      <c r="H395" s="19" t="s">
        <v>101</v>
      </c>
      <c r="I395" s="19"/>
      <c r="J395" s="19"/>
      <c r="K395" s="73"/>
      <c r="L395" s="6"/>
      <c r="M395" s="7">
        <v>1262.9000000000001</v>
      </c>
      <c r="N395" s="8"/>
      <c r="O395" s="9"/>
      <c r="P395" s="10"/>
      <c r="Q395" s="11"/>
      <c r="R395" s="12">
        <v>1000</v>
      </c>
      <c r="S395" s="12">
        <f t="shared" si="36"/>
        <v>1262900</v>
      </c>
      <c r="T395" s="13"/>
      <c r="U395" s="14"/>
      <c r="V395" s="15"/>
      <c r="W395" s="16"/>
      <c r="X395" s="12"/>
      <c r="Y395" s="17"/>
      <c r="Z395" s="18">
        <f t="shared" si="35"/>
        <v>-1262900</v>
      </c>
      <c r="AA395" s="17"/>
      <c r="AB395" s="17"/>
      <c r="AC395" s="17"/>
      <c r="AD395" s="17"/>
      <c r="AE395" s="17"/>
    </row>
    <row r="396" spans="1:31" s="21" customFormat="1" ht="16" customHeight="1" x14ac:dyDescent="0.45">
      <c r="A396" s="1">
        <v>2505</v>
      </c>
      <c r="B396" s="2">
        <v>45799</v>
      </c>
      <c r="C396" s="3"/>
      <c r="D396" s="4" t="s">
        <v>397</v>
      </c>
      <c r="E396" s="5" t="s">
        <v>27</v>
      </c>
      <c r="F396" s="5"/>
      <c r="G396" s="5" t="s">
        <v>28</v>
      </c>
      <c r="H396" s="19" t="s">
        <v>101</v>
      </c>
      <c r="I396" s="19"/>
      <c r="J396" s="19"/>
      <c r="K396" s="73"/>
      <c r="L396" s="6"/>
      <c r="M396" s="7">
        <v>847</v>
      </c>
      <c r="N396" s="8"/>
      <c r="O396" s="9"/>
      <c r="P396" s="10"/>
      <c r="Q396" s="11"/>
      <c r="R396" s="12">
        <v>1100</v>
      </c>
      <c r="S396" s="12">
        <f t="shared" si="36"/>
        <v>931700</v>
      </c>
      <c r="T396" s="13"/>
      <c r="U396" s="14"/>
      <c r="V396" s="15"/>
      <c r="W396" s="16"/>
      <c r="X396" s="12"/>
      <c r="Y396" s="17"/>
      <c r="Z396" s="18">
        <f t="shared" si="35"/>
        <v>-931700</v>
      </c>
      <c r="AA396" s="17"/>
      <c r="AB396" s="17"/>
      <c r="AC396" s="17"/>
      <c r="AD396" s="17"/>
      <c r="AE396" s="17"/>
    </row>
    <row r="397" spans="1:31" s="21" customFormat="1" ht="16" customHeight="1" x14ac:dyDescent="0.45">
      <c r="A397" s="1">
        <v>2505</v>
      </c>
      <c r="B397" s="2">
        <v>45779</v>
      </c>
      <c r="C397" s="3"/>
      <c r="D397" s="4" t="s">
        <v>397</v>
      </c>
      <c r="E397" s="5" t="s">
        <v>27</v>
      </c>
      <c r="F397" s="5"/>
      <c r="G397" s="5" t="s">
        <v>28</v>
      </c>
      <c r="H397" s="19" t="s">
        <v>101</v>
      </c>
      <c r="I397" s="19"/>
      <c r="J397" s="19"/>
      <c r="K397" s="73"/>
      <c r="L397" s="6"/>
      <c r="M397" s="7">
        <v>719</v>
      </c>
      <c r="N397" s="8"/>
      <c r="O397" s="9"/>
      <c r="P397" s="10"/>
      <c r="Q397" s="11"/>
      <c r="R397" s="12">
        <v>1100</v>
      </c>
      <c r="S397" s="12">
        <f t="shared" si="36"/>
        <v>790900</v>
      </c>
      <c r="T397" s="13"/>
      <c r="U397" s="14"/>
      <c r="V397" s="15"/>
      <c r="W397" s="16"/>
      <c r="X397" s="12"/>
      <c r="Y397" s="17"/>
      <c r="Z397" s="18">
        <f t="shared" si="35"/>
        <v>-790900</v>
      </c>
      <c r="AA397" s="17"/>
      <c r="AB397" s="17"/>
      <c r="AC397" s="17"/>
      <c r="AD397" s="17"/>
      <c r="AE397" s="17"/>
    </row>
    <row r="398" spans="1:31" s="21" customFormat="1" ht="16" customHeight="1" x14ac:dyDescent="0.45">
      <c r="A398" s="1">
        <v>2505</v>
      </c>
      <c r="B398" s="2">
        <v>45786</v>
      </c>
      <c r="C398" s="3"/>
      <c r="D398" s="4" t="s">
        <v>93</v>
      </c>
      <c r="E398" s="5" t="s">
        <v>27</v>
      </c>
      <c r="F398" s="5"/>
      <c r="G398" s="5" t="s">
        <v>28</v>
      </c>
      <c r="H398" s="19" t="s">
        <v>310</v>
      </c>
      <c r="I398" s="19"/>
      <c r="J398" s="19"/>
      <c r="K398" s="73"/>
      <c r="L398" s="6">
        <v>3</v>
      </c>
      <c r="M398" s="7">
        <v>1260</v>
      </c>
      <c r="N398" s="8"/>
      <c r="O398" s="9"/>
      <c r="P398" s="10"/>
      <c r="Q398" s="11"/>
      <c r="R398" s="12">
        <v>1100</v>
      </c>
      <c r="S398" s="12">
        <f t="shared" si="36"/>
        <v>1386000</v>
      </c>
      <c r="T398" s="13"/>
      <c r="U398" s="14"/>
      <c r="V398" s="15"/>
      <c r="W398" s="16"/>
      <c r="X398" s="12"/>
      <c r="Y398" s="17"/>
      <c r="Z398" s="18">
        <f t="shared" si="35"/>
        <v>-1386000</v>
      </c>
      <c r="AA398" s="17"/>
      <c r="AB398" s="17"/>
      <c r="AC398" s="17"/>
      <c r="AD398" s="17"/>
      <c r="AE398" s="17"/>
    </row>
    <row r="399" spans="1:31" s="21" customFormat="1" ht="16" customHeight="1" x14ac:dyDescent="0.45">
      <c r="A399" s="1">
        <v>2505</v>
      </c>
      <c r="B399" s="2">
        <v>45793</v>
      </c>
      <c r="C399" s="3"/>
      <c r="D399" s="4" t="s">
        <v>93</v>
      </c>
      <c r="E399" s="5" t="s">
        <v>27</v>
      </c>
      <c r="F399" s="5"/>
      <c r="G399" s="5" t="s">
        <v>28</v>
      </c>
      <c r="H399" s="19" t="s">
        <v>398</v>
      </c>
      <c r="I399" s="19"/>
      <c r="J399" s="19"/>
      <c r="K399" s="73"/>
      <c r="L399" s="6"/>
      <c r="M399" s="7">
        <v>1260</v>
      </c>
      <c r="N399" s="8"/>
      <c r="O399" s="9"/>
      <c r="P399" s="10"/>
      <c r="Q399" s="11"/>
      <c r="R399" s="12">
        <v>1100</v>
      </c>
      <c r="S399" s="12">
        <f t="shared" si="36"/>
        <v>1386000</v>
      </c>
      <c r="T399" s="13"/>
      <c r="U399" s="14"/>
      <c r="V399" s="15"/>
      <c r="W399" s="16"/>
      <c r="X399" s="12"/>
      <c r="Y399" s="17"/>
      <c r="Z399" s="18">
        <f t="shared" si="35"/>
        <v>-1386000</v>
      </c>
      <c r="AA399" s="17"/>
      <c r="AB399" s="17"/>
      <c r="AC399" s="17"/>
      <c r="AD399" s="17"/>
      <c r="AE399" s="17"/>
    </row>
    <row r="400" spans="1:31" s="21" customFormat="1" ht="16" customHeight="1" x14ac:dyDescent="0.45">
      <c r="A400" s="1">
        <v>2505</v>
      </c>
      <c r="B400" s="2">
        <v>45799</v>
      </c>
      <c r="C400" s="3"/>
      <c r="D400" s="4" t="s">
        <v>26</v>
      </c>
      <c r="E400" s="5" t="s">
        <v>27</v>
      </c>
      <c r="F400" s="5"/>
      <c r="G400" s="5" t="s">
        <v>28</v>
      </c>
      <c r="H400" s="19" t="s">
        <v>29</v>
      </c>
      <c r="I400" s="19"/>
      <c r="J400" s="19"/>
      <c r="K400" s="73"/>
      <c r="L400" s="6"/>
      <c r="M400" s="7">
        <v>1566</v>
      </c>
      <c r="N400" s="8"/>
      <c r="O400" s="9"/>
      <c r="P400" s="10">
        <v>4800</v>
      </c>
      <c r="Q400" s="11">
        <f>M400*P400</f>
        <v>7516800</v>
      </c>
      <c r="R400" s="12"/>
      <c r="S400" s="12"/>
      <c r="T400" s="13"/>
      <c r="U400" s="14"/>
      <c r="V400" s="15"/>
      <c r="W400" s="16"/>
      <c r="X400" s="12"/>
      <c r="Y400" s="17"/>
      <c r="Z400" s="18">
        <f t="shared" si="35"/>
        <v>-7516800</v>
      </c>
      <c r="AA400" s="17"/>
      <c r="AB400" s="17"/>
      <c r="AC400" s="17"/>
      <c r="AD400" s="17"/>
      <c r="AE400" s="17"/>
    </row>
    <row r="401" spans="1:31" ht="16" customHeight="1" x14ac:dyDescent="0.45">
      <c r="A401" s="1">
        <v>2505</v>
      </c>
      <c r="B401" s="2">
        <v>45790</v>
      </c>
      <c r="C401" s="24"/>
      <c r="D401" s="4" t="s">
        <v>30</v>
      </c>
      <c r="E401" s="5" t="s">
        <v>31</v>
      </c>
      <c r="G401" s="5" t="s">
        <v>31</v>
      </c>
      <c r="H401" s="19" t="s">
        <v>133</v>
      </c>
      <c r="K401" s="73"/>
      <c r="L401" s="6">
        <v>4</v>
      </c>
      <c r="O401" s="9">
        <v>3030</v>
      </c>
      <c r="P401" s="141"/>
      <c r="Q401" s="95"/>
      <c r="R401" s="12">
        <v>1470</v>
      </c>
      <c r="S401" s="12">
        <f>O401*R401</f>
        <v>4454100</v>
      </c>
      <c r="T401" s="33"/>
      <c r="U401" s="34"/>
      <c r="V401" s="15">
        <v>2450</v>
      </c>
      <c r="W401" s="16">
        <f>O401*V401</f>
        <v>7423500</v>
      </c>
      <c r="Z401" s="18">
        <f t="shared" si="35"/>
        <v>2969400</v>
      </c>
    </row>
    <row r="402" spans="1:31" ht="16" customHeight="1" x14ac:dyDescent="0.45">
      <c r="A402" s="1">
        <v>2505</v>
      </c>
      <c r="B402" s="2">
        <v>45790</v>
      </c>
      <c r="C402" s="24"/>
      <c r="D402" s="4" t="s">
        <v>30</v>
      </c>
      <c r="E402" s="5" t="s">
        <v>31</v>
      </c>
      <c r="G402" s="5" t="s">
        <v>31</v>
      </c>
      <c r="H402" s="19" t="s">
        <v>113</v>
      </c>
      <c r="K402" s="73"/>
      <c r="L402" s="6">
        <v>2</v>
      </c>
      <c r="O402" s="9">
        <v>2000</v>
      </c>
      <c r="P402" s="141"/>
      <c r="Q402" s="95"/>
      <c r="R402" s="12">
        <v>1230</v>
      </c>
      <c r="S402" s="12">
        <f>O402*R402</f>
        <v>2460000</v>
      </c>
      <c r="T402" s="33"/>
      <c r="U402" s="34"/>
      <c r="V402" s="15">
        <v>1380</v>
      </c>
      <c r="W402" s="16">
        <f>O402*V402</f>
        <v>2760000</v>
      </c>
      <c r="Z402" s="18">
        <f t="shared" si="35"/>
        <v>300000</v>
      </c>
    </row>
    <row r="403" spans="1:31" s="21" customFormat="1" ht="16" customHeight="1" x14ac:dyDescent="0.45">
      <c r="A403" s="1">
        <v>2505</v>
      </c>
      <c r="B403" s="2">
        <v>45778</v>
      </c>
      <c r="C403" s="3"/>
      <c r="D403" s="4" t="s">
        <v>27</v>
      </c>
      <c r="E403" s="5" t="s">
        <v>198</v>
      </c>
      <c r="F403" s="5"/>
      <c r="G403" s="5" t="s">
        <v>28</v>
      </c>
      <c r="H403" s="19" t="s">
        <v>399</v>
      </c>
      <c r="I403" s="19"/>
      <c r="J403" s="19"/>
      <c r="K403" s="73"/>
      <c r="L403" s="6"/>
      <c r="M403" s="7">
        <v>1748.8</v>
      </c>
      <c r="N403" s="8"/>
      <c r="O403" s="9"/>
      <c r="P403" s="10">
        <v>4300</v>
      </c>
      <c r="Q403" s="11">
        <f>M403*P403</f>
        <v>7519840</v>
      </c>
      <c r="R403" s="12"/>
      <c r="S403" s="12"/>
      <c r="T403" s="13"/>
      <c r="U403" s="14"/>
      <c r="V403" s="15"/>
      <c r="W403" s="16"/>
      <c r="X403" s="12"/>
      <c r="Y403" s="17"/>
      <c r="Z403" s="18">
        <f t="shared" si="35"/>
        <v>-7519840</v>
      </c>
      <c r="AA403" s="17"/>
      <c r="AB403" s="17"/>
      <c r="AC403" s="17"/>
      <c r="AD403" s="17"/>
      <c r="AE403" s="17"/>
    </row>
    <row r="404" spans="1:31" s="21" customFormat="1" ht="16" customHeight="1" x14ac:dyDescent="0.45">
      <c r="A404" s="1">
        <v>2505</v>
      </c>
      <c r="B404" s="2">
        <v>45785</v>
      </c>
      <c r="C404" s="3"/>
      <c r="D404" s="4" t="s">
        <v>27</v>
      </c>
      <c r="E404" s="5" t="s">
        <v>37</v>
      </c>
      <c r="F404" s="5"/>
      <c r="G404" s="5" t="s">
        <v>28</v>
      </c>
      <c r="H404" s="19" t="s">
        <v>400</v>
      </c>
      <c r="I404" s="19"/>
      <c r="J404" s="19"/>
      <c r="K404" s="73"/>
      <c r="L404" s="6">
        <v>184</v>
      </c>
      <c r="M404" s="7">
        <v>3220</v>
      </c>
      <c r="N404" s="8"/>
      <c r="O404" s="9"/>
      <c r="P404" s="10"/>
      <c r="Q404" s="11"/>
      <c r="R404" s="12">
        <v>2100</v>
      </c>
      <c r="S404" s="12">
        <f t="shared" ref="S404:S410" si="37">M404*R404</f>
        <v>6762000</v>
      </c>
      <c r="T404" s="13"/>
      <c r="U404" s="14"/>
      <c r="V404" s="15"/>
      <c r="W404" s="16"/>
      <c r="X404" s="12"/>
      <c r="Y404" s="17"/>
      <c r="Z404" s="18">
        <f t="shared" si="35"/>
        <v>-6762000</v>
      </c>
      <c r="AA404" s="17"/>
      <c r="AB404" s="17"/>
      <c r="AC404" s="17"/>
      <c r="AD404" s="17"/>
      <c r="AE404" s="17"/>
    </row>
    <row r="405" spans="1:31" s="21" customFormat="1" ht="16" customHeight="1" x14ac:dyDescent="0.45">
      <c r="A405" s="1">
        <v>2505</v>
      </c>
      <c r="B405" s="2">
        <v>45793</v>
      </c>
      <c r="C405" s="3"/>
      <c r="D405" s="4" t="s">
        <v>27</v>
      </c>
      <c r="E405" s="5" t="s">
        <v>37</v>
      </c>
      <c r="F405" s="5"/>
      <c r="G405" s="5" t="s">
        <v>28</v>
      </c>
      <c r="H405" s="19" t="s">
        <v>33</v>
      </c>
      <c r="I405" s="19"/>
      <c r="J405" s="19"/>
      <c r="K405" s="73"/>
      <c r="L405" s="6">
        <v>186</v>
      </c>
      <c r="M405" s="7">
        <v>3255</v>
      </c>
      <c r="N405" s="8"/>
      <c r="O405" s="9"/>
      <c r="P405" s="10"/>
      <c r="Q405" s="11"/>
      <c r="R405" s="12">
        <v>2100</v>
      </c>
      <c r="S405" s="12">
        <f t="shared" si="37"/>
        <v>6835500</v>
      </c>
      <c r="T405" s="13"/>
      <c r="U405" s="14"/>
      <c r="V405" s="15"/>
      <c r="W405" s="16"/>
      <c r="X405" s="12"/>
      <c r="Y405" s="17"/>
      <c r="Z405" s="18">
        <f t="shared" si="35"/>
        <v>-6835500</v>
      </c>
      <c r="AA405" s="17"/>
      <c r="AB405" s="17"/>
      <c r="AC405" s="17"/>
      <c r="AD405" s="17"/>
      <c r="AE405" s="17"/>
    </row>
    <row r="406" spans="1:31" s="21" customFormat="1" ht="16" customHeight="1" x14ac:dyDescent="0.45">
      <c r="A406" s="1">
        <v>2505</v>
      </c>
      <c r="B406" s="2">
        <v>45799</v>
      </c>
      <c r="C406" s="3"/>
      <c r="D406" s="4" t="s">
        <v>27</v>
      </c>
      <c r="E406" s="5" t="s">
        <v>37</v>
      </c>
      <c r="F406" s="5"/>
      <c r="G406" s="5" t="s">
        <v>28</v>
      </c>
      <c r="H406" s="19" t="s">
        <v>33</v>
      </c>
      <c r="I406" s="19"/>
      <c r="J406" s="19"/>
      <c r="K406" s="73"/>
      <c r="L406" s="6">
        <v>182</v>
      </c>
      <c r="M406" s="7">
        <v>3185</v>
      </c>
      <c r="N406" s="8"/>
      <c r="O406" s="9"/>
      <c r="P406" s="10"/>
      <c r="Q406" s="11"/>
      <c r="R406" s="12">
        <v>2100</v>
      </c>
      <c r="S406" s="12">
        <f t="shared" si="37"/>
        <v>6688500</v>
      </c>
      <c r="T406" s="13"/>
      <c r="U406" s="14"/>
      <c r="V406" s="15"/>
      <c r="W406" s="16"/>
      <c r="X406" s="12"/>
      <c r="Y406" s="17"/>
      <c r="Z406" s="18">
        <f t="shared" si="35"/>
        <v>-6688500</v>
      </c>
      <c r="AA406" s="17"/>
      <c r="AB406" s="17"/>
      <c r="AC406" s="17"/>
      <c r="AD406" s="17"/>
      <c r="AE406" s="17"/>
    </row>
    <row r="407" spans="1:31" s="21" customFormat="1" ht="16" customHeight="1" x14ac:dyDescent="0.45">
      <c r="A407" s="1">
        <v>2505</v>
      </c>
      <c r="B407" s="2">
        <v>45804</v>
      </c>
      <c r="C407" s="3"/>
      <c r="D407" s="4" t="s">
        <v>27</v>
      </c>
      <c r="E407" s="5" t="s">
        <v>37</v>
      </c>
      <c r="F407" s="5"/>
      <c r="G407" s="5" t="s">
        <v>28</v>
      </c>
      <c r="H407" s="19" t="s">
        <v>33</v>
      </c>
      <c r="I407" s="19"/>
      <c r="J407" s="19"/>
      <c r="K407" s="73"/>
      <c r="L407" s="6">
        <v>132</v>
      </c>
      <c r="M407" s="7">
        <v>2310</v>
      </c>
      <c r="N407" s="8"/>
      <c r="O407" s="9"/>
      <c r="P407" s="10"/>
      <c r="Q407" s="11"/>
      <c r="R407" s="12">
        <v>2100</v>
      </c>
      <c r="S407" s="12">
        <f t="shared" si="37"/>
        <v>4851000</v>
      </c>
      <c r="T407" s="13"/>
      <c r="U407" s="14"/>
      <c r="V407" s="15"/>
      <c r="W407" s="16"/>
      <c r="X407" s="12"/>
      <c r="Y407" s="17"/>
      <c r="Z407" s="18">
        <f t="shared" si="35"/>
        <v>-4851000</v>
      </c>
      <c r="AA407" s="17"/>
      <c r="AB407" s="17"/>
      <c r="AC407" s="17"/>
      <c r="AD407" s="17"/>
      <c r="AE407" s="17"/>
    </row>
    <row r="408" spans="1:31" s="21" customFormat="1" ht="16" customHeight="1" x14ac:dyDescent="0.45">
      <c r="A408" s="1">
        <v>2505</v>
      </c>
      <c r="B408" s="2">
        <v>45807</v>
      </c>
      <c r="C408" s="3"/>
      <c r="D408" s="4" t="s">
        <v>27</v>
      </c>
      <c r="E408" s="5" t="s">
        <v>37</v>
      </c>
      <c r="F408" s="5"/>
      <c r="G408" s="5" t="s">
        <v>28</v>
      </c>
      <c r="H408" s="19" t="s">
        <v>33</v>
      </c>
      <c r="I408" s="19"/>
      <c r="J408" s="19"/>
      <c r="K408" s="73"/>
      <c r="L408" s="6">
        <v>84</v>
      </c>
      <c r="M408" s="7">
        <v>1470</v>
      </c>
      <c r="N408" s="8"/>
      <c r="O408" s="9"/>
      <c r="P408" s="10"/>
      <c r="Q408" s="11"/>
      <c r="R408" s="12">
        <v>2100</v>
      </c>
      <c r="S408" s="12">
        <f t="shared" si="37"/>
        <v>3087000</v>
      </c>
      <c r="T408" s="13"/>
      <c r="U408" s="14"/>
      <c r="V408" s="15"/>
      <c r="W408" s="16"/>
      <c r="X408" s="12"/>
      <c r="Y408" s="17"/>
      <c r="Z408" s="18">
        <f t="shared" si="35"/>
        <v>-3087000</v>
      </c>
      <c r="AA408" s="17"/>
      <c r="AB408" s="17"/>
      <c r="AC408" s="17"/>
      <c r="AD408" s="17"/>
      <c r="AE408" s="17"/>
    </row>
    <row r="409" spans="1:31" ht="16" customHeight="1" x14ac:dyDescent="0.45">
      <c r="A409" s="1">
        <v>2505</v>
      </c>
      <c r="B409" s="2">
        <v>45807</v>
      </c>
      <c r="D409" s="4" t="s">
        <v>27</v>
      </c>
      <c r="E409" s="5" t="s">
        <v>37</v>
      </c>
      <c r="G409" s="5" t="s">
        <v>28</v>
      </c>
      <c r="H409" s="19" t="s">
        <v>32</v>
      </c>
      <c r="K409" s="73"/>
      <c r="L409" s="6">
        <v>13</v>
      </c>
      <c r="M409" s="7">
        <v>227.5</v>
      </c>
      <c r="R409" s="12">
        <v>2100</v>
      </c>
      <c r="S409" s="12">
        <f t="shared" si="37"/>
        <v>477750</v>
      </c>
      <c r="Z409" s="18">
        <f t="shared" si="35"/>
        <v>-477750</v>
      </c>
    </row>
    <row r="410" spans="1:31" ht="16" customHeight="1" x14ac:dyDescent="0.45">
      <c r="A410" s="1">
        <v>2505</v>
      </c>
      <c r="B410" s="2">
        <v>45807</v>
      </c>
      <c r="D410" s="4" t="s">
        <v>27</v>
      </c>
      <c r="G410" s="5" t="s">
        <v>28</v>
      </c>
      <c r="H410" s="19" t="s">
        <v>201</v>
      </c>
      <c r="K410" s="73"/>
      <c r="M410" s="7">
        <v>2906</v>
      </c>
      <c r="R410" s="12">
        <v>2390</v>
      </c>
      <c r="S410" s="12">
        <f t="shared" si="37"/>
        <v>6945340</v>
      </c>
      <c r="Z410" s="18">
        <f t="shared" si="35"/>
        <v>-6945340</v>
      </c>
    </row>
    <row r="411" spans="1:31" ht="16" customHeight="1" x14ac:dyDescent="0.45">
      <c r="A411" s="1">
        <v>2505</v>
      </c>
      <c r="B411" s="2">
        <v>45807</v>
      </c>
      <c r="D411" s="4" t="s">
        <v>98</v>
      </c>
      <c r="E411" s="5" t="s">
        <v>37</v>
      </c>
      <c r="G411" s="5" t="s">
        <v>230</v>
      </c>
      <c r="H411" s="19" t="s">
        <v>401</v>
      </c>
      <c r="K411" s="73"/>
      <c r="M411" s="7">
        <v>14.2</v>
      </c>
      <c r="S411" s="12">
        <v>265000</v>
      </c>
      <c r="Z411" s="18">
        <f t="shared" si="35"/>
        <v>-265000</v>
      </c>
    </row>
    <row r="412" spans="1:31" ht="16" customHeight="1" x14ac:dyDescent="0.45">
      <c r="A412" s="1">
        <v>2505</v>
      </c>
      <c r="B412" s="2">
        <v>45798</v>
      </c>
      <c r="D412" s="4" t="s">
        <v>98</v>
      </c>
      <c r="E412" s="5" t="s">
        <v>37</v>
      </c>
      <c r="G412" s="5" t="s">
        <v>230</v>
      </c>
      <c r="H412" s="19" t="s">
        <v>402</v>
      </c>
      <c r="K412" s="73"/>
      <c r="S412" s="12">
        <v>17500</v>
      </c>
      <c r="Z412" s="18">
        <f t="shared" si="35"/>
        <v>-17500</v>
      </c>
    </row>
    <row r="413" spans="1:31" ht="16" customHeight="1" x14ac:dyDescent="0.45">
      <c r="A413" s="1">
        <v>2505</v>
      </c>
      <c r="B413" s="2">
        <v>45798</v>
      </c>
      <c r="D413" s="4" t="s">
        <v>98</v>
      </c>
      <c r="E413" s="5" t="s">
        <v>37</v>
      </c>
      <c r="G413" s="5" t="s">
        <v>230</v>
      </c>
      <c r="H413" s="19" t="s">
        <v>403</v>
      </c>
      <c r="K413" s="73"/>
      <c r="S413" s="12">
        <v>98000</v>
      </c>
      <c r="Z413" s="18">
        <f t="shared" si="35"/>
        <v>-98000</v>
      </c>
    </row>
    <row r="414" spans="1:31" ht="16" customHeight="1" x14ac:dyDescent="0.45">
      <c r="A414" s="1">
        <v>2505</v>
      </c>
      <c r="B414" s="2">
        <v>45807</v>
      </c>
      <c r="D414" s="4" t="s">
        <v>98</v>
      </c>
      <c r="E414" s="5" t="s">
        <v>109</v>
      </c>
      <c r="G414" s="5" t="s">
        <v>230</v>
      </c>
      <c r="H414" s="19" t="s">
        <v>401</v>
      </c>
      <c r="K414" s="73"/>
      <c r="M414" s="7">
        <v>8.6</v>
      </c>
      <c r="S414" s="12">
        <v>150000</v>
      </c>
      <c r="Z414" s="18">
        <f t="shared" si="35"/>
        <v>-150000</v>
      </c>
    </row>
    <row r="415" spans="1:31" s="21" customFormat="1" ht="16" customHeight="1" x14ac:dyDescent="0.45">
      <c r="A415" s="1">
        <v>2505</v>
      </c>
      <c r="B415" s="2">
        <v>45792</v>
      </c>
      <c r="C415" s="3"/>
      <c r="D415" s="4" t="s">
        <v>35</v>
      </c>
      <c r="E415" s="5" t="s">
        <v>10</v>
      </c>
      <c r="F415" s="5"/>
      <c r="G415" s="5" t="s">
        <v>19</v>
      </c>
      <c r="H415" s="19" t="s">
        <v>104</v>
      </c>
      <c r="I415" s="19" t="s">
        <v>105</v>
      </c>
      <c r="J415" s="19"/>
      <c r="K415" s="20"/>
      <c r="L415" s="6">
        <v>22</v>
      </c>
      <c r="M415" s="7">
        <v>569.5</v>
      </c>
      <c r="N415" s="8">
        <v>11163</v>
      </c>
      <c r="O415" s="9"/>
      <c r="P415" s="10"/>
      <c r="Q415" s="11"/>
      <c r="R415" s="12">
        <v>970</v>
      </c>
      <c r="S415" s="12">
        <f>N415*R415</f>
        <v>10828110</v>
      </c>
      <c r="T415" s="13"/>
      <c r="U415" s="14"/>
      <c r="V415" s="15"/>
      <c r="W415" s="16"/>
      <c r="X415" s="12"/>
      <c r="Y415" s="17"/>
      <c r="Z415" s="18">
        <f t="shared" si="35"/>
        <v>-10828110</v>
      </c>
      <c r="AA415" s="17"/>
      <c r="AB415" s="17"/>
      <c r="AC415" s="17"/>
      <c r="AD415" s="17"/>
      <c r="AE415" s="17"/>
    </row>
    <row r="416" spans="1:31" s="21" customFormat="1" ht="16" customHeight="1" x14ac:dyDescent="0.45">
      <c r="A416" s="1">
        <v>2505</v>
      </c>
      <c r="B416" s="2">
        <v>45799</v>
      </c>
      <c r="C416" s="3"/>
      <c r="D416" s="4" t="s">
        <v>35</v>
      </c>
      <c r="E416" s="5" t="s">
        <v>10</v>
      </c>
      <c r="F416" s="5"/>
      <c r="G416" s="5" t="s">
        <v>28</v>
      </c>
      <c r="H416" s="19" t="s">
        <v>104</v>
      </c>
      <c r="I416" s="19" t="s">
        <v>105</v>
      </c>
      <c r="J416" s="19"/>
      <c r="K416" s="73"/>
      <c r="L416" s="6">
        <v>9</v>
      </c>
      <c r="M416" s="7">
        <v>226.7</v>
      </c>
      <c r="N416" s="8">
        <v>4446</v>
      </c>
      <c r="O416" s="9"/>
      <c r="P416" s="10"/>
      <c r="Q416" s="11"/>
      <c r="R416" s="12">
        <v>970</v>
      </c>
      <c r="S416" s="12">
        <f>N416*R416</f>
        <v>4312620</v>
      </c>
      <c r="T416" s="13"/>
      <c r="U416" s="14"/>
      <c r="V416" s="15"/>
      <c r="W416" s="16"/>
      <c r="X416" s="12"/>
      <c r="Y416" s="17"/>
      <c r="Z416" s="18">
        <f t="shared" si="35"/>
        <v>-4312620</v>
      </c>
      <c r="AA416" s="17"/>
      <c r="AB416" s="17"/>
      <c r="AC416" s="17"/>
      <c r="AD416" s="17"/>
      <c r="AE416" s="17"/>
    </row>
    <row r="417" spans="1:31" s="21" customFormat="1" ht="16" customHeight="1" x14ac:dyDescent="0.45">
      <c r="A417" s="1">
        <v>2505</v>
      </c>
      <c r="B417" s="2">
        <v>45805</v>
      </c>
      <c r="C417" s="3"/>
      <c r="D417" s="4" t="s">
        <v>35</v>
      </c>
      <c r="E417" s="5" t="s">
        <v>10</v>
      </c>
      <c r="F417" s="5"/>
      <c r="G417" s="5" t="s">
        <v>19</v>
      </c>
      <c r="H417" s="19" t="s">
        <v>104</v>
      </c>
      <c r="I417" s="19" t="s">
        <v>105</v>
      </c>
      <c r="J417" s="19"/>
      <c r="K417" s="73"/>
      <c r="L417" s="6">
        <v>9</v>
      </c>
      <c r="M417" s="7">
        <v>229.3</v>
      </c>
      <c r="N417" s="8">
        <v>4495</v>
      </c>
      <c r="O417" s="9"/>
      <c r="P417" s="10"/>
      <c r="Q417" s="11"/>
      <c r="R417" s="12">
        <v>970</v>
      </c>
      <c r="S417" s="12">
        <f>N417*R417</f>
        <v>4360150</v>
      </c>
      <c r="T417" s="13"/>
      <c r="U417" s="14"/>
      <c r="V417" s="15"/>
      <c r="W417" s="16"/>
      <c r="X417" s="12"/>
      <c r="Y417" s="17"/>
      <c r="Z417" s="18">
        <f t="shared" si="35"/>
        <v>-4360150</v>
      </c>
      <c r="AA417" s="17"/>
      <c r="AB417" s="17"/>
      <c r="AC417" s="17"/>
      <c r="AD417" s="17"/>
      <c r="AE417" s="17"/>
    </row>
    <row r="418" spans="1:31" ht="16" customHeight="1" x14ac:dyDescent="0.45">
      <c r="A418" s="1">
        <v>2505</v>
      </c>
      <c r="B418" s="2">
        <v>45784</v>
      </c>
      <c r="C418" s="24"/>
      <c r="D418" s="4" t="s">
        <v>37</v>
      </c>
      <c r="E418" s="5" t="s">
        <v>28</v>
      </c>
      <c r="G418" s="5" t="s">
        <v>28</v>
      </c>
      <c r="H418" s="19" t="s">
        <v>38</v>
      </c>
      <c r="I418" s="19" t="s">
        <v>39</v>
      </c>
      <c r="K418" s="73" t="s">
        <v>43</v>
      </c>
      <c r="L418" s="6">
        <v>33</v>
      </c>
      <c r="M418" s="7">
        <v>472.1</v>
      </c>
      <c r="O418" s="9">
        <v>737</v>
      </c>
      <c r="P418" s="141"/>
      <c r="Q418" s="95"/>
      <c r="R418" s="12">
        <v>2500</v>
      </c>
      <c r="S418" s="12">
        <f t="shared" ref="S418:S438" si="38">M418*R418</f>
        <v>1180250</v>
      </c>
      <c r="T418" s="33"/>
      <c r="U418" s="34"/>
      <c r="V418" s="15">
        <v>6700</v>
      </c>
      <c r="W418" s="16">
        <f t="shared" ref="W418:W438" si="39">O418*V418</f>
        <v>4937900</v>
      </c>
      <c r="Z418" s="18">
        <f t="shared" si="35"/>
        <v>3757650</v>
      </c>
    </row>
    <row r="419" spans="1:31" ht="16" customHeight="1" x14ac:dyDescent="0.45">
      <c r="A419" s="1">
        <v>2505</v>
      </c>
      <c r="B419" s="2">
        <v>45784</v>
      </c>
      <c r="C419" s="24"/>
      <c r="D419" s="4" t="s">
        <v>37</v>
      </c>
      <c r="E419" s="5" t="s">
        <v>28</v>
      </c>
      <c r="G419" s="5" t="s">
        <v>28</v>
      </c>
      <c r="H419" s="19" t="s">
        <v>38</v>
      </c>
      <c r="I419" s="19" t="s">
        <v>39</v>
      </c>
      <c r="K419" s="73" t="s">
        <v>40</v>
      </c>
      <c r="L419" s="6">
        <v>32</v>
      </c>
      <c r="M419" s="7">
        <v>486.1</v>
      </c>
      <c r="O419" s="9">
        <v>764</v>
      </c>
      <c r="P419" s="141"/>
      <c r="Q419" s="95"/>
      <c r="R419" s="12">
        <v>2500</v>
      </c>
      <c r="S419" s="12">
        <f t="shared" si="38"/>
        <v>1215250</v>
      </c>
      <c r="T419" s="33"/>
      <c r="U419" s="34"/>
      <c r="V419" s="15">
        <v>6700</v>
      </c>
      <c r="W419" s="16">
        <f t="shared" si="39"/>
        <v>5118800</v>
      </c>
      <c r="Z419" s="18">
        <f t="shared" si="35"/>
        <v>3903550</v>
      </c>
    </row>
    <row r="420" spans="1:31" ht="16" customHeight="1" x14ac:dyDescent="0.45">
      <c r="A420" s="1">
        <v>2505</v>
      </c>
      <c r="B420" s="2">
        <v>45784</v>
      </c>
      <c r="C420" s="24"/>
      <c r="D420" s="4" t="s">
        <v>37</v>
      </c>
      <c r="E420" s="5" t="s">
        <v>28</v>
      </c>
      <c r="G420" s="5" t="s">
        <v>28</v>
      </c>
      <c r="H420" s="19" t="s">
        <v>38</v>
      </c>
      <c r="I420" s="19" t="s">
        <v>39</v>
      </c>
      <c r="K420" s="73" t="s">
        <v>41</v>
      </c>
      <c r="L420" s="6">
        <v>32</v>
      </c>
      <c r="M420" s="7">
        <v>489.9</v>
      </c>
      <c r="O420" s="9">
        <v>766</v>
      </c>
      <c r="P420" s="141"/>
      <c r="Q420" s="95"/>
      <c r="R420" s="12">
        <v>2500</v>
      </c>
      <c r="S420" s="12">
        <f t="shared" si="38"/>
        <v>1224750</v>
      </c>
      <c r="T420" s="33"/>
      <c r="U420" s="34"/>
      <c r="V420" s="15">
        <v>6700</v>
      </c>
      <c r="W420" s="16">
        <f t="shared" si="39"/>
        <v>5132200</v>
      </c>
      <c r="Z420" s="18">
        <f t="shared" si="35"/>
        <v>3907450</v>
      </c>
    </row>
    <row r="421" spans="1:31" ht="16" customHeight="1" x14ac:dyDescent="0.45">
      <c r="A421" s="1">
        <v>2505</v>
      </c>
      <c r="B421" s="2">
        <v>45784</v>
      </c>
      <c r="C421" s="24"/>
      <c r="D421" s="4" t="s">
        <v>37</v>
      </c>
      <c r="E421" s="5" t="s">
        <v>28</v>
      </c>
      <c r="G421" s="5" t="s">
        <v>28</v>
      </c>
      <c r="H421" s="19" t="s">
        <v>38</v>
      </c>
      <c r="I421" s="19" t="s">
        <v>39</v>
      </c>
      <c r="K421" s="73" t="s">
        <v>42</v>
      </c>
      <c r="L421" s="6">
        <v>33</v>
      </c>
      <c r="M421" s="7">
        <v>486</v>
      </c>
      <c r="O421" s="9">
        <v>771</v>
      </c>
      <c r="P421" s="141"/>
      <c r="Q421" s="95"/>
      <c r="R421" s="12">
        <v>2500</v>
      </c>
      <c r="S421" s="12">
        <f t="shared" si="38"/>
        <v>1215000</v>
      </c>
      <c r="T421" s="33"/>
      <c r="U421" s="34"/>
      <c r="V421" s="15">
        <v>6700</v>
      </c>
      <c r="W421" s="16">
        <f t="shared" si="39"/>
        <v>5165700</v>
      </c>
      <c r="Z421" s="18">
        <f t="shared" si="35"/>
        <v>3950700</v>
      </c>
    </row>
    <row r="422" spans="1:31" ht="16" customHeight="1" x14ac:dyDescent="0.45">
      <c r="A422" s="1">
        <v>2505</v>
      </c>
      <c r="B422" s="2">
        <v>45790</v>
      </c>
      <c r="C422" s="24"/>
      <c r="D422" s="4" t="s">
        <v>37</v>
      </c>
      <c r="E422" s="5" t="s">
        <v>28</v>
      </c>
      <c r="G422" s="5" t="s">
        <v>28</v>
      </c>
      <c r="H422" s="19" t="s">
        <v>38</v>
      </c>
      <c r="I422" s="19" t="s">
        <v>39</v>
      </c>
      <c r="K422" s="73" t="s">
        <v>49</v>
      </c>
      <c r="L422" s="6">
        <v>31</v>
      </c>
      <c r="M422" s="7">
        <v>471.2</v>
      </c>
      <c r="O422" s="9">
        <v>728</v>
      </c>
      <c r="P422" s="141"/>
      <c r="Q422" s="95"/>
      <c r="R422" s="12">
        <v>2500</v>
      </c>
      <c r="S422" s="12">
        <f t="shared" si="38"/>
        <v>1178000</v>
      </c>
      <c r="T422" s="33"/>
      <c r="U422" s="34"/>
      <c r="V422" s="15">
        <v>6700</v>
      </c>
      <c r="W422" s="16">
        <f t="shared" si="39"/>
        <v>4877600</v>
      </c>
      <c r="Z422" s="18">
        <f t="shared" si="35"/>
        <v>3699600</v>
      </c>
    </row>
    <row r="423" spans="1:31" ht="16" customHeight="1" x14ac:dyDescent="0.45">
      <c r="A423" s="1">
        <v>2505</v>
      </c>
      <c r="B423" s="2">
        <v>45790</v>
      </c>
      <c r="C423" s="24"/>
      <c r="D423" s="4" t="s">
        <v>37</v>
      </c>
      <c r="E423" s="5" t="s">
        <v>28</v>
      </c>
      <c r="G423" s="5" t="s">
        <v>28</v>
      </c>
      <c r="H423" s="19" t="s">
        <v>38</v>
      </c>
      <c r="I423" s="19" t="s">
        <v>39</v>
      </c>
      <c r="K423" s="73" t="s">
        <v>46</v>
      </c>
      <c r="L423" s="6">
        <v>32</v>
      </c>
      <c r="M423" s="7">
        <v>476.8</v>
      </c>
      <c r="O423" s="9">
        <v>748</v>
      </c>
      <c r="P423" s="141"/>
      <c r="Q423" s="95"/>
      <c r="R423" s="12">
        <v>2500</v>
      </c>
      <c r="S423" s="12">
        <f t="shared" si="38"/>
        <v>1192000</v>
      </c>
      <c r="T423" s="33"/>
      <c r="U423" s="34"/>
      <c r="V423" s="15">
        <v>6700</v>
      </c>
      <c r="W423" s="16">
        <f t="shared" si="39"/>
        <v>5011600</v>
      </c>
      <c r="Z423" s="18">
        <f t="shared" si="35"/>
        <v>3819600</v>
      </c>
    </row>
    <row r="424" spans="1:31" ht="16" customHeight="1" x14ac:dyDescent="0.45">
      <c r="A424" s="1">
        <v>2505</v>
      </c>
      <c r="B424" s="2">
        <v>45790</v>
      </c>
      <c r="C424" s="24"/>
      <c r="D424" s="4" t="s">
        <v>37</v>
      </c>
      <c r="E424" s="5" t="s">
        <v>28</v>
      </c>
      <c r="G424" s="5" t="s">
        <v>28</v>
      </c>
      <c r="H424" s="19" t="s">
        <v>38</v>
      </c>
      <c r="I424" s="19" t="s">
        <v>39</v>
      </c>
      <c r="K424" s="73" t="s">
        <v>48</v>
      </c>
      <c r="L424" s="6">
        <v>32</v>
      </c>
      <c r="M424" s="7">
        <v>479.4</v>
      </c>
      <c r="O424" s="9">
        <v>750</v>
      </c>
      <c r="P424" s="141"/>
      <c r="Q424" s="95"/>
      <c r="R424" s="12">
        <v>2500</v>
      </c>
      <c r="S424" s="12">
        <f t="shared" si="38"/>
        <v>1198500</v>
      </c>
      <c r="T424" s="33"/>
      <c r="U424" s="34"/>
      <c r="V424" s="15">
        <v>6700</v>
      </c>
      <c r="W424" s="16">
        <f t="shared" si="39"/>
        <v>5025000</v>
      </c>
      <c r="Z424" s="18">
        <f t="shared" si="35"/>
        <v>3826500</v>
      </c>
    </row>
    <row r="425" spans="1:31" ht="16" customHeight="1" x14ac:dyDescent="0.45">
      <c r="A425" s="1">
        <v>2505</v>
      </c>
      <c r="B425" s="2">
        <v>45790</v>
      </c>
      <c r="C425" s="24"/>
      <c r="D425" s="4" t="s">
        <v>37</v>
      </c>
      <c r="E425" s="5" t="s">
        <v>28</v>
      </c>
      <c r="G425" s="5" t="s">
        <v>28</v>
      </c>
      <c r="H425" s="19" t="s">
        <v>38</v>
      </c>
      <c r="I425" s="19" t="s">
        <v>39</v>
      </c>
      <c r="K425" s="73" t="s">
        <v>44</v>
      </c>
      <c r="L425" s="6">
        <v>32</v>
      </c>
      <c r="M425" s="7">
        <v>489</v>
      </c>
      <c r="O425" s="9">
        <v>762</v>
      </c>
      <c r="P425" s="141"/>
      <c r="Q425" s="95"/>
      <c r="R425" s="12">
        <v>2500</v>
      </c>
      <c r="S425" s="12">
        <f t="shared" si="38"/>
        <v>1222500</v>
      </c>
      <c r="T425" s="33"/>
      <c r="U425" s="34"/>
      <c r="V425" s="15">
        <v>6700</v>
      </c>
      <c r="W425" s="16">
        <f t="shared" si="39"/>
        <v>5105400</v>
      </c>
      <c r="Z425" s="18">
        <f t="shared" si="35"/>
        <v>3882900</v>
      </c>
    </row>
    <row r="426" spans="1:31" ht="16" customHeight="1" x14ac:dyDescent="0.45">
      <c r="A426" s="1">
        <v>2505</v>
      </c>
      <c r="B426" s="2">
        <v>45790</v>
      </c>
      <c r="C426" s="24"/>
      <c r="D426" s="4" t="s">
        <v>37</v>
      </c>
      <c r="E426" s="5" t="s">
        <v>28</v>
      </c>
      <c r="G426" s="5" t="s">
        <v>28</v>
      </c>
      <c r="H426" s="19" t="s">
        <v>38</v>
      </c>
      <c r="I426" s="19" t="s">
        <v>39</v>
      </c>
      <c r="K426" s="73" t="s">
        <v>50</v>
      </c>
      <c r="L426" s="6">
        <v>32</v>
      </c>
      <c r="M426" s="7">
        <v>487.9</v>
      </c>
      <c r="O426" s="9">
        <v>765</v>
      </c>
      <c r="P426" s="141"/>
      <c r="Q426" s="95"/>
      <c r="R426" s="12">
        <v>2500</v>
      </c>
      <c r="S426" s="12">
        <f t="shared" si="38"/>
        <v>1219750</v>
      </c>
      <c r="T426" s="33"/>
      <c r="U426" s="34"/>
      <c r="V426" s="15">
        <v>6700</v>
      </c>
      <c r="W426" s="16">
        <f t="shared" si="39"/>
        <v>5125500</v>
      </c>
      <c r="Z426" s="18">
        <f t="shared" si="35"/>
        <v>3905750</v>
      </c>
    </row>
    <row r="427" spans="1:31" ht="16" customHeight="1" x14ac:dyDescent="0.45">
      <c r="A427" s="1">
        <v>2505</v>
      </c>
      <c r="B427" s="2">
        <v>45790</v>
      </c>
      <c r="C427" s="24"/>
      <c r="D427" s="4" t="s">
        <v>37</v>
      </c>
      <c r="E427" s="5" t="s">
        <v>28</v>
      </c>
      <c r="G427" s="5" t="s">
        <v>28</v>
      </c>
      <c r="H427" s="19" t="s">
        <v>38</v>
      </c>
      <c r="I427" s="19" t="s">
        <v>39</v>
      </c>
      <c r="K427" s="73" t="s">
        <v>45</v>
      </c>
      <c r="L427" s="6">
        <v>32</v>
      </c>
      <c r="M427" s="7">
        <v>483.8</v>
      </c>
      <c r="O427" s="9">
        <v>766</v>
      </c>
      <c r="P427" s="141"/>
      <c r="Q427" s="95"/>
      <c r="R427" s="12">
        <v>2500</v>
      </c>
      <c r="S427" s="12">
        <f t="shared" si="38"/>
        <v>1209500</v>
      </c>
      <c r="T427" s="33"/>
      <c r="U427" s="34"/>
      <c r="V427" s="15">
        <v>6700</v>
      </c>
      <c r="W427" s="16">
        <f t="shared" si="39"/>
        <v>5132200</v>
      </c>
      <c r="Z427" s="18">
        <f t="shared" si="35"/>
        <v>3922700</v>
      </c>
    </row>
    <row r="428" spans="1:31" ht="16" customHeight="1" x14ac:dyDescent="0.45">
      <c r="A428" s="1">
        <v>2505</v>
      </c>
      <c r="B428" s="2">
        <v>45797</v>
      </c>
      <c r="C428" s="24"/>
      <c r="D428" s="4" t="s">
        <v>37</v>
      </c>
      <c r="E428" s="5" t="s">
        <v>28</v>
      </c>
      <c r="G428" s="5" t="s">
        <v>28</v>
      </c>
      <c r="H428" s="19" t="s">
        <v>38</v>
      </c>
      <c r="I428" s="19" t="s">
        <v>39</v>
      </c>
      <c r="K428" s="73" t="s">
        <v>71</v>
      </c>
      <c r="L428" s="6">
        <v>32</v>
      </c>
      <c r="M428" s="7">
        <v>483.4</v>
      </c>
      <c r="O428" s="9">
        <v>744</v>
      </c>
      <c r="P428" s="141"/>
      <c r="Q428" s="95"/>
      <c r="R428" s="12">
        <v>2500</v>
      </c>
      <c r="S428" s="12">
        <f t="shared" si="38"/>
        <v>1208500</v>
      </c>
      <c r="T428" s="33"/>
      <c r="U428" s="34"/>
      <c r="V428" s="15">
        <v>6700</v>
      </c>
      <c r="W428" s="16">
        <f t="shared" si="39"/>
        <v>4984800</v>
      </c>
      <c r="Z428" s="18">
        <f t="shared" si="35"/>
        <v>3776300</v>
      </c>
    </row>
    <row r="429" spans="1:31" ht="16" customHeight="1" x14ac:dyDescent="0.45">
      <c r="A429" s="1">
        <v>2505</v>
      </c>
      <c r="B429" s="2">
        <v>45797</v>
      </c>
      <c r="C429" s="24"/>
      <c r="D429" s="4" t="s">
        <v>37</v>
      </c>
      <c r="E429" s="5" t="s">
        <v>28</v>
      </c>
      <c r="G429" s="5" t="s">
        <v>28</v>
      </c>
      <c r="H429" s="19" t="s">
        <v>38</v>
      </c>
      <c r="I429" s="19" t="s">
        <v>39</v>
      </c>
      <c r="K429" s="73" t="s">
        <v>83</v>
      </c>
      <c r="L429" s="6">
        <v>32</v>
      </c>
      <c r="M429" s="7">
        <v>485.8</v>
      </c>
      <c r="O429" s="9">
        <v>749</v>
      </c>
      <c r="P429" s="141"/>
      <c r="Q429" s="95"/>
      <c r="R429" s="12">
        <v>2500</v>
      </c>
      <c r="S429" s="12">
        <f t="shared" si="38"/>
        <v>1214500</v>
      </c>
      <c r="T429" s="33"/>
      <c r="U429" s="34"/>
      <c r="V429" s="15">
        <v>6700</v>
      </c>
      <c r="W429" s="16">
        <f t="shared" si="39"/>
        <v>5018300</v>
      </c>
      <c r="Z429" s="18">
        <f t="shared" si="35"/>
        <v>3803800</v>
      </c>
    </row>
    <row r="430" spans="1:31" ht="16" customHeight="1" x14ac:dyDescent="0.45">
      <c r="A430" s="1">
        <v>2505</v>
      </c>
      <c r="B430" s="2">
        <v>45797</v>
      </c>
      <c r="C430" s="24"/>
      <c r="D430" s="4" t="s">
        <v>37</v>
      </c>
      <c r="E430" s="5" t="s">
        <v>28</v>
      </c>
      <c r="G430" s="5" t="s">
        <v>28</v>
      </c>
      <c r="H430" s="19" t="s">
        <v>38</v>
      </c>
      <c r="I430" s="19" t="s">
        <v>39</v>
      </c>
      <c r="K430" s="73" t="s">
        <v>84</v>
      </c>
      <c r="L430" s="6">
        <v>32</v>
      </c>
      <c r="M430" s="7">
        <v>480.6</v>
      </c>
      <c r="O430" s="9">
        <v>758</v>
      </c>
      <c r="P430" s="141"/>
      <c r="Q430" s="95"/>
      <c r="R430" s="12">
        <v>2500</v>
      </c>
      <c r="S430" s="12">
        <f t="shared" si="38"/>
        <v>1201500</v>
      </c>
      <c r="T430" s="33"/>
      <c r="U430" s="34"/>
      <c r="V430" s="15">
        <v>6700</v>
      </c>
      <c r="W430" s="16">
        <f t="shared" si="39"/>
        <v>5078600</v>
      </c>
      <c r="Z430" s="18">
        <f t="shared" si="35"/>
        <v>3877100</v>
      </c>
    </row>
    <row r="431" spans="1:31" ht="16" customHeight="1" x14ac:dyDescent="0.45">
      <c r="A431" s="1">
        <v>2505</v>
      </c>
      <c r="B431" s="2">
        <v>45797</v>
      </c>
      <c r="C431" s="24"/>
      <c r="D431" s="4" t="s">
        <v>37</v>
      </c>
      <c r="E431" s="5" t="s">
        <v>28</v>
      </c>
      <c r="G431" s="5" t="s">
        <v>28</v>
      </c>
      <c r="H431" s="19" t="s">
        <v>38</v>
      </c>
      <c r="I431" s="19" t="s">
        <v>39</v>
      </c>
      <c r="K431" s="73" t="s">
        <v>72</v>
      </c>
      <c r="L431" s="6">
        <v>32</v>
      </c>
      <c r="M431" s="7">
        <v>496</v>
      </c>
      <c r="O431" s="9">
        <v>764</v>
      </c>
      <c r="P431" s="141"/>
      <c r="Q431" s="95"/>
      <c r="R431" s="12">
        <v>2500</v>
      </c>
      <c r="S431" s="12">
        <f t="shared" si="38"/>
        <v>1240000</v>
      </c>
      <c r="T431" s="33"/>
      <c r="U431" s="34"/>
      <c r="V431" s="15">
        <v>6700</v>
      </c>
      <c r="W431" s="16">
        <f t="shared" si="39"/>
        <v>5118800</v>
      </c>
      <c r="Z431" s="18">
        <f t="shared" si="35"/>
        <v>3878800</v>
      </c>
    </row>
    <row r="432" spans="1:31" ht="16" customHeight="1" x14ac:dyDescent="0.45">
      <c r="A432" s="1">
        <v>2505</v>
      </c>
      <c r="B432" s="2">
        <v>45797</v>
      </c>
      <c r="C432" s="24"/>
      <c r="D432" s="4" t="s">
        <v>37</v>
      </c>
      <c r="E432" s="5" t="s">
        <v>28</v>
      </c>
      <c r="G432" s="5" t="s">
        <v>28</v>
      </c>
      <c r="H432" s="19" t="s">
        <v>38</v>
      </c>
      <c r="I432" s="19" t="s">
        <v>39</v>
      </c>
      <c r="K432" s="73" t="s">
        <v>85</v>
      </c>
      <c r="L432" s="6">
        <v>32</v>
      </c>
      <c r="M432" s="7">
        <v>488</v>
      </c>
      <c r="O432" s="9">
        <v>776</v>
      </c>
      <c r="P432" s="141"/>
      <c r="Q432" s="95"/>
      <c r="R432" s="12">
        <v>2500</v>
      </c>
      <c r="S432" s="12">
        <f t="shared" si="38"/>
        <v>1220000</v>
      </c>
      <c r="T432" s="33"/>
      <c r="U432" s="34"/>
      <c r="V432" s="15">
        <v>6700</v>
      </c>
      <c r="W432" s="16">
        <f t="shared" si="39"/>
        <v>5199200</v>
      </c>
      <c r="Z432" s="18">
        <f t="shared" si="35"/>
        <v>3979200</v>
      </c>
    </row>
    <row r="433" spans="1:31" ht="16" customHeight="1" x14ac:dyDescent="0.45">
      <c r="A433" s="1">
        <v>2505</v>
      </c>
      <c r="B433" s="2">
        <v>45797</v>
      </c>
      <c r="C433" s="24"/>
      <c r="D433" s="4" t="s">
        <v>37</v>
      </c>
      <c r="E433" s="5" t="s">
        <v>28</v>
      </c>
      <c r="G433" s="5" t="s">
        <v>28</v>
      </c>
      <c r="H433" s="19" t="s">
        <v>38</v>
      </c>
      <c r="I433" s="19" t="s">
        <v>39</v>
      </c>
      <c r="K433" s="73" t="s">
        <v>51</v>
      </c>
      <c r="L433" s="6">
        <v>32</v>
      </c>
      <c r="M433" s="7">
        <v>484.4</v>
      </c>
      <c r="O433" s="9">
        <v>781</v>
      </c>
      <c r="P433" s="141"/>
      <c r="Q433" s="95"/>
      <c r="R433" s="12">
        <v>2500</v>
      </c>
      <c r="S433" s="12">
        <f t="shared" si="38"/>
        <v>1211000</v>
      </c>
      <c r="T433" s="33"/>
      <c r="U433" s="34"/>
      <c r="V433" s="15">
        <v>6700</v>
      </c>
      <c r="W433" s="16">
        <f t="shared" si="39"/>
        <v>5232700</v>
      </c>
      <c r="Z433" s="18">
        <f t="shared" si="35"/>
        <v>4021700</v>
      </c>
    </row>
    <row r="434" spans="1:31" ht="16" customHeight="1" x14ac:dyDescent="0.45">
      <c r="A434" s="1">
        <v>2505</v>
      </c>
      <c r="B434" s="2">
        <v>45804</v>
      </c>
      <c r="C434" s="24"/>
      <c r="D434" s="4" t="s">
        <v>37</v>
      </c>
      <c r="E434" s="5" t="s">
        <v>28</v>
      </c>
      <c r="G434" s="5" t="s">
        <v>28</v>
      </c>
      <c r="H434" s="19" t="s">
        <v>38</v>
      </c>
      <c r="I434" s="19" t="s">
        <v>39</v>
      </c>
      <c r="K434" s="73" t="s">
        <v>144</v>
      </c>
      <c r="L434" s="6">
        <v>23</v>
      </c>
      <c r="M434" s="7">
        <v>346.4</v>
      </c>
      <c r="O434" s="9">
        <v>542</v>
      </c>
      <c r="P434" s="141"/>
      <c r="Q434" s="95"/>
      <c r="R434" s="12">
        <v>2500</v>
      </c>
      <c r="S434" s="12">
        <f t="shared" si="38"/>
        <v>866000</v>
      </c>
      <c r="T434" s="33"/>
      <c r="U434" s="34"/>
      <c r="V434" s="15">
        <v>6700</v>
      </c>
      <c r="W434" s="16">
        <f t="shared" si="39"/>
        <v>3631400</v>
      </c>
      <c r="Z434" s="18">
        <f t="shared" si="35"/>
        <v>2765400</v>
      </c>
    </row>
    <row r="435" spans="1:31" ht="16" customHeight="1" x14ac:dyDescent="0.45">
      <c r="A435" s="1">
        <v>2505</v>
      </c>
      <c r="B435" s="2">
        <v>45804</v>
      </c>
      <c r="C435" s="24"/>
      <c r="D435" s="4" t="s">
        <v>37</v>
      </c>
      <c r="E435" s="5" t="s">
        <v>28</v>
      </c>
      <c r="G435" s="5" t="s">
        <v>28</v>
      </c>
      <c r="H435" s="19" t="s">
        <v>38</v>
      </c>
      <c r="I435" s="19" t="s">
        <v>39</v>
      </c>
      <c r="K435" s="73" t="s">
        <v>136</v>
      </c>
      <c r="L435" s="6">
        <v>33</v>
      </c>
      <c r="M435" s="7">
        <v>496.6</v>
      </c>
      <c r="O435" s="9">
        <v>775</v>
      </c>
      <c r="P435" s="141"/>
      <c r="Q435" s="95"/>
      <c r="R435" s="12">
        <v>2500</v>
      </c>
      <c r="S435" s="12">
        <f t="shared" si="38"/>
        <v>1241500</v>
      </c>
      <c r="T435" s="33"/>
      <c r="U435" s="34"/>
      <c r="V435" s="15">
        <v>6700</v>
      </c>
      <c r="W435" s="16">
        <f t="shared" si="39"/>
        <v>5192500</v>
      </c>
      <c r="Z435" s="18">
        <f t="shared" si="35"/>
        <v>3951000</v>
      </c>
    </row>
    <row r="436" spans="1:31" ht="16" customHeight="1" x14ac:dyDescent="0.45">
      <c r="A436" s="1">
        <v>2505</v>
      </c>
      <c r="B436" s="2">
        <v>45804</v>
      </c>
      <c r="C436" s="24"/>
      <c r="D436" s="4" t="s">
        <v>37</v>
      </c>
      <c r="E436" s="5" t="s">
        <v>28</v>
      </c>
      <c r="G436" s="5" t="s">
        <v>28</v>
      </c>
      <c r="H436" s="19" t="s">
        <v>38</v>
      </c>
      <c r="I436" s="19" t="s">
        <v>39</v>
      </c>
      <c r="K436" s="73" t="s">
        <v>107</v>
      </c>
      <c r="L436" s="6">
        <v>33</v>
      </c>
      <c r="M436" s="7">
        <v>506.7</v>
      </c>
      <c r="O436" s="9">
        <v>782</v>
      </c>
      <c r="P436" s="141"/>
      <c r="Q436" s="95"/>
      <c r="R436" s="12">
        <v>2500</v>
      </c>
      <c r="S436" s="12">
        <f t="shared" si="38"/>
        <v>1266750</v>
      </c>
      <c r="T436" s="33"/>
      <c r="U436" s="34"/>
      <c r="V436" s="15">
        <v>6700</v>
      </c>
      <c r="W436" s="16">
        <f t="shared" si="39"/>
        <v>5239400</v>
      </c>
      <c r="Z436" s="18">
        <f t="shared" si="35"/>
        <v>3972650</v>
      </c>
    </row>
    <row r="437" spans="1:31" ht="16" customHeight="1" x14ac:dyDescent="0.45">
      <c r="A437" s="1">
        <v>2505</v>
      </c>
      <c r="B437" s="2">
        <v>45804</v>
      </c>
      <c r="C437" s="24"/>
      <c r="D437" s="4" t="s">
        <v>37</v>
      </c>
      <c r="E437" s="5" t="s">
        <v>28</v>
      </c>
      <c r="G437" s="5" t="s">
        <v>28</v>
      </c>
      <c r="H437" s="19" t="s">
        <v>38</v>
      </c>
      <c r="I437" s="19" t="s">
        <v>39</v>
      </c>
      <c r="K437" s="73" t="s">
        <v>73</v>
      </c>
      <c r="L437" s="6">
        <v>33</v>
      </c>
      <c r="M437" s="7">
        <v>497.6</v>
      </c>
      <c r="O437" s="9">
        <v>789</v>
      </c>
      <c r="P437" s="141"/>
      <c r="Q437" s="95"/>
      <c r="R437" s="12">
        <v>2500</v>
      </c>
      <c r="S437" s="12">
        <f t="shared" si="38"/>
        <v>1244000</v>
      </c>
      <c r="T437" s="33"/>
      <c r="U437" s="34"/>
      <c r="V437" s="15">
        <v>6700</v>
      </c>
      <c r="W437" s="16">
        <f t="shared" si="39"/>
        <v>5286300</v>
      </c>
      <c r="Z437" s="18">
        <f t="shared" si="35"/>
        <v>4042300</v>
      </c>
    </row>
    <row r="438" spans="1:31" ht="16" customHeight="1" x14ac:dyDescent="0.45">
      <c r="A438" s="1">
        <v>2505</v>
      </c>
      <c r="B438" s="2">
        <v>45804</v>
      </c>
      <c r="C438" s="24"/>
      <c r="D438" s="4" t="s">
        <v>37</v>
      </c>
      <c r="E438" s="5" t="s">
        <v>28</v>
      </c>
      <c r="G438" s="5" t="s">
        <v>28</v>
      </c>
      <c r="H438" s="19" t="s">
        <v>38</v>
      </c>
      <c r="I438" s="19" t="s">
        <v>39</v>
      </c>
      <c r="K438" s="73" t="s">
        <v>106</v>
      </c>
      <c r="L438" s="6">
        <v>66</v>
      </c>
      <c r="M438" s="7">
        <v>988.6</v>
      </c>
      <c r="O438" s="9">
        <v>1551</v>
      </c>
      <c r="P438" s="141"/>
      <c r="Q438" s="95"/>
      <c r="R438" s="12">
        <v>2500</v>
      </c>
      <c r="S438" s="12">
        <f t="shared" si="38"/>
        <v>2471500</v>
      </c>
      <c r="T438" s="33"/>
      <c r="U438" s="34"/>
      <c r="V438" s="15">
        <v>6700</v>
      </c>
      <c r="W438" s="16">
        <f t="shared" si="39"/>
        <v>10391700</v>
      </c>
      <c r="Z438" s="18">
        <f t="shared" si="35"/>
        <v>7920200</v>
      </c>
    </row>
    <row r="439" spans="1:31" ht="16" customHeight="1" x14ac:dyDescent="0.45">
      <c r="A439" s="1">
        <v>2505</v>
      </c>
      <c r="B439" s="2">
        <v>45784</v>
      </c>
      <c r="D439" s="4" t="s">
        <v>302</v>
      </c>
      <c r="E439" s="5" t="s">
        <v>30</v>
      </c>
      <c r="G439" s="5" t="s">
        <v>31</v>
      </c>
      <c r="H439" s="19" t="s">
        <v>404</v>
      </c>
      <c r="I439" s="19" t="s">
        <v>405</v>
      </c>
      <c r="K439" s="73"/>
      <c r="L439" s="6">
        <v>4</v>
      </c>
      <c r="M439" s="7">
        <v>6</v>
      </c>
      <c r="P439" s="141"/>
      <c r="Q439" s="95"/>
      <c r="Z439" s="18">
        <f t="shared" si="35"/>
        <v>0</v>
      </c>
    </row>
    <row r="440" spans="1:31" s="21" customFormat="1" ht="16" customHeight="1" x14ac:dyDescent="0.45">
      <c r="A440" s="1">
        <v>2505</v>
      </c>
      <c r="B440" s="23">
        <v>45796</v>
      </c>
      <c r="C440" s="24"/>
      <c r="D440" s="25" t="s">
        <v>28</v>
      </c>
      <c r="E440" s="26" t="s">
        <v>388</v>
      </c>
      <c r="F440" s="26"/>
      <c r="G440" s="26" t="s">
        <v>1</v>
      </c>
      <c r="H440" s="27" t="s">
        <v>406</v>
      </c>
      <c r="I440" s="27"/>
      <c r="J440" s="27"/>
      <c r="K440" s="28"/>
      <c r="L440" s="29"/>
      <c r="M440" s="30"/>
      <c r="N440" s="31">
        <v>30</v>
      </c>
      <c r="O440" s="32"/>
      <c r="P440" s="91"/>
      <c r="Q440" s="92"/>
      <c r="R440" s="93"/>
      <c r="S440" s="93"/>
      <c r="T440" s="33"/>
      <c r="U440" s="34"/>
      <c r="V440" s="35"/>
      <c r="W440" s="36"/>
      <c r="X440" s="93"/>
      <c r="Z440" s="18">
        <f t="shared" si="35"/>
        <v>0</v>
      </c>
      <c r="AA440" s="17"/>
      <c r="AB440" s="17"/>
      <c r="AC440" s="17"/>
      <c r="AD440" s="17"/>
      <c r="AE440" s="17"/>
    </row>
    <row r="441" spans="1:31" ht="16" customHeight="1" x14ac:dyDescent="0.45">
      <c r="A441" s="1">
        <v>2505</v>
      </c>
      <c r="B441" s="2">
        <v>45808</v>
      </c>
      <c r="D441" s="4" t="s">
        <v>159</v>
      </c>
      <c r="G441" s="5" t="s">
        <v>28</v>
      </c>
      <c r="H441" s="19" t="s">
        <v>189</v>
      </c>
      <c r="K441" s="73"/>
      <c r="N441" s="8">
        <v>18118</v>
      </c>
      <c r="R441" s="12">
        <v>130</v>
      </c>
      <c r="S441" s="12">
        <f t="shared" ref="S441:S449" si="40">N441*R441</f>
        <v>2355340</v>
      </c>
      <c r="Z441" s="18">
        <f t="shared" si="35"/>
        <v>-2355340</v>
      </c>
    </row>
    <row r="442" spans="1:31" ht="16" customHeight="1" x14ac:dyDescent="0.45">
      <c r="A442" s="1">
        <v>2505</v>
      </c>
      <c r="B442" s="2">
        <v>45784</v>
      </c>
      <c r="D442" s="4" t="s">
        <v>3</v>
      </c>
      <c r="E442" s="5" t="s">
        <v>211</v>
      </c>
      <c r="G442" s="5" t="s">
        <v>1</v>
      </c>
      <c r="H442" s="19" t="s">
        <v>2</v>
      </c>
      <c r="I442" s="19" t="s">
        <v>53</v>
      </c>
      <c r="K442" s="73"/>
      <c r="L442" s="6">
        <v>6</v>
      </c>
      <c r="M442" s="7">
        <v>97</v>
      </c>
      <c r="N442" s="8">
        <v>1461</v>
      </c>
      <c r="R442" s="12">
        <v>550</v>
      </c>
      <c r="S442" s="12">
        <f t="shared" si="40"/>
        <v>803550</v>
      </c>
      <c r="Z442" s="18">
        <f t="shared" si="35"/>
        <v>-803550</v>
      </c>
    </row>
    <row r="443" spans="1:31" ht="16" customHeight="1" x14ac:dyDescent="0.45">
      <c r="A443" s="1">
        <v>2505</v>
      </c>
      <c r="B443" s="2">
        <v>45789</v>
      </c>
      <c r="D443" s="4" t="s">
        <v>3</v>
      </c>
      <c r="E443" s="5" t="s">
        <v>211</v>
      </c>
      <c r="G443" s="5" t="s">
        <v>1</v>
      </c>
      <c r="H443" s="19" t="s">
        <v>2</v>
      </c>
      <c r="I443" s="19" t="s">
        <v>53</v>
      </c>
      <c r="K443" s="73"/>
      <c r="L443" s="6">
        <v>13</v>
      </c>
      <c r="M443" s="7">
        <v>79</v>
      </c>
      <c r="N443" s="8">
        <v>1244</v>
      </c>
      <c r="R443" s="12">
        <v>550</v>
      </c>
      <c r="S443" s="12">
        <f t="shared" si="40"/>
        <v>684200</v>
      </c>
      <c r="Z443" s="18">
        <f t="shared" si="35"/>
        <v>-684200</v>
      </c>
    </row>
    <row r="444" spans="1:31" ht="16" customHeight="1" x14ac:dyDescent="0.45">
      <c r="A444" s="1">
        <v>2505</v>
      </c>
      <c r="B444" s="2">
        <v>45798</v>
      </c>
      <c r="D444" s="4" t="s">
        <v>3</v>
      </c>
      <c r="E444" s="5" t="s">
        <v>211</v>
      </c>
      <c r="G444" s="5" t="s">
        <v>1</v>
      </c>
      <c r="H444" s="19" t="s">
        <v>2</v>
      </c>
      <c r="I444" s="19" t="s">
        <v>53</v>
      </c>
      <c r="K444" s="20">
        <v>33</v>
      </c>
      <c r="L444" s="6">
        <v>6</v>
      </c>
      <c r="M444" s="7">
        <v>97</v>
      </c>
      <c r="N444" s="8">
        <v>1461</v>
      </c>
      <c r="R444" s="12">
        <v>550</v>
      </c>
      <c r="S444" s="12">
        <f t="shared" si="40"/>
        <v>803550</v>
      </c>
      <c r="Z444" s="18">
        <f t="shared" si="35"/>
        <v>-803550</v>
      </c>
    </row>
    <row r="445" spans="1:31" ht="16" customHeight="1" x14ac:dyDescent="0.45">
      <c r="A445" s="1">
        <v>2505</v>
      </c>
      <c r="B445" s="2">
        <v>45803</v>
      </c>
      <c r="D445" s="4" t="s">
        <v>3</v>
      </c>
      <c r="E445" s="5" t="s">
        <v>211</v>
      </c>
      <c r="G445" s="5" t="s">
        <v>1</v>
      </c>
      <c r="H445" s="19" t="s">
        <v>2</v>
      </c>
      <c r="I445" s="19" t="s">
        <v>56</v>
      </c>
      <c r="K445" s="73">
        <v>22</v>
      </c>
      <c r="L445" s="6">
        <v>8</v>
      </c>
      <c r="M445" s="7">
        <v>90.9</v>
      </c>
      <c r="N445" s="8">
        <v>1429</v>
      </c>
      <c r="R445" s="12">
        <v>500</v>
      </c>
      <c r="S445" s="12">
        <f t="shared" si="40"/>
        <v>714500</v>
      </c>
      <c r="Z445" s="18">
        <f t="shared" si="35"/>
        <v>-714500</v>
      </c>
    </row>
    <row r="446" spans="1:31" ht="16" customHeight="1" x14ac:dyDescent="0.45">
      <c r="A446" s="1">
        <v>2505</v>
      </c>
      <c r="B446" s="2">
        <v>45803</v>
      </c>
      <c r="D446" s="4" t="s">
        <v>3</v>
      </c>
      <c r="E446" s="5" t="s">
        <v>211</v>
      </c>
      <c r="G446" s="5" t="s">
        <v>1</v>
      </c>
      <c r="H446" s="19" t="s">
        <v>2</v>
      </c>
      <c r="I446" s="19" t="s">
        <v>56</v>
      </c>
      <c r="K446" s="73">
        <v>21</v>
      </c>
      <c r="L446" s="6">
        <v>7</v>
      </c>
      <c r="M446" s="7">
        <v>91.5</v>
      </c>
      <c r="N446" s="8">
        <v>1413</v>
      </c>
      <c r="R446" s="12">
        <v>500</v>
      </c>
      <c r="S446" s="12">
        <f t="shared" si="40"/>
        <v>706500</v>
      </c>
      <c r="Z446" s="18">
        <f t="shared" si="35"/>
        <v>-706500</v>
      </c>
    </row>
    <row r="447" spans="1:31" ht="16" customHeight="1" x14ac:dyDescent="0.45">
      <c r="A447" s="1">
        <v>2505</v>
      </c>
      <c r="B447" s="2">
        <v>45803</v>
      </c>
      <c r="D447" s="4" t="s">
        <v>3</v>
      </c>
      <c r="E447" s="5" t="s">
        <v>211</v>
      </c>
      <c r="G447" s="5" t="s">
        <v>1</v>
      </c>
      <c r="H447" s="19" t="s">
        <v>2</v>
      </c>
      <c r="I447" s="19" t="s">
        <v>54</v>
      </c>
      <c r="K447" s="73">
        <v>5</v>
      </c>
      <c r="L447" s="6">
        <v>9</v>
      </c>
      <c r="M447" s="7">
        <v>105.4</v>
      </c>
      <c r="N447" s="8">
        <v>1566</v>
      </c>
      <c r="R447" s="12">
        <v>500</v>
      </c>
      <c r="S447" s="12">
        <f t="shared" si="40"/>
        <v>783000</v>
      </c>
      <c r="Z447" s="18">
        <f t="shared" si="35"/>
        <v>-783000</v>
      </c>
    </row>
    <row r="448" spans="1:31" ht="16" customHeight="1" x14ac:dyDescent="0.45">
      <c r="A448" s="1">
        <v>2505</v>
      </c>
      <c r="B448" s="2">
        <v>45803</v>
      </c>
      <c r="D448" s="4" t="s">
        <v>3</v>
      </c>
      <c r="E448" s="5" t="s">
        <v>211</v>
      </c>
      <c r="G448" s="5" t="s">
        <v>1</v>
      </c>
      <c r="H448" s="19" t="s">
        <v>2</v>
      </c>
      <c r="I448" s="19" t="s">
        <v>54</v>
      </c>
      <c r="K448" s="73">
        <v>6</v>
      </c>
      <c r="L448" s="6">
        <v>5</v>
      </c>
      <c r="M448" s="7">
        <v>70</v>
      </c>
      <c r="N448" s="8">
        <v>1036</v>
      </c>
      <c r="R448" s="12">
        <v>500</v>
      </c>
      <c r="S448" s="12">
        <f t="shared" si="40"/>
        <v>518000</v>
      </c>
      <c r="Z448" s="18">
        <f t="shared" si="35"/>
        <v>-518000</v>
      </c>
    </row>
    <row r="449" spans="1:31" ht="16" customHeight="1" x14ac:dyDescent="0.45">
      <c r="A449" s="1">
        <v>2505</v>
      </c>
      <c r="B449" s="2">
        <v>45804</v>
      </c>
      <c r="D449" s="4" t="s">
        <v>3</v>
      </c>
      <c r="E449" s="5" t="s">
        <v>1</v>
      </c>
      <c r="G449" s="5" t="s">
        <v>1</v>
      </c>
      <c r="H449" s="19" t="s">
        <v>244</v>
      </c>
      <c r="I449" s="19" t="s">
        <v>53</v>
      </c>
      <c r="K449" s="73"/>
      <c r="N449" s="8">
        <v>296</v>
      </c>
      <c r="R449" s="12">
        <v>850</v>
      </c>
      <c r="S449" s="12">
        <f t="shared" si="40"/>
        <v>251600</v>
      </c>
      <c r="Z449" s="18">
        <f t="shared" si="35"/>
        <v>-251600</v>
      </c>
    </row>
    <row r="450" spans="1:31" ht="16" customHeight="1" x14ac:dyDescent="0.45">
      <c r="A450" s="1">
        <v>2505</v>
      </c>
      <c r="B450" s="23">
        <v>45797</v>
      </c>
      <c r="C450" s="24"/>
      <c r="D450" s="25" t="s">
        <v>109</v>
      </c>
      <c r="E450" s="26" t="s">
        <v>171</v>
      </c>
      <c r="F450" s="26"/>
      <c r="G450" s="26" t="s">
        <v>171</v>
      </c>
      <c r="H450" s="27" t="s">
        <v>172</v>
      </c>
      <c r="I450" s="27" t="s">
        <v>99</v>
      </c>
      <c r="J450" s="27"/>
      <c r="K450" s="28"/>
      <c r="L450" s="29"/>
      <c r="M450" s="30"/>
      <c r="N450" s="31">
        <v>266</v>
      </c>
      <c r="O450" s="32"/>
      <c r="P450" s="91"/>
      <c r="Q450" s="92"/>
      <c r="R450" s="93"/>
      <c r="S450" s="93"/>
      <c r="T450" s="33"/>
      <c r="U450" s="34"/>
      <c r="V450" s="35">
        <v>1200</v>
      </c>
      <c r="W450" s="36">
        <f>N450*V450</f>
        <v>319200</v>
      </c>
      <c r="X450" s="93"/>
      <c r="Y450" s="21"/>
      <c r="Z450" s="18">
        <f t="shared" ref="Z450:Z513" si="41">W450-S450-Q450</f>
        <v>319200</v>
      </c>
    </row>
    <row r="451" spans="1:31" ht="16" customHeight="1" x14ac:dyDescent="0.45">
      <c r="A451" s="1">
        <v>2505</v>
      </c>
      <c r="B451" s="2">
        <v>45807</v>
      </c>
      <c r="C451" s="24"/>
      <c r="E451" s="5" t="s">
        <v>31</v>
      </c>
      <c r="G451" s="5" t="s">
        <v>31</v>
      </c>
      <c r="H451" s="19" t="s">
        <v>188</v>
      </c>
      <c r="K451" s="73"/>
      <c r="P451" s="141"/>
      <c r="Q451" s="95"/>
      <c r="T451" s="33"/>
      <c r="U451" s="34"/>
      <c r="W451" s="16">
        <v>-1528800</v>
      </c>
      <c r="Z451" s="18">
        <f t="shared" si="41"/>
        <v>-1528800</v>
      </c>
    </row>
    <row r="452" spans="1:31" ht="16" customHeight="1" x14ac:dyDescent="0.45">
      <c r="A452" s="22">
        <v>2506</v>
      </c>
      <c r="B452" s="23">
        <v>45826</v>
      </c>
      <c r="C452" s="24"/>
      <c r="D452" s="25" t="s">
        <v>407</v>
      </c>
      <c r="E452" s="26" t="s">
        <v>5</v>
      </c>
      <c r="F452" s="26"/>
      <c r="G452" s="26" t="s">
        <v>5</v>
      </c>
      <c r="H452" s="27" t="s">
        <v>408</v>
      </c>
      <c r="I452" s="27" t="s">
        <v>34</v>
      </c>
      <c r="J452" s="27"/>
      <c r="K452" s="38"/>
      <c r="L452" s="29">
        <v>8</v>
      </c>
      <c r="M452" s="30"/>
      <c r="N452" s="31"/>
      <c r="O452" s="146">
        <v>411.2</v>
      </c>
      <c r="P452" s="91" t="s">
        <v>409</v>
      </c>
      <c r="Q452" s="92"/>
      <c r="R452" s="147"/>
      <c r="S452" s="147"/>
      <c r="T452" s="33"/>
      <c r="U452" s="148"/>
      <c r="V452" s="35">
        <v>9800</v>
      </c>
      <c r="W452" s="36">
        <f>O452*V452</f>
        <v>4029760</v>
      </c>
      <c r="X452" s="147"/>
      <c r="Y452" s="21"/>
      <c r="Z452" s="18">
        <f t="shared" si="41"/>
        <v>4029760</v>
      </c>
    </row>
    <row r="453" spans="1:31" ht="16" customHeight="1" x14ac:dyDescent="0.45">
      <c r="A453" s="22">
        <v>2506</v>
      </c>
      <c r="B453" s="23">
        <v>45826</v>
      </c>
      <c r="C453" s="24"/>
      <c r="D453" s="25" t="s">
        <v>407</v>
      </c>
      <c r="E453" s="26" t="s">
        <v>5</v>
      </c>
      <c r="F453" s="26"/>
      <c r="G453" s="26" t="s">
        <v>5</v>
      </c>
      <c r="H453" s="27" t="s">
        <v>408</v>
      </c>
      <c r="I453" s="27" t="s">
        <v>184</v>
      </c>
      <c r="J453" s="27"/>
      <c r="K453" s="38"/>
      <c r="L453" s="29">
        <v>5</v>
      </c>
      <c r="M453" s="30"/>
      <c r="N453" s="31"/>
      <c r="O453" s="146">
        <v>241.1</v>
      </c>
      <c r="P453" s="91" t="s">
        <v>409</v>
      </c>
      <c r="Q453" s="92"/>
      <c r="R453" s="147"/>
      <c r="S453" s="147"/>
      <c r="T453" s="33"/>
      <c r="U453" s="148"/>
      <c r="V453" s="35">
        <v>9800</v>
      </c>
      <c r="W453" s="36">
        <f>O453*V453</f>
        <v>2362780</v>
      </c>
      <c r="X453" s="147"/>
      <c r="Y453" s="21"/>
      <c r="Z453" s="18">
        <f t="shared" si="41"/>
        <v>2362780</v>
      </c>
    </row>
    <row r="454" spans="1:31" ht="16" customHeight="1" x14ac:dyDescent="0.45">
      <c r="A454" s="22">
        <v>2506</v>
      </c>
      <c r="B454" s="2">
        <v>45812</v>
      </c>
      <c r="D454" s="4" t="s">
        <v>0</v>
      </c>
      <c r="E454" s="5" t="s">
        <v>3</v>
      </c>
      <c r="G454" s="5" t="s">
        <v>1</v>
      </c>
      <c r="H454" s="19" t="s">
        <v>2</v>
      </c>
      <c r="K454" s="73"/>
      <c r="L454" s="6">
        <v>30</v>
      </c>
      <c r="M454" s="7">
        <v>525</v>
      </c>
      <c r="R454" s="12">
        <v>3800</v>
      </c>
      <c r="S454" s="12">
        <f>M454*R454</f>
        <v>1995000</v>
      </c>
      <c r="Z454" s="18">
        <f t="shared" si="41"/>
        <v>-1995000</v>
      </c>
    </row>
    <row r="455" spans="1:31" s="21" customFormat="1" ht="16" customHeight="1" x14ac:dyDescent="0.45">
      <c r="A455" s="22">
        <v>2506</v>
      </c>
      <c r="B455" s="2">
        <v>45824</v>
      </c>
      <c r="C455" s="3"/>
      <c r="D455" s="4" t="s">
        <v>0</v>
      </c>
      <c r="E455" s="5" t="s">
        <v>3</v>
      </c>
      <c r="F455" s="5"/>
      <c r="G455" s="5" t="s">
        <v>1</v>
      </c>
      <c r="H455" s="19" t="s">
        <v>2</v>
      </c>
      <c r="I455" s="19"/>
      <c r="J455" s="19"/>
      <c r="K455" s="20"/>
      <c r="L455" s="6">
        <v>12</v>
      </c>
      <c r="M455" s="7">
        <v>210</v>
      </c>
      <c r="N455" s="8"/>
      <c r="O455" s="9"/>
      <c r="P455" s="10"/>
      <c r="Q455" s="11"/>
      <c r="R455" s="12">
        <v>3800</v>
      </c>
      <c r="S455" s="12">
        <f>M455*R455</f>
        <v>798000</v>
      </c>
      <c r="T455" s="13"/>
      <c r="U455" s="14"/>
      <c r="V455" s="15"/>
      <c r="W455" s="16"/>
      <c r="X455" s="12"/>
      <c r="Y455" s="17"/>
      <c r="Z455" s="18">
        <f t="shared" si="41"/>
        <v>-798000</v>
      </c>
      <c r="AA455" s="17"/>
      <c r="AB455" s="17"/>
      <c r="AC455" s="17"/>
      <c r="AD455" s="17"/>
      <c r="AE455" s="17"/>
    </row>
    <row r="456" spans="1:31" ht="16" customHeight="1" x14ac:dyDescent="0.45">
      <c r="A456" s="22">
        <v>2506</v>
      </c>
      <c r="B456" s="2">
        <v>45835</v>
      </c>
      <c r="D456" s="4" t="s">
        <v>0</v>
      </c>
      <c r="E456" s="5" t="s">
        <v>3</v>
      </c>
      <c r="G456" s="5" t="s">
        <v>1</v>
      </c>
      <c r="H456" s="19" t="s">
        <v>2</v>
      </c>
      <c r="L456" s="6">
        <v>6</v>
      </c>
      <c r="M456" s="7">
        <v>105</v>
      </c>
      <c r="R456" s="12">
        <v>3800</v>
      </c>
      <c r="S456" s="12">
        <f>M456*R456</f>
        <v>399000</v>
      </c>
      <c r="Z456" s="18">
        <f t="shared" si="41"/>
        <v>-399000</v>
      </c>
    </row>
    <row r="457" spans="1:31" ht="16" customHeight="1" x14ac:dyDescent="0.45">
      <c r="A457" s="22">
        <v>2506</v>
      </c>
      <c r="B457" s="2">
        <v>45811</v>
      </c>
      <c r="D457" s="4" t="s">
        <v>198</v>
      </c>
      <c r="E457" s="5" t="s">
        <v>27</v>
      </c>
      <c r="G457" s="5" t="s">
        <v>28</v>
      </c>
      <c r="H457" s="19" t="s">
        <v>410</v>
      </c>
      <c r="I457" s="19">
        <v>3206</v>
      </c>
      <c r="M457" s="7">
        <v>215.1</v>
      </c>
      <c r="R457" s="12">
        <v>1200</v>
      </c>
      <c r="S457" s="12">
        <f>M457*R457</f>
        <v>258120</v>
      </c>
      <c r="Z457" s="18">
        <f t="shared" si="41"/>
        <v>-258120</v>
      </c>
    </row>
    <row r="458" spans="1:31" ht="16" customHeight="1" x14ac:dyDescent="0.45">
      <c r="A458" s="22">
        <v>2506</v>
      </c>
      <c r="B458" s="2">
        <v>45814</v>
      </c>
      <c r="D458" s="4" t="s">
        <v>198</v>
      </c>
      <c r="E458" s="5" t="s">
        <v>27</v>
      </c>
      <c r="G458" s="5" t="s">
        <v>28</v>
      </c>
      <c r="H458" s="19" t="s">
        <v>410</v>
      </c>
      <c r="I458" s="19">
        <v>3206</v>
      </c>
      <c r="M458" s="7">
        <v>624.41999999999996</v>
      </c>
      <c r="R458" s="12">
        <v>1200</v>
      </c>
      <c r="S458" s="12">
        <f>M458*R458</f>
        <v>749304</v>
      </c>
      <c r="Z458" s="18">
        <f t="shared" si="41"/>
        <v>-749304</v>
      </c>
    </row>
    <row r="459" spans="1:31" s="21" customFormat="1" ht="16" customHeight="1" x14ac:dyDescent="0.45">
      <c r="A459" s="22">
        <v>2506</v>
      </c>
      <c r="B459" s="2">
        <v>45812</v>
      </c>
      <c r="C459" s="3"/>
      <c r="D459" s="4" t="s">
        <v>368</v>
      </c>
      <c r="E459" s="5" t="s">
        <v>4</v>
      </c>
      <c r="F459" s="5"/>
      <c r="G459" s="5" t="s">
        <v>109</v>
      </c>
      <c r="H459" s="19" t="s">
        <v>370</v>
      </c>
      <c r="I459" s="19" t="s">
        <v>53</v>
      </c>
      <c r="J459" s="19" t="s">
        <v>411</v>
      </c>
      <c r="K459" s="20"/>
      <c r="L459" s="6"/>
      <c r="M459" s="7"/>
      <c r="N459" s="8">
        <v>500</v>
      </c>
      <c r="O459" s="9"/>
      <c r="P459" s="10"/>
      <c r="Q459" s="11"/>
      <c r="R459" s="12">
        <v>750</v>
      </c>
      <c r="S459" s="12">
        <f>N459*R459</f>
        <v>375000</v>
      </c>
      <c r="T459" s="13"/>
      <c r="U459" s="14"/>
      <c r="V459" s="15"/>
      <c r="W459" s="16"/>
      <c r="X459" s="12"/>
      <c r="Y459" s="17"/>
      <c r="Z459" s="18">
        <f t="shared" si="41"/>
        <v>-375000</v>
      </c>
      <c r="AA459" s="17"/>
      <c r="AB459" s="17"/>
      <c r="AC459" s="17"/>
      <c r="AD459" s="17"/>
      <c r="AE459" s="17"/>
    </row>
    <row r="460" spans="1:31" s="21" customFormat="1" ht="16" customHeight="1" x14ac:dyDescent="0.45">
      <c r="A460" s="22">
        <v>2506</v>
      </c>
      <c r="B460" s="2">
        <v>45812</v>
      </c>
      <c r="C460" s="3"/>
      <c r="D460" s="4" t="s">
        <v>368</v>
      </c>
      <c r="E460" s="5" t="s">
        <v>4</v>
      </c>
      <c r="F460" s="5"/>
      <c r="G460" s="5" t="s">
        <v>109</v>
      </c>
      <c r="H460" s="19" t="s">
        <v>370</v>
      </c>
      <c r="I460" s="19" t="s">
        <v>34</v>
      </c>
      <c r="J460" s="19" t="s">
        <v>411</v>
      </c>
      <c r="K460" s="20"/>
      <c r="L460" s="6"/>
      <c r="M460" s="7"/>
      <c r="N460" s="8">
        <v>500</v>
      </c>
      <c r="O460" s="9"/>
      <c r="P460" s="10"/>
      <c r="Q460" s="11"/>
      <c r="R460" s="12">
        <v>750</v>
      </c>
      <c r="S460" s="12">
        <f>N460*R460</f>
        <v>375000</v>
      </c>
      <c r="T460" s="13"/>
      <c r="U460" s="14"/>
      <c r="V460" s="15"/>
      <c r="W460" s="16"/>
      <c r="X460" s="12"/>
      <c r="Y460" s="17"/>
      <c r="Z460" s="18">
        <f t="shared" si="41"/>
        <v>-375000</v>
      </c>
      <c r="AA460" s="17"/>
      <c r="AB460" s="17"/>
      <c r="AC460" s="17"/>
      <c r="AD460" s="17"/>
      <c r="AE460" s="17"/>
    </row>
    <row r="461" spans="1:31" ht="16" customHeight="1" x14ac:dyDescent="0.45">
      <c r="A461" s="22">
        <v>2506</v>
      </c>
      <c r="B461" s="23">
        <v>45812</v>
      </c>
      <c r="C461" s="24"/>
      <c r="D461" s="25" t="s">
        <v>368</v>
      </c>
      <c r="E461" s="26" t="s">
        <v>369</v>
      </c>
      <c r="F461" s="26"/>
      <c r="G461" s="26" t="s">
        <v>369</v>
      </c>
      <c r="H461" s="27" t="s">
        <v>370</v>
      </c>
      <c r="I461" s="27" t="s">
        <v>412</v>
      </c>
      <c r="J461" s="27"/>
      <c r="K461" s="28"/>
      <c r="L461" s="29">
        <v>2</v>
      </c>
      <c r="M461" s="30"/>
      <c r="N461" s="31">
        <v>200</v>
      </c>
      <c r="O461" s="32"/>
      <c r="P461" s="91"/>
      <c r="Q461" s="92"/>
      <c r="R461" s="93">
        <v>750</v>
      </c>
      <c r="S461" s="93">
        <f>N461*R461</f>
        <v>150000</v>
      </c>
      <c r="T461" s="33"/>
      <c r="U461" s="34"/>
      <c r="V461" s="35">
        <v>1750</v>
      </c>
      <c r="W461" s="36">
        <f>N461*V461</f>
        <v>350000</v>
      </c>
      <c r="X461" s="93"/>
      <c r="Y461" s="21"/>
      <c r="Z461" s="18">
        <f t="shared" si="41"/>
        <v>200000</v>
      </c>
    </row>
    <row r="462" spans="1:31" s="21" customFormat="1" ht="16" customHeight="1" x14ac:dyDescent="0.45">
      <c r="A462" s="22">
        <v>2506</v>
      </c>
      <c r="B462" s="2">
        <v>45811</v>
      </c>
      <c r="C462" s="3"/>
      <c r="D462" s="4" t="s">
        <v>181</v>
      </c>
      <c r="E462" s="5" t="s">
        <v>339</v>
      </c>
      <c r="F462" s="5"/>
      <c r="G462" s="5" t="s">
        <v>28</v>
      </c>
      <c r="H462" s="19" t="s">
        <v>182</v>
      </c>
      <c r="I462" s="19"/>
      <c r="J462" s="19"/>
      <c r="K462" s="73" t="s">
        <v>200</v>
      </c>
      <c r="L462" s="6">
        <v>4</v>
      </c>
      <c r="M462" s="7">
        <v>1500</v>
      </c>
      <c r="N462" s="8"/>
      <c r="O462" s="9"/>
      <c r="P462" s="10">
        <v>2205</v>
      </c>
      <c r="Q462" s="11">
        <f>M462*P462</f>
        <v>3307500</v>
      </c>
      <c r="R462" s="12"/>
      <c r="S462" s="12"/>
      <c r="T462" s="13"/>
      <c r="U462" s="14"/>
      <c r="V462" s="15"/>
      <c r="W462" s="16"/>
      <c r="X462" s="12"/>
      <c r="Y462" s="17"/>
      <c r="Z462" s="18">
        <f t="shared" si="41"/>
        <v>-3307500</v>
      </c>
      <c r="AA462" s="17"/>
      <c r="AB462" s="17"/>
      <c r="AC462" s="17"/>
      <c r="AD462" s="17"/>
      <c r="AE462" s="17"/>
    </row>
    <row r="463" spans="1:31" ht="16" customHeight="1" x14ac:dyDescent="0.45">
      <c r="A463" s="22">
        <v>2506</v>
      </c>
      <c r="B463" s="2">
        <v>45811</v>
      </c>
      <c r="D463" s="4" t="s">
        <v>181</v>
      </c>
      <c r="E463" s="5" t="s">
        <v>339</v>
      </c>
      <c r="G463" s="5" t="s">
        <v>28</v>
      </c>
      <c r="H463" s="19" t="s">
        <v>182</v>
      </c>
      <c r="K463" s="73" t="s">
        <v>191</v>
      </c>
      <c r="L463" s="6">
        <v>2</v>
      </c>
      <c r="M463" s="7">
        <v>749.7</v>
      </c>
      <c r="P463" s="10">
        <v>1874</v>
      </c>
      <c r="Q463" s="11">
        <f>M463*P463</f>
        <v>1404937.8</v>
      </c>
      <c r="Z463" s="18">
        <f t="shared" si="41"/>
        <v>-1404937.8</v>
      </c>
    </row>
    <row r="464" spans="1:31" s="21" customFormat="1" ht="16" customHeight="1" x14ac:dyDescent="0.45">
      <c r="A464" s="22">
        <v>2506</v>
      </c>
      <c r="B464" s="23">
        <v>45813</v>
      </c>
      <c r="C464" s="24"/>
      <c r="D464" s="25" t="s">
        <v>10</v>
      </c>
      <c r="E464" s="26" t="s">
        <v>19</v>
      </c>
      <c r="F464" s="26"/>
      <c r="G464" s="26" t="s">
        <v>19</v>
      </c>
      <c r="H464" s="27" t="s">
        <v>20</v>
      </c>
      <c r="I464" s="27" t="s">
        <v>16</v>
      </c>
      <c r="J464" s="27"/>
      <c r="K464" s="28"/>
      <c r="L464" s="29">
        <v>6</v>
      </c>
      <c r="M464" s="30"/>
      <c r="N464" s="31"/>
      <c r="O464" s="32">
        <v>4013</v>
      </c>
      <c r="P464" s="91"/>
      <c r="Q464" s="92"/>
      <c r="R464" s="93">
        <v>1850</v>
      </c>
      <c r="S464" s="93">
        <f>O464*R464</f>
        <v>7424050</v>
      </c>
      <c r="T464" s="33"/>
      <c r="U464" s="34"/>
      <c r="V464" s="35">
        <v>3595</v>
      </c>
      <c r="W464" s="36">
        <f>O464*V464</f>
        <v>14426735</v>
      </c>
      <c r="X464" s="93"/>
      <c r="Z464" s="18">
        <f t="shared" si="41"/>
        <v>7002685</v>
      </c>
      <c r="AA464" s="17"/>
      <c r="AB464" s="17"/>
      <c r="AC464" s="17"/>
      <c r="AD464" s="17"/>
      <c r="AE464" s="17"/>
    </row>
    <row r="465" spans="1:31" ht="16" customHeight="1" x14ac:dyDescent="0.45">
      <c r="A465" s="22">
        <v>2506</v>
      </c>
      <c r="B465" s="23">
        <v>45818</v>
      </c>
      <c r="C465" s="24"/>
      <c r="D465" s="25" t="s">
        <v>10</v>
      </c>
      <c r="E465" s="26" t="s">
        <v>19</v>
      </c>
      <c r="F465" s="26"/>
      <c r="G465" s="26" t="s">
        <v>19</v>
      </c>
      <c r="H465" s="27" t="s">
        <v>20</v>
      </c>
      <c r="I465" s="27" t="s">
        <v>65</v>
      </c>
      <c r="J465" s="27"/>
      <c r="K465" s="28"/>
      <c r="L465" s="29"/>
      <c r="M465" s="30"/>
      <c r="N465" s="31"/>
      <c r="O465" s="32">
        <v>4058</v>
      </c>
      <c r="P465" s="91"/>
      <c r="Q465" s="92"/>
      <c r="R465" s="93">
        <v>1850</v>
      </c>
      <c r="S465" s="93">
        <f>O465*R465</f>
        <v>7507300</v>
      </c>
      <c r="T465" s="33"/>
      <c r="U465" s="34"/>
      <c r="V465" s="35">
        <v>3595</v>
      </c>
      <c r="W465" s="36">
        <f>O465*V465</f>
        <v>14588510</v>
      </c>
      <c r="X465" s="93"/>
      <c r="Y465" s="21"/>
      <c r="Z465" s="18">
        <f t="shared" si="41"/>
        <v>7081210</v>
      </c>
    </row>
    <row r="466" spans="1:31" ht="16" customHeight="1" x14ac:dyDescent="0.45">
      <c r="A466" s="22">
        <v>2506</v>
      </c>
      <c r="B466" s="23">
        <v>45825</v>
      </c>
      <c r="C466" s="24"/>
      <c r="D466" s="25" t="s">
        <v>10</v>
      </c>
      <c r="E466" s="26" t="s">
        <v>19</v>
      </c>
      <c r="F466" s="26"/>
      <c r="G466" s="26" t="s">
        <v>19</v>
      </c>
      <c r="H466" s="27" t="s">
        <v>413</v>
      </c>
      <c r="I466" s="27" t="s">
        <v>414</v>
      </c>
      <c r="J466" s="27"/>
      <c r="K466" s="28"/>
      <c r="L466" s="29">
        <v>2</v>
      </c>
      <c r="M466" s="30"/>
      <c r="N466" s="31"/>
      <c r="O466" s="32">
        <v>1309</v>
      </c>
      <c r="P466" s="149" t="s">
        <v>415</v>
      </c>
      <c r="Q466" s="92"/>
      <c r="R466" s="93">
        <v>11530</v>
      </c>
      <c r="S466" s="93">
        <f>O466*R466</f>
        <v>15092770</v>
      </c>
      <c r="T466" s="33"/>
      <c r="U466" s="34"/>
      <c r="V466" s="150" t="s">
        <v>416</v>
      </c>
      <c r="W466" s="36">
        <v>22194095</v>
      </c>
      <c r="X466" s="93"/>
      <c r="Y466" s="21"/>
      <c r="Z466" s="18">
        <f t="shared" si="41"/>
        <v>7101325</v>
      </c>
    </row>
    <row r="467" spans="1:31" s="21" customFormat="1" ht="16" customHeight="1" x14ac:dyDescent="0.45">
      <c r="A467" s="22">
        <v>2506</v>
      </c>
      <c r="B467" s="23">
        <v>45825</v>
      </c>
      <c r="C467" s="24"/>
      <c r="D467" s="25" t="s">
        <v>10</v>
      </c>
      <c r="E467" s="26" t="s">
        <v>19</v>
      </c>
      <c r="F467" s="26"/>
      <c r="G467" s="26" t="s">
        <v>19</v>
      </c>
      <c r="H467" s="27" t="s">
        <v>340</v>
      </c>
      <c r="I467" s="27" t="s">
        <v>16</v>
      </c>
      <c r="J467" s="27"/>
      <c r="K467" s="28"/>
      <c r="L467" s="29"/>
      <c r="M467" s="30"/>
      <c r="N467" s="31"/>
      <c r="O467" s="32">
        <v>106</v>
      </c>
      <c r="P467" s="91"/>
      <c r="Q467" s="92"/>
      <c r="R467" s="93">
        <v>1850</v>
      </c>
      <c r="S467" s="93">
        <f>O467*R467</f>
        <v>196100</v>
      </c>
      <c r="T467" s="33"/>
      <c r="U467" s="34"/>
      <c r="V467" s="35">
        <v>5950</v>
      </c>
      <c r="W467" s="36">
        <f>O467*V467</f>
        <v>630700</v>
      </c>
      <c r="X467" s="93"/>
      <c r="Z467" s="18">
        <f t="shared" si="41"/>
        <v>434600</v>
      </c>
      <c r="AA467" s="17"/>
      <c r="AB467" s="17"/>
      <c r="AC467" s="17"/>
      <c r="AD467" s="17"/>
      <c r="AE467" s="17"/>
    </row>
    <row r="468" spans="1:31" s="21" customFormat="1" ht="16" customHeight="1" x14ac:dyDescent="0.45">
      <c r="A468" s="22">
        <v>2506</v>
      </c>
      <c r="B468" s="2">
        <v>45817</v>
      </c>
      <c r="C468" s="3"/>
      <c r="D468" s="4" t="s">
        <v>66</v>
      </c>
      <c r="E468" s="5" t="s">
        <v>10</v>
      </c>
      <c r="F468" s="5"/>
      <c r="G468" s="5" t="s">
        <v>19</v>
      </c>
      <c r="H468" s="19" t="s">
        <v>340</v>
      </c>
      <c r="I468" s="19" t="s">
        <v>36</v>
      </c>
      <c r="J468" s="19"/>
      <c r="K468" s="20"/>
      <c r="L468" s="6">
        <v>5</v>
      </c>
      <c r="M468" s="7"/>
      <c r="N468" s="8">
        <v>1471</v>
      </c>
      <c r="O468" s="9"/>
      <c r="P468" s="10"/>
      <c r="Q468" s="11"/>
      <c r="R468" s="12">
        <v>500</v>
      </c>
      <c r="S468" s="12">
        <f>N468*R468</f>
        <v>735500</v>
      </c>
      <c r="T468" s="13"/>
      <c r="U468" s="14"/>
      <c r="V468" s="15"/>
      <c r="W468" s="16"/>
      <c r="X468" s="12"/>
      <c r="Y468" s="17"/>
      <c r="Z468" s="18">
        <f t="shared" si="41"/>
        <v>-735500</v>
      </c>
      <c r="AA468" s="17"/>
      <c r="AB468" s="17"/>
      <c r="AC468" s="17"/>
      <c r="AD468" s="17"/>
      <c r="AE468" s="17"/>
    </row>
    <row r="469" spans="1:31" s="21" customFormat="1" ht="16" customHeight="1" x14ac:dyDescent="0.45">
      <c r="A469" s="22">
        <v>2506</v>
      </c>
      <c r="B469" s="23">
        <v>45809</v>
      </c>
      <c r="C469" s="24"/>
      <c r="D469" s="25" t="s">
        <v>180</v>
      </c>
      <c r="E469" s="26" t="s">
        <v>197</v>
      </c>
      <c r="F469" s="26"/>
      <c r="G469" s="26" t="s">
        <v>197</v>
      </c>
      <c r="H469" s="27" t="s">
        <v>179</v>
      </c>
      <c r="I469" s="27" t="s">
        <v>392</v>
      </c>
      <c r="J469" s="27" t="s">
        <v>417</v>
      </c>
      <c r="K469" s="28"/>
      <c r="L469" s="29"/>
      <c r="M469" s="30"/>
      <c r="N469" s="31">
        <v>1693</v>
      </c>
      <c r="O469" s="32"/>
      <c r="P469" s="91"/>
      <c r="Q469" s="92"/>
      <c r="R469" s="93" t="s">
        <v>393</v>
      </c>
      <c r="S469" s="93"/>
      <c r="T469" s="33"/>
      <c r="U469" s="34"/>
      <c r="V469" s="35">
        <v>1200</v>
      </c>
      <c r="W469" s="36">
        <f>N469*V469</f>
        <v>2031600</v>
      </c>
      <c r="X469" s="93"/>
      <c r="Z469" s="18">
        <f t="shared" si="41"/>
        <v>2031600</v>
      </c>
      <c r="AA469" s="17"/>
      <c r="AB469" s="17"/>
      <c r="AC469" s="17"/>
      <c r="AD469" s="17"/>
      <c r="AE469" s="17"/>
    </row>
    <row r="470" spans="1:31" s="21" customFormat="1" ht="16" customHeight="1" x14ac:dyDescent="0.45">
      <c r="A470" s="22">
        <v>2506</v>
      </c>
      <c r="B470" s="23">
        <v>45826</v>
      </c>
      <c r="C470" s="24"/>
      <c r="D470" s="25" t="s">
        <v>66</v>
      </c>
      <c r="E470" s="26" t="s">
        <v>203</v>
      </c>
      <c r="F470" s="26"/>
      <c r="G470" s="26" t="s">
        <v>203</v>
      </c>
      <c r="H470" s="27" t="s">
        <v>418</v>
      </c>
      <c r="I470" s="27" t="s">
        <v>151</v>
      </c>
      <c r="J470" s="27"/>
      <c r="K470" s="28"/>
      <c r="L470" s="29">
        <v>37</v>
      </c>
      <c r="M470" s="30"/>
      <c r="N470" s="31">
        <v>10396</v>
      </c>
      <c r="O470" s="32"/>
      <c r="P470" s="91"/>
      <c r="Q470" s="92"/>
      <c r="R470" s="93">
        <v>920</v>
      </c>
      <c r="S470" s="93">
        <f>N470*R470</f>
        <v>9564320</v>
      </c>
      <c r="T470" s="33"/>
      <c r="U470" s="34"/>
      <c r="V470" s="35">
        <v>1400</v>
      </c>
      <c r="W470" s="36">
        <f>N470*V470</f>
        <v>14554400</v>
      </c>
      <c r="X470" s="93"/>
      <c r="Z470" s="18">
        <f t="shared" si="41"/>
        <v>4990080</v>
      </c>
      <c r="AA470" s="17"/>
      <c r="AB470" s="17"/>
      <c r="AC470" s="17"/>
      <c r="AD470" s="17"/>
      <c r="AE470" s="17"/>
    </row>
    <row r="471" spans="1:31" s="21" customFormat="1" ht="16" customHeight="1" x14ac:dyDescent="0.45">
      <c r="A471" s="22">
        <v>2506</v>
      </c>
      <c r="B471" s="23">
        <v>45834</v>
      </c>
      <c r="C471" s="24"/>
      <c r="D471" s="25" t="s">
        <v>66</v>
      </c>
      <c r="E471" s="26" t="s">
        <v>203</v>
      </c>
      <c r="F471" s="26"/>
      <c r="G471" s="26" t="s">
        <v>203</v>
      </c>
      <c r="H471" s="27" t="s">
        <v>225</v>
      </c>
      <c r="I471" s="27" t="s">
        <v>151</v>
      </c>
      <c r="J471" s="27"/>
      <c r="K471" s="28"/>
      <c r="L471" s="29"/>
      <c r="M471" s="30"/>
      <c r="N471" s="31">
        <v>42597</v>
      </c>
      <c r="O471" s="32"/>
      <c r="P471" s="91"/>
      <c r="Q471" s="92"/>
      <c r="R471" s="93">
        <v>920</v>
      </c>
      <c r="S471" s="93">
        <f>N471*R471</f>
        <v>39189240</v>
      </c>
      <c r="T471" s="33"/>
      <c r="U471" s="34"/>
      <c r="V471" s="35">
        <v>1400</v>
      </c>
      <c r="W471" s="36">
        <f>N471*V471</f>
        <v>59635800</v>
      </c>
      <c r="X471" s="93"/>
      <c r="Z471" s="18">
        <f t="shared" si="41"/>
        <v>20446560</v>
      </c>
      <c r="AA471" s="17"/>
      <c r="AB471" s="17"/>
      <c r="AC471" s="17"/>
      <c r="AD471" s="17"/>
      <c r="AE471" s="17"/>
    </row>
    <row r="472" spans="1:31" s="21" customFormat="1" ht="16" customHeight="1" x14ac:dyDescent="0.45">
      <c r="A472" s="22">
        <v>2506</v>
      </c>
      <c r="B472" s="23">
        <v>45835</v>
      </c>
      <c r="C472" s="24"/>
      <c r="D472" s="25" t="s">
        <v>66</v>
      </c>
      <c r="E472" s="26" t="s">
        <v>28</v>
      </c>
      <c r="F472" s="26"/>
      <c r="G472" s="26" t="s">
        <v>316</v>
      </c>
      <c r="H472" s="27" t="s">
        <v>172</v>
      </c>
      <c r="I472" s="27" t="s">
        <v>47</v>
      </c>
      <c r="J472" s="27"/>
      <c r="K472" s="28" t="s">
        <v>419</v>
      </c>
      <c r="L472" s="29">
        <v>38</v>
      </c>
      <c r="M472" s="30"/>
      <c r="N472" s="31">
        <v>14082</v>
      </c>
      <c r="O472" s="32">
        <v>13280</v>
      </c>
      <c r="P472" s="91"/>
      <c r="Q472" s="92"/>
      <c r="R472" s="93">
        <v>800</v>
      </c>
      <c r="S472" s="93">
        <f>N472*R472</f>
        <v>11265600</v>
      </c>
      <c r="T472" s="33"/>
      <c r="U472" s="34"/>
      <c r="V472" s="35">
        <v>1312</v>
      </c>
      <c r="W472" s="36">
        <f>O472*V472</f>
        <v>17423360</v>
      </c>
      <c r="X472" s="93"/>
      <c r="Z472" s="18">
        <f t="shared" si="41"/>
        <v>6157760</v>
      </c>
      <c r="AA472" s="17"/>
      <c r="AB472" s="17"/>
      <c r="AC472" s="17"/>
      <c r="AD472" s="17"/>
      <c r="AE472" s="17"/>
    </row>
    <row r="473" spans="1:31" s="21" customFormat="1" ht="16" customHeight="1" x14ac:dyDescent="0.45">
      <c r="A473" s="22">
        <v>2506</v>
      </c>
      <c r="B473" s="2">
        <v>45817</v>
      </c>
      <c r="C473" s="3"/>
      <c r="D473" s="4" t="s">
        <v>66</v>
      </c>
      <c r="E473" s="5" t="s">
        <v>109</v>
      </c>
      <c r="F473" s="5"/>
      <c r="G473" s="5" t="s">
        <v>109</v>
      </c>
      <c r="H473" s="19" t="s">
        <v>340</v>
      </c>
      <c r="I473" s="19" t="s">
        <v>36</v>
      </c>
      <c r="J473" s="19"/>
      <c r="K473" s="20"/>
      <c r="L473" s="6">
        <v>5</v>
      </c>
      <c r="M473" s="7"/>
      <c r="N473" s="8">
        <v>100</v>
      </c>
      <c r="O473" s="9"/>
      <c r="P473" s="10"/>
      <c r="Q473" s="11"/>
      <c r="R473" s="12">
        <v>500</v>
      </c>
      <c r="S473" s="12">
        <f>N473*R473</f>
        <v>50000</v>
      </c>
      <c r="T473" s="13"/>
      <c r="U473" s="14"/>
      <c r="V473" s="15"/>
      <c r="W473" s="16"/>
      <c r="X473" s="12"/>
      <c r="Y473" s="17"/>
      <c r="Z473" s="18">
        <f t="shared" si="41"/>
        <v>-50000</v>
      </c>
      <c r="AA473" s="17"/>
      <c r="AB473" s="17"/>
      <c r="AC473" s="17"/>
      <c r="AD473" s="17"/>
      <c r="AE473" s="17"/>
    </row>
    <row r="474" spans="1:31" ht="16" customHeight="1" x14ac:dyDescent="0.45">
      <c r="A474" s="1">
        <v>2506</v>
      </c>
      <c r="B474" s="2">
        <v>45818</v>
      </c>
      <c r="D474" s="4" t="s">
        <v>80</v>
      </c>
      <c r="E474" s="5" t="s">
        <v>30</v>
      </c>
      <c r="G474" s="5" t="s">
        <v>31</v>
      </c>
      <c r="H474" s="19" t="s">
        <v>100</v>
      </c>
      <c r="K474" s="73"/>
      <c r="M474" s="7">
        <v>1548</v>
      </c>
      <c r="P474" s="141">
        <f>Q474/M474</f>
        <v>2304.8087855297158</v>
      </c>
      <c r="Q474" s="95">
        <v>3567844</v>
      </c>
      <c r="Z474" s="18">
        <f t="shared" si="41"/>
        <v>-3567844</v>
      </c>
    </row>
    <row r="475" spans="1:31" ht="16" customHeight="1" x14ac:dyDescent="0.45">
      <c r="A475" s="22">
        <v>2506</v>
      </c>
      <c r="B475" s="23">
        <v>45811</v>
      </c>
      <c r="C475" s="24"/>
      <c r="D475" s="25" t="s">
        <v>222</v>
      </c>
      <c r="E475" s="26" t="s">
        <v>61</v>
      </c>
      <c r="F475" s="26"/>
      <c r="G475" s="26" t="s">
        <v>61</v>
      </c>
      <c r="H475" s="27" t="s">
        <v>347</v>
      </c>
      <c r="I475" s="27"/>
      <c r="J475" s="27"/>
      <c r="K475" s="38"/>
      <c r="L475" s="29">
        <v>32</v>
      </c>
      <c r="M475" s="30"/>
      <c r="N475" s="31">
        <v>15368</v>
      </c>
      <c r="O475" s="32"/>
      <c r="P475" s="91"/>
      <c r="Q475" s="92"/>
      <c r="R475" s="93">
        <v>680</v>
      </c>
      <c r="S475" s="93">
        <f>N475*R475</f>
        <v>10450240</v>
      </c>
      <c r="T475" s="33"/>
      <c r="U475" s="34"/>
      <c r="V475" s="35">
        <v>750</v>
      </c>
      <c r="W475" s="36">
        <f>N475*V475</f>
        <v>11526000</v>
      </c>
      <c r="X475" s="93"/>
      <c r="Y475" s="21"/>
      <c r="Z475" s="18">
        <f t="shared" si="41"/>
        <v>1075760</v>
      </c>
    </row>
    <row r="476" spans="1:31" ht="16" customHeight="1" x14ac:dyDescent="0.45">
      <c r="A476" s="22">
        <v>2506</v>
      </c>
      <c r="B476" s="23">
        <v>45811</v>
      </c>
      <c r="C476" s="24"/>
      <c r="D476" s="25" t="s">
        <v>222</v>
      </c>
      <c r="E476" s="26" t="s">
        <v>61</v>
      </c>
      <c r="F476" s="26"/>
      <c r="G476" s="26" t="s">
        <v>61</v>
      </c>
      <c r="H476" s="27" t="s">
        <v>420</v>
      </c>
      <c r="I476" s="27"/>
      <c r="J476" s="27"/>
      <c r="K476" s="38"/>
      <c r="L476" s="29">
        <v>2</v>
      </c>
      <c r="M476" s="30"/>
      <c r="N476" s="31">
        <v>1000</v>
      </c>
      <c r="O476" s="32"/>
      <c r="P476" s="91"/>
      <c r="Q476" s="92"/>
      <c r="R476" s="93">
        <v>950</v>
      </c>
      <c r="S476" s="93">
        <f>N476*R476</f>
        <v>950000</v>
      </c>
      <c r="T476" s="33"/>
      <c r="U476" s="34"/>
      <c r="V476" s="35">
        <v>980</v>
      </c>
      <c r="W476" s="36">
        <f>N476*V476</f>
        <v>980000</v>
      </c>
      <c r="X476" s="93"/>
      <c r="Y476" s="21"/>
      <c r="Z476" s="18">
        <f t="shared" si="41"/>
        <v>30000</v>
      </c>
    </row>
    <row r="477" spans="1:31" s="21" customFormat="1" ht="16" customHeight="1" x14ac:dyDescent="0.45">
      <c r="A477" s="22">
        <v>2506</v>
      </c>
      <c r="B477" s="23">
        <v>45819</v>
      </c>
      <c r="C477" s="24"/>
      <c r="D477" s="25" t="s">
        <v>222</v>
      </c>
      <c r="E477" s="26" t="s">
        <v>61</v>
      </c>
      <c r="F477" s="26"/>
      <c r="G477" s="26" t="s">
        <v>61</v>
      </c>
      <c r="H477" s="27" t="s">
        <v>420</v>
      </c>
      <c r="I477" s="27"/>
      <c r="J477" s="27"/>
      <c r="K477" s="28"/>
      <c r="L477" s="29">
        <v>1</v>
      </c>
      <c r="M477" s="30"/>
      <c r="N477" s="31">
        <v>500</v>
      </c>
      <c r="O477" s="32"/>
      <c r="P477" s="91"/>
      <c r="Q477" s="92"/>
      <c r="R477" s="93">
        <v>950</v>
      </c>
      <c r="S477" s="93">
        <f>N477*R477</f>
        <v>475000</v>
      </c>
      <c r="T477" s="33"/>
      <c r="U477" s="34"/>
      <c r="V477" s="35">
        <v>980</v>
      </c>
      <c r="W477" s="36">
        <f>N477*V477</f>
        <v>490000</v>
      </c>
      <c r="X477" s="93"/>
      <c r="Z477" s="18">
        <f t="shared" si="41"/>
        <v>15000</v>
      </c>
      <c r="AA477" s="17"/>
      <c r="AB477" s="17"/>
      <c r="AC477" s="17"/>
      <c r="AD477" s="17"/>
      <c r="AE477" s="17"/>
    </row>
    <row r="478" spans="1:31" ht="16" customHeight="1" x14ac:dyDescent="0.45">
      <c r="A478" s="22">
        <v>2506</v>
      </c>
      <c r="B478" s="23">
        <v>45819</v>
      </c>
      <c r="C478" s="24"/>
      <c r="D478" s="25" t="s">
        <v>222</v>
      </c>
      <c r="E478" s="26" t="s">
        <v>61</v>
      </c>
      <c r="F478" s="26"/>
      <c r="G478" s="26" t="s">
        <v>61</v>
      </c>
      <c r="H478" s="27" t="s">
        <v>349</v>
      </c>
      <c r="I478" s="27" t="s">
        <v>421</v>
      </c>
      <c r="J478" s="27"/>
      <c r="K478" s="28"/>
      <c r="L478" s="29">
        <v>1</v>
      </c>
      <c r="M478" s="30"/>
      <c r="N478" s="31">
        <v>700</v>
      </c>
      <c r="O478" s="32"/>
      <c r="P478" s="91"/>
      <c r="Q478" s="92"/>
      <c r="R478" s="93">
        <v>940</v>
      </c>
      <c r="S478" s="93">
        <f>N478*R478</f>
        <v>658000</v>
      </c>
      <c r="T478" s="33"/>
      <c r="U478" s="34"/>
      <c r="V478" s="35">
        <v>1020</v>
      </c>
      <c r="W478" s="36">
        <f>N478*V478</f>
        <v>714000</v>
      </c>
      <c r="X478" s="93"/>
      <c r="Y478" s="21"/>
      <c r="Z478" s="18">
        <f t="shared" si="41"/>
        <v>56000</v>
      </c>
    </row>
    <row r="479" spans="1:31" ht="16" customHeight="1" x14ac:dyDescent="0.45">
      <c r="A479" s="1">
        <v>2506</v>
      </c>
      <c r="B479" s="2">
        <v>45831</v>
      </c>
      <c r="C479" s="24"/>
      <c r="D479" s="4" t="s">
        <v>222</v>
      </c>
      <c r="E479" s="5" t="s">
        <v>31</v>
      </c>
      <c r="G479" s="5" t="s">
        <v>31</v>
      </c>
      <c r="H479" s="19" t="s">
        <v>422</v>
      </c>
      <c r="N479" s="8">
        <v>6098</v>
      </c>
      <c r="O479" s="9">
        <v>5576</v>
      </c>
      <c r="P479" s="141"/>
      <c r="Q479" s="95"/>
      <c r="R479" s="12">
        <v>2200</v>
      </c>
      <c r="S479" s="12">
        <f>R479*N479</f>
        <v>13415600</v>
      </c>
      <c r="T479" s="33"/>
      <c r="U479" s="34"/>
      <c r="V479" s="15">
        <v>2680</v>
      </c>
      <c r="W479" s="16">
        <f>O479*V479</f>
        <v>14943680</v>
      </c>
      <c r="Z479" s="18">
        <f t="shared" si="41"/>
        <v>1528080</v>
      </c>
    </row>
    <row r="480" spans="1:31" ht="16" customHeight="1" x14ac:dyDescent="0.45">
      <c r="A480" s="1">
        <v>2506</v>
      </c>
      <c r="B480" s="2">
        <v>45831</v>
      </c>
      <c r="C480" s="24"/>
      <c r="D480" s="4" t="s">
        <v>222</v>
      </c>
      <c r="E480" s="5" t="s">
        <v>31</v>
      </c>
      <c r="G480" s="5" t="s">
        <v>31</v>
      </c>
      <c r="H480" s="19" t="s">
        <v>423</v>
      </c>
      <c r="N480" s="8">
        <v>1100</v>
      </c>
      <c r="O480" s="9">
        <v>1006</v>
      </c>
      <c r="P480" s="141"/>
      <c r="Q480" s="95"/>
      <c r="R480" s="12">
        <v>1900</v>
      </c>
      <c r="S480" s="12">
        <f>R480*N480</f>
        <v>2090000</v>
      </c>
      <c r="T480" s="33"/>
      <c r="U480" s="34"/>
      <c r="V480" s="15">
        <v>3000</v>
      </c>
      <c r="W480" s="16">
        <f>O480*V480</f>
        <v>3018000</v>
      </c>
      <c r="Z480" s="18">
        <f t="shared" si="41"/>
        <v>928000</v>
      </c>
    </row>
    <row r="481" spans="1:31" ht="16" customHeight="1" x14ac:dyDescent="0.45">
      <c r="A481" s="1">
        <v>2506</v>
      </c>
      <c r="B481" s="2">
        <v>45831</v>
      </c>
      <c r="C481" s="24"/>
      <c r="D481" s="4" t="s">
        <v>222</v>
      </c>
      <c r="E481" s="5" t="s">
        <v>31</v>
      </c>
      <c r="G481" s="5" t="s">
        <v>31</v>
      </c>
      <c r="H481" s="19" t="s">
        <v>424</v>
      </c>
      <c r="N481" s="8">
        <v>120</v>
      </c>
      <c r="O481" s="9">
        <v>110</v>
      </c>
      <c r="P481" s="141"/>
      <c r="Q481" s="95"/>
      <c r="R481" s="12">
        <v>2100</v>
      </c>
      <c r="T481" s="33"/>
      <c r="U481" s="34"/>
      <c r="V481" s="15">
        <v>2550</v>
      </c>
      <c r="X481" s="12" t="s">
        <v>425</v>
      </c>
      <c r="Z481" s="18">
        <f t="shared" si="41"/>
        <v>0</v>
      </c>
    </row>
    <row r="482" spans="1:31" ht="16" customHeight="1" x14ac:dyDescent="0.45">
      <c r="A482" s="1">
        <v>2506</v>
      </c>
      <c r="B482" s="2">
        <v>45831</v>
      </c>
      <c r="C482" s="24"/>
      <c r="D482" s="4" t="s">
        <v>222</v>
      </c>
      <c r="E482" s="5" t="s">
        <v>31</v>
      </c>
      <c r="G482" s="5" t="s">
        <v>31</v>
      </c>
      <c r="H482" s="19" t="s">
        <v>426</v>
      </c>
      <c r="N482" s="8">
        <v>20</v>
      </c>
      <c r="O482" s="9">
        <v>18</v>
      </c>
      <c r="P482" s="141"/>
      <c r="Q482" s="95"/>
      <c r="T482" s="33"/>
      <c r="U482" s="34"/>
      <c r="Z482" s="18">
        <f t="shared" si="41"/>
        <v>0</v>
      </c>
    </row>
    <row r="483" spans="1:31" ht="16" customHeight="1" x14ac:dyDescent="0.45">
      <c r="A483" s="1">
        <v>2506</v>
      </c>
      <c r="B483" s="2">
        <v>45831</v>
      </c>
      <c r="C483" s="24"/>
      <c r="D483" s="4" t="s">
        <v>222</v>
      </c>
      <c r="E483" s="5" t="s">
        <v>31</v>
      </c>
      <c r="G483" s="5" t="s">
        <v>31</v>
      </c>
      <c r="H483" s="19" t="s">
        <v>427</v>
      </c>
      <c r="P483" s="141"/>
      <c r="Q483" s="95"/>
      <c r="T483" s="33"/>
      <c r="U483" s="34"/>
      <c r="W483" s="16">
        <v>1500000</v>
      </c>
      <c r="Z483" s="18">
        <f t="shared" si="41"/>
        <v>1500000</v>
      </c>
    </row>
    <row r="484" spans="1:31" ht="16" customHeight="1" x14ac:dyDescent="0.45">
      <c r="A484" s="22">
        <v>2506</v>
      </c>
      <c r="B484" s="23">
        <v>45813</v>
      </c>
      <c r="C484" s="24"/>
      <c r="D484" s="25" t="s">
        <v>211</v>
      </c>
      <c r="E484" s="26" t="s">
        <v>1</v>
      </c>
      <c r="F484" s="26"/>
      <c r="G484" s="26" t="s">
        <v>1</v>
      </c>
      <c r="H484" s="27" t="s">
        <v>383</v>
      </c>
      <c r="I484" s="27" t="s">
        <v>62</v>
      </c>
      <c r="J484" s="27"/>
      <c r="K484" s="28"/>
      <c r="L484" s="29">
        <v>8</v>
      </c>
      <c r="M484" s="30"/>
      <c r="N484" s="31"/>
      <c r="O484" s="32">
        <v>2531</v>
      </c>
      <c r="P484" s="91"/>
      <c r="Q484" s="92"/>
      <c r="R484" s="93">
        <v>2350</v>
      </c>
      <c r="S484" s="93">
        <f>O484*R484</f>
        <v>5947850</v>
      </c>
      <c r="T484" s="33"/>
      <c r="U484" s="34"/>
      <c r="V484" s="35">
        <v>4700</v>
      </c>
      <c r="W484" s="36">
        <f>O484*V484</f>
        <v>11895700</v>
      </c>
      <c r="X484" s="93"/>
      <c r="Y484" s="21"/>
      <c r="Z484" s="18">
        <f t="shared" si="41"/>
        <v>5947850</v>
      </c>
    </row>
    <row r="485" spans="1:31" s="21" customFormat="1" ht="16" customHeight="1" x14ac:dyDescent="0.45">
      <c r="A485" s="22">
        <v>2506</v>
      </c>
      <c r="B485" s="23">
        <v>45838</v>
      </c>
      <c r="C485" s="24"/>
      <c r="D485" s="25" t="s">
        <v>211</v>
      </c>
      <c r="E485" s="26" t="s">
        <v>1</v>
      </c>
      <c r="F485" s="26"/>
      <c r="G485" s="26" t="s">
        <v>1</v>
      </c>
      <c r="H485" s="27" t="s">
        <v>383</v>
      </c>
      <c r="I485" s="27" t="s">
        <v>36</v>
      </c>
      <c r="J485" s="27"/>
      <c r="K485" s="38" t="s">
        <v>428</v>
      </c>
      <c r="L485" s="29"/>
      <c r="M485" s="30"/>
      <c r="N485" s="31"/>
      <c r="O485" s="32">
        <v>2760</v>
      </c>
      <c r="P485" s="91"/>
      <c r="Q485" s="92"/>
      <c r="R485" s="93">
        <v>2350</v>
      </c>
      <c r="S485" s="93">
        <f>O485*R485</f>
        <v>6486000</v>
      </c>
      <c r="T485" s="33"/>
      <c r="U485" s="34"/>
      <c r="V485" s="35">
        <v>4700</v>
      </c>
      <c r="W485" s="36">
        <f>O485*V485</f>
        <v>12972000</v>
      </c>
      <c r="X485" s="93"/>
      <c r="Z485" s="18">
        <f t="shared" si="41"/>
        <v>6486000</v>
      </c>
      <c r="AA485" s="17"/>
      <c r="AB485" s="17"/>
      <c r="AC485" s="17"/>
      <c r="AD485" s="17"/>
      <c r="AE485" s="17"/>
    </row>
    <row r="486" spans="1:31" s="21" customFormat="1" ht="16" customHeight="1" x14ac:dyDescent="0.45">
      <c r="A486" s="22">
        <v>2506</v>
      </c>
      <c r="B486" s="23">
        <v>45838</v>
      </c>
      <c r="C486" s="24"/>
      <c r="D486" s="25" t="s">
        <v>211</v>
      </c>
      <c r="E486" s="26" t="s">
        <v>1</v>
      </c>
      <c r="F486" s="26"/>
      <c r="G486" s="26" t="s">
        <v>1</v>
      </c>
      <c r="H486" s="27" t="s">
        <v>383</v>
      </c>
      <c r="I486" s="27" t="s">
        <v>89</v>
      </c>
      <c r="J486" s="27"/>
      <c r="K486" s="38" t="s">
        <v>42</v>
      </c>
      <c r="L486" s="29">
        <v>8</v>
      </c>
      <c r="M486" s="30"/>
      <c r="N486" s="31"/>
      <c r="O486" s="32">
        <v>2702</v>
      </c>
      <c r="P486" s="91"/>
      <c r="Q486" s="92"/>
      <c r="R486" s="93">
        <v>2350</v>
      </c>
      <c r="S486" s="93">
        <f>O486*R486</f>
        <v>6349700</v>
      </c>
      <c r="T486" s="33"/>
      <c r="U486" s="34"/>
      <c r="V486" s="35">
        <v>4700</v>
      </c>
      <c r="W486" s="36">
        <f>O486*V486</f>
        <v>12699400</v>
      </c>
      <c r="X486" s="93"/>
      <c r="Z486" s="18">
        <f t="shared" si="41"/>
        <v>6349700</v>
      </c>
      <c r="AA486" s="17"/>
      <c r="AB486" s="17"/>
      <c r="AC486" s="17"/>
      <c r="AD486" s="17"/>
      <c r="AE486" s="17"/>
    </row>
    <row r="487" spans="1:31" ht="16" customHeight="1" x14ac:dyDescent="0.45">
      <c r="A487" s="22">
        <v>2506</v>
      </c>
      <c r="B487" s="23">
        <v>45826</v>
      </c>
      <c r="C487" s="24"/>
      <c r="D487" s="25" t="s">
        <v>211</v>
      </c>
      <c r="E487" s="26" t="s">
        <v>1</v>
      </c>
      <c r="F487" s="26"/>
      <c r="G487" s="26" t="s">
        <v>1</v>
      </c>
      <c r="H487" s="27" t="s">
        <v>383</v>
      </c>
      <c r="I487" s="27" t="s">
        <v>429</v>
      </c>
      <c r="J487" s="27"/>
      <c r="K487" s="28"/>
      <c r="L487" s="29"/>
      <c r="M487" s="30"/>
      <c r="N487" s="31"/>
      <c r="O487" s="32">
        <v>1318</v>
      </c>
      <c r="P487" s="91"/>
      <c r="Q487" s="92"/>
      <c r="R487" s="93">
        <v>2350</v>
      </c>
      <c r="S487" s="93">
        <f>O487*R487</f>
        <v>3097300</v>
      </c>
      <c r="T487" s="33"/>
      <c r="U487" s="34"/>
      <c r="V487" s="35">
        <v>4700</v>
      </c>
      <c r="W487" s="36">
        <f>O487*V487</f>
        <v>6194600</v>
      </c>
      <c r="X487" s="93"/>
      <c r="Y487" s="21"/>
      <c r="Z487" s="18">
        <f t="shared" si="41"/>
        <v>3097300</v>
      </c>
    </row>
    <row r="488" spans="1:31" ht="16" customHeight="1" x14ac:dyDescent="0.45">
      <c r="A488" s="22">
        <v>2506</v>
      </c>
      <c r="B488" s="2">
        <v>45810</v>
      </c>
      <c r="D488" s="4" t="s">
        <v>339</v>
      </c>
      <c r="E488" s="5" t="s">
        <v>27</v>
      </c>
      <c r="G488" s="5" t="s">
        <v>28</v>
      </c>
      <c r="H488" s="19" t="s">
        <v>101</v>
      </c>
      <c r="K488" s="73"/>
      <c r="L488" s="6">
        <v>3</v>
      </c>
      <c r="M488" s="7">
        <v>1261</v>
      </c>
      <c r="R488" s="12">
        <v>1000</v>
      </c>
      <c r="S488" s="12">
        <f t="shared" ref="S488:S499" si="42">M488*R488</f>
        <v>1261000</v>
      </c>
      <c r="Z488" s="18">
        <f t="shared" si="41"/>
        <v>-1261000</v>
      </c>
    </row>
    <row r="489" spans="1:31" s="21" customFormat="1" ht="16" customHeight="1" x14ac:dyDescent="0.45">
      <c r="A489" s="22">
        <v>2506</v>
      </c>
      <c r="B489" s="2">
        <v>45812</v>
      </c>
      <c r="C489" s="3"/>
      <c r="D489" s="4" t="s">
        <v>339</v>
      </c>
      <c r="E489" s="5" t="s">
        <v>27</v>
      </c>
      <c r="F489" s="5"/>
      <c r="G489" s="5" t="s">
        <v>28</v>
      </c>
      <c r="H489" s="19" t="s">
        <v>101</v>
      </c>
      <c r="I489" s="19"/>
      <c r="J489" s="19"/>
      <c r="K489" s="20"/>
      <c r="L489" s="6"/>
      <c r="M489" s="7">
        <v>1252.7</v>
      </c>
      <c r="N489" s="8"/>
      <c r="O489" s="9"/>
      <c r="P489" s="10"/>
      <c r="Q489" s="11"/>
      <c r="R489" s="12">
        <v>1000</v>
      </c>
      <c r="S489" s="12">
        <f t="shared" si="42"/>
        <v>1252700</v>
      </c>
      <c r="T489" s="13"/>
      <c r="U489" s="14"/>
      <c r="V489" s="15"/>
      <c r="W489" s="16"/>
      <c r="X489" s="12"/>
      <c r="Y489" s="17"/>
      <c r="Z489" s="18">
        <f t="shared" si="41"/>
        <v>-1252700</v>
      </c>
      <c r="AA489" s="17"/>
      <c r="AB489" s="17"/>
      <c r="AC489" s="17"/>
      <c r="AD489" s="17"/>
      <c r="AE489" s="17"/>
    </row>
    <row r="490" spans="1:31" s="21" customFormat="1" ht="16" customHeight="1" x14ac:dyDescent="0.45">
      <c r="A490" s="22">
        <v>2506</v>
      </c>
      <c r="B490" s="2">
        <v>45813</v>
      </c>
      <c r="C490" s="3"/>
      <c r="D490" s="4" t="s">
        <v>339</v>
      </c>
      <c r="E490" s="5" t="s">
        <v>27</v>
      </c>
      <c r="F490" s="5"/>
      <c r="G490" s="5" t="s">
        <v>28</v>
      </c>
      <c r="H490" s="19" t="s">
        <v>101</v>
      </c>
      <c r="I490" s="19"/>
      <c r="J490" s="19"/>
      <c r="K490" s="20"/>
      <c r="L490" s="6"/>
      <c r="M490" s="7">
        <v>421.9</v>
      </c>
      <c r="N490" s="8"/>
      <c r="O490" s="9"/>
      <c r="P490" s="10"/>
      <c r="Q490" s="11"/>
      <c r="R490" s="12">
        <v>1000</v>
      </c>
      <c r="S490" s="12">
        <f t="shared" si="42"/>
        <v>421900</v>
      </c>
      <c r="T490" s="13"/>
      <c r="U490" s="14"/>
      <c r="V490" s="15"/>
      <c r="W490" s="16"/>
      <c r="X490" s="12"/>
      <c r="Y490" s="17"/>
      <c r="Z490" s="18">
        <f t="shared" si="41"/>
        <v>-421900</v>
      </c>
      <c r="AA490" s="17"/>
      <c r="AB490" s="17"/>
      <c r="AC490" s="17"/>
      <c r="AD490" s="17"/>
      <c r="AE490" s="17"/>
    </row>
    <row r="491" spans="1:31" ht="16" customHeight="1" x14ac:dyDescent="0.45">
      <c r="A491" s="22">
        <v>2506</v>
      </c>
      <c r="B491" s="2">
        <v>45813</v>
      </c>
      <c r="D491" s="4" t="s">
        <v>339</v>
      </c>
      <c r="E491" s="5" t="s">
        <v>27</v>
      </c>
      <c r="G491" s="5" t="s">
        <v>28</v>
      </c>
      <c r="H491" s="19" t="s">
        <v>102</v>
      </c>
      <c r="M491" s="7">
        <v>845.2</v>
      </c>
      <c r="R491" s="12">
        <v>1000</v>
      </c>
      <c r="S491" s="12">
        <f t="shared" si="42"/>
        <v>845200</v>
      </c>
      <c r="Z491" s="18">
        <f t="shared" si="41"/>
        <v>-845200</v>
      </c>
    </row>
    <row r="492" spans="1:31" ht="16" customHeight="1" x14ac:dyDescent="0.45">
      <c r="A492" s="22">
        <v>2506</v>
      </c>
      <c r="B492" s="2">
        <v>45818</v>
      </c>
      <c r="D492" s="4" t="s">
        <v>339</v>
      </c>
      <c r="E492" s="5" t="s">
        <v>27</v>
      </c>
      <c r="G492" s="5" t="s">
        <v>28</v>
      </c>
      <c r="H492" s="19" t="s">
        <v>101</v>
      </c>
      <c r="K492" s="73">
        <v>308</v>
      </c>
      <c r="L492" s="6">
        <v>2</v>
      </c>
      <c r="M492" s="7">
        <v>840.3</v>
      </c>
      <c r="R492" s="12">
        <v>1000</v>
      </c>
      <c r="S492" s="12">
        <f t="shared" si="42"/>
        <v>840300</v>
      </c>
      <c r="Z492" s="18">
        <f t="shared" si="41"/>
        <v>-840300</v>
      </c>
    </row>
    <row r="493" spans="1:31" ht="16" customHeight="1" x14ac:dyDescent="0.45">
      <c r="A493" s="22">
        <v>2506</v>
      </c>
      <c r="B493" s="2">
        <v>45818</v>
      </c>
      <c r="D493" s="4" t="s">
        <v>339</v>
      </c>
      <c r="E493" s="5" t="s">
        <v>27</v>
      </c>
      <c r="G493" s="5" t="s">
        <v>28</v>
      </c>
      <c r="H493" s="19" t="s">
        <v>101</v>
      </c>
      <c r="K493" s="73">
        <v>11</v>
      </c>
      <c r="L493" s="6">
        <v>1</v>
      </c>
      <c r="M493" s="7">
        <v>420.6</v>
      </c>
      <c r="R493" s="12">
        <v>1000</v>
      </c>
      <c r="S493" s="12">
        <f t="shared" si="42"/>
        <v>420600</v>
      </c>
      <c r="Z493" s="18">
        <f t="shared" si="41"/>
        <v>-420600</v>
      </c>
    </row>
    <row r="494" spans="1:31" s="39" customFormat="1" ht="16" customHeight="1" x14ac:dyDescent="0.45">
      <c r="A494" s="22">
        <v>2506</v>
      </c>
      <c r="B494" s="2">
        <v>45821</v>
      </c>
      <c r="C494" s="3"/>
      <c r="D494" s="4" t="s">
        <v>339</v>
      </c>
      <c r="E494" s="5" t="s">
        <v>27</v>
      </c>
      <c r="F494" s="5"/>
      <c r="G494" s="5" t="s">
        <v>28</v>
      </c>
      <c r="H494" s="19" t="s">
        <v>101</v>
      </c>
      <c r="I494" s="19"/>
      <c r="J494" s="19"/>
      <c r="K494" s="20"/>
      <c r="L494" s="6">
        <v>3</v>
      </c>
      <c r="M494" s="7">
        <v>1257.5</v>
      </c>
      <c r="N494" s="8"/>
      <c r="O494" s="9"/>
      <c r="P494" s="10"/>
      <c r="Q494" s="11"/>
      <c r="R494" s="12">
        <v>1000</v>
      </c>
      <c r="S494" s="12">
        <f t="shared" si="42"/>
        <v>1257500</v>
      </c>
      <c r="T494" s="13"/>
      <c r="U494" s="14"/>
      <c r="V494" s="15"/>
      <c r="W494" s="16"/>
      <c r="X494" s="12"/>
      <c r="Y494" s="17"/>
      <c r="Z494" s="18">
        <f t="shared" si="41"/>
        <v>-1257500</v>
      </c>
      <c r="AA494" s="17"/>
      <c r="AB494" s="17"/>
      <c r="AC494" s="17"/>
      <c r="AD494" s="17"/>
      <c r="AE494" s="17"/>
    </row>
    <row r="495" spans="1:31" s="39" customFormat="1" ht="16" customHeight="1" x14ac:dyDescent="0.45">
      <c r="A495" s="22">
        <v>2506</v>
      </c>
      <c r="B495" s="2">
        <v>45832</v>
      </c>
      <c r="C495" s="3"/>
      <c r="D495" s="4" t="s">
        <v>339</v>
      </c>
      <c r="E495" s="5" t="s">
        <v>27</v>
      </c>
      <c r="F495" s="5"/>
      <c r="G495" s="5" t="s">
        <v>28</v>
      </c>
      <c r="H495" s="19" t="s">
        <v>101</v>
      </c>
      <c r="I495" s="19"/>
      <c r="J495" s="19"/>
      <c r="K495" s="20"/>
      <c r="L495" s="6"/>
      <c r="M495" s="7">
        <v>1257.2</v>
      </c>
      <c r="N495" s="8"/>
      <c r="O495" s="9"/>
      <c r="P495" s="10"/>
      <c r="Q495" s="11"/>
      <c r="R495" s="12">
        <v>1000</v>
      </c>
      <c r="S495" s="12">
        <f t="shared" si="42"/>
        <v>1257200</v>
      </c>
      <c r="T495" s="13"/>
      <c r="U495" s="14"/>
      <c r="V495" s="15"/>
      <c r="W495" s="16"/>
      <c r="X495" s="12"/>
      <c r="Y495" s="17"/>
      <c r="Z495" s="18">
        <f t="shared" si="41"/>
        <v>-1257200</v>
      </c>
      <c r="AA495" s="17"/>
      <c r="AB495" s="17"/>
      <c r="AC495" s="17"/>
      <c r="AD495" s="17"/>
      <c r="AE495" s="17"/>
    </row>
    <row r="496" spans="1:31" s="21" customFormat="1" ht="16" customHeight="1" x14ac:dyDescent="0.45">
      <c r="A496" s="22">
        <v>2506</v>
      </c>
      <c r="B496" s="2">
        <v>45827</v>
      </c>
      <c r="C496" s="3"/>
      <c r="D496" s="4" t="s">
        <v>339</v>
      </c>
      <c r="E496" s="5" t="s">
        <v>27</v>
      </c>
      <c r="F496" s="5"/>
      <c r="G496" s="5" t="s">
        <v>28</v>
      </c>
      <c r="H496" s="19" t="s">
        <v>101</v>
      </c>
      <c r="I496" s="19"/>
      <c r="J496" s="19"/>
      <c r="K496" s="20"/>
      <c r="L496" s="6"/>
      <c r="M496" s="7">
        <v>834.6</v>
      </c>
      <c r="N496" s="8"/>
      <c r="O496" s="9"/>
      <c r="P496" s="10"/>
      <c r="Q496" s="11"/>
      <c r="R496" s="12">
        <v>1000</v>
      </c>
      <c r="S496" s="12">
        <f t="shared" si="42"/>
        <v>834600</v>
      </c>
      <c r="T496" s="13"/>
      <c r="U496" s="14"/>
      <c r="V496" s="15"/>
      <c r="W496" s="16"/>
      <c r="X496" s="12"/>
      <c r="Y496" s="17"/>
      <c r="Z496" s="18">
        <f t="shared" si="41"/>
        <v>-834600</v>
      </c>
      <c r="AA496" s="17"/>
      <c r="AB496" s="17"/>
      <c r="AC496" s="17"/>
      <c r="AD496" s="17"/>
      <c r="AE496" s="17"/>
    </row>
    <row r="497" spans="1:31" s="21" customFormat="1" ht="16" customHeight="1" x14ac:dyDescent="0.45">
      <c r="A497" s="22">
        <v>2506</v>
      </c>
      <c r="B497" s="2">
        <v>45827</v>
      </c>
      <c r="C497" s="3"/>
      <c r="D497" s="4" t="s">
        <v>339</v>
      </c>
      <c r="E497" s="5" t="s">
        <v>27</v>
      </c>
      <c r="F497" s="5"/>
      <c r="G497" s="5" t="s">
        <v>28</v>
      </c>
      <c r="H497" s="19" t="s">
        <v>102</v>
      </c>
      <c r="I497" s="19"/>
      <c r="J497" s="19"/>
      <c r="K497" s="20"/>
      <c r="L497" s="6"/>
      <c r="M497" s="7">
        <v>428.4</v>
      </c>
      <c r="N497" s="8"/>
      <c r="O497" s="9"/>
      <c r="P497" s="10"/>
      <c r="Q497" s="11"/>
      <c r="R497" s="12">
        <v>1000</v>
      </c>
      <c r="S497" s="12">
        <f t="shared" si="42"/>
        <v>428400</v>
      </c>
      <c r="T497" s="13"/>
      <c r="U497" s="14"/>
      <c r="V497" s="15"/>
      <c r="W497" s="16"/>
      <c r="X497" s="12"/>
      <c r="Y497" s="17"/>
      <c r="Z497" s="18">
        <f t="shared" si="41"/>
        <v>-428400</v>
      </c>
      <c r="AA497" s="17"/>
      <c r="AB497" s="17"/>
      <c r="AC497" s="17"/>
      <c r="AD497" s="17"/>
      <c r="AE497" s="17"/>
    </row>
    <row r="498" spans="1:31" s="21" customFormat="1" ht="16" customHeight="1" x14ac:dyDescent="0.45">
      <c r="A498" s="22">
        <v>2506</v>
      </c>
      <c r="B498" s="2">
        <v>45826</v>
      </c>
      <c r="C498" s="3"/>
      <c r="D498" s="4" t="s">
        <v>339</v>
      </c>
      <c r="E498" s="5" t="s">
        <v>27</v>
      </c>
      <c r="F498" s="5"/>
      <c r="G498" s="5" t="s">
        <v>28</v>
      </c>
      <c r="H498" s="19" t="s">
        <v>101</v>
      </c>
      <c r="I498" s="19"/>
      <c r="J498" s="19"/>
      <c r="K498" s="20"/>
      <c r="L498" s="6"/>
      <c r="M498" s="7">
        <v>837.8</v>
      </c>
      <c r="N498" s="8"/>
      <c r="O498" s="9"/>
      <c r="P498" s="10"/>
      <c r="Q498" s="11"/>
      <c r="R498" s="12">
        <v>1000</v>
      </c>
      <c r="S498" s="12">
        <f t="shared" si="42"/>
        <v>837800</v>
      </c>
      <c r="T498" s="13"/>
      <c r="U498" s="14"/>
      <c r="V498" s="15"/>
      <c r="W498" s="16"/>
      <c r="X498" s="12"/>
      <c r="Y498" s="17"/>
      <c r="Z498" s="18">
        <f t="shared" si="41"/>
        <v>-837800</v>
      </c>
      <c r="AA498" s="17"/>
      <c r="AB498" s="17"/>
      <c r="AC498" s="17"/>
      <c r="AD498" s="17"/>
      <c r="AE498" s="17"/>
    </row>
    <row r="499" spans="1:31" s="21" customFormat="1" ht="16" customHeight="1" x14ac:dyDescent="0.45">
      <c r="A499" s="22">
        <v>2506</v>
      </c>
      <c r="B499" s="2">
        <v>45826</v>
      </c>
      <c r="C499" s="3"/>
      <c r="D499" s="4" t="s">
        <v>339</v>
      </c>
      <c r="E499" s="5" t="s">
        <v>27</v>
      </c>
      <c r="F499" s="5"/>
      <c r="G499" s="5" t="s">
        <v>28</v>
      </c>
      <c r="H499" s="19" t="s">
        <v>102</v>
      </c>
      <c r="I499" s="19"/>
      <c r="J499" s="19"/>
      <c r="K499" s="20"/>
      <c r="L499" s="6"/>
      <c r="M499" s="7">
        <v>422.3</v>
      </c>
      <c r="N499" s="8"/>
      <c r="O499" s="9"/>
      <c r="P499" s="10"/>
      <c r="Q499" s="11"/>
      <c r="R499" s="12">
        <v>1000</v>
      </c>
      <c r="S499" s="12">
        <f t="shared" si="42"/>
        <v>422300</v>
      </c>
      <c r="T499" s="13"/>
      <c r="U499" s="14"/>
      <c r="V499" s="15"/>
      <c r="W499" s="16"/>
      <c r="X499" s="12"/>
      <c r="Y499" s="17"/>
      <c r="Z499" s="18">
        <f t="shared" si="41"/>
        <v>-422300</v>
      </c>
      <c r="AA499" s="17"/>
      <c r="AB499" s="17"/>
      <c r="AC499" s="17"/>
      <c r="AD499" s="17"/>
      <c r="AE499" s="17"/>
    </row>
    <row r="500" spans="1:31" s="21" customFormat="1" ht="16" customHeight="1" x14ac:dyDescent="0.45">
      <c r="A500" s="22">
        <v>2506</v>
      </c>
      <c r="B500" s="2">
        <v>45835</v>
      </c>
      <c r="C500" s="3"/>
      <c r="D500" s="4" t="s">
        <v>430</v>
      </c>
      <c r="E500" s="5" t="s">
        <v>93</v>
      </c>
      <c r="F500" s="5"/>
      <c r="G500" s="5" t="s">
        <v>28</v>
      </c>
      <c r="H500" s="19" t="s">
        <v>431</v>
      </c>
      <c r="I500" s="19" t="s">
        <v>135</v>
      </c>
      <c r="J500" s="19"/>
      <c r="K500" s="20"/>
      <c r="L500" s="6"/>
      <c r="M500" s="7">
        <v>511.6</v>
      </c>
      <c r="N500" s="8"/>
      <c r="O500" s="9"/>
      <c r="P500" s="10">
        <v>4000</v>
      </c>
      <c r="Q500" s="11">
        <f>M500*P500</f>
        <v>2046400</v>
      </c>
      <c r="R500" s="12"/>
      <c r="S500" s="12"/>
      <c r="T500" s="13"/>
      <c r="U500" s="14"/>
      <c r="V500" s="15"/>
      <c r="W500" s="16"/>
      <c r="X500" s="12"/>
      <c r="Y500" s="17"/>
      <c r="Z500" s="18">
        <f t="shared" si="41"/>
        <v>-2046400</v>
      </c>
      <c r="AA500" s="17"/>
      <c r="AB500" s="17"/>
      <c r="AC500" s="17"/>
      <c r="AD500" s="17"/>
      <c r="AE500" s="17"/>
    </row>
    <row r="501" spans="1:31" ht="16" customHeight="1" x14ac:dyDescent="0.45">
      <c r="A501" s="22">
        <v>2506</v>
      </c>
      <c r="B501" s="2">
        <v>45798</v>
      </c>
      <c r="D501" s="4" t="s">
        <v>26</v>
      </c>
      <c r="E501" s="5" t="s">
        <v>98</v>
      </c>
      <c r="G501" s="5" t="s">
        <v>230</v>
      </c>
      <c r="H501" s="19" t="s">
        <v>432</v>
      </c>
      <c r="J501" s="19" t="s">
        <v>433</v>
      </c>
      <c r="M501" s="7">
        <v>31.5</v>
      </c>
      <c r="P501" s="10">
        <v>5800</v>
      </c>
      <c r="Q501" s="11">
        <f>M501*P501</f>
        <v>182700</v>
      </c>
      <c r="Z501" s="18">
        <f t="shared" si="41"/>
        <v>-182700</v>
      </c>
    </row>
    <row r="502" spans="1:31" ht="16" customHeight="1" x14ac:dyDescent="0.45">
      <c r="A502" s="1">
        <v>2506</v>
      </c>
      <c r="B502" s="2">
        <v>45833</v>
      </c>
      <c r="C502" s="24"/>
      <c r="D502" s="4" t="s">
        <v>30</v>
      </c>
      <c r="E502" s="5" t="s">
        <v>31</v>
      </c>
      <c r="G502" s="5" t="s">
        <v>31</v>
      </c>
      <c r="H502" s="19" t="s">
        <v>133</v>
      </c>
      <c r="I502" s="19" t="s">
        <v>434</v>
      </c>
      <c r="O502" s="9">
        <v>350</v>
      </c>
      <c r="P502" s="141"/>
      <c r="Q502" s="95"/>
      <c r="T502" s="33"/>
      <c r="U502" s="34"/>
      <c r="V502" s="15">
        <v>2450</v>
      </c>
      <c r="W502" s="16">
        <f>O502*V502</f>
        <v>857500</v>
      </c>
      <c r="Z502" s="18">
        <f t="shared" si="41"/>
        <v>857500</v>
      </c>
    </row>
    <row r="503" spans="1:31" ht="16" customHeight="1" x14ac:dyDescent="0.45">
      <c r="A503" s="1">
        <v>2506</v>
      </c>
      <c r="B503" s="2">
        <v>45831</v>
      </c>
      <c r="C503" s="24"/>
      <c r="D503" s="4" t="s">
        <v>30</v>
      </c>
      <c r="E503" s="5" t="s">
        <v>31</v>
      </c>
      <c r="G503" s="5" t="s">
        <v>31</v>
      </c>
      <c r="H503" s="19" t="s">
        <v>113</v>
      </c>
      <c r="I503" s="19" t="s">
        <v>435</v>
      </c>
      <c r="O503" s="9">
        <v>4040</v>
      </c>
      <c r="P503" s="141"/>
      <c r="Q503" s="95"/>
      <c r="R503" s="12">
        <v>1230</v>
      </c>
      <c r="S503" s="12">
        <f>O503*R503</f>
        <v>4969200</v>
      </c>
      <c r="T503" s="33"/>
      <c r="U503" s="34"/>
      <c r="V503" s="15" t="s">
        <v>436</v>
      </c>
      <c r="Z503" s="18">
        <f t="shared" si="41"/>
        <v>-4969200</v>
      </c>
    </row>
    <row r="504" spans="1:31" ht="16" customHeight="1" x14ac:dyDescent="0.45">
      <c r="A504" s="1">
        <v>2506</v>
      </c>
      <c r="B504" s="2">
        <v>45831</v>
      </c>
      <c r="C504" s="24"/>
      <c r="D504" s="4" t="s">
        <v>30</v>
      </c>
      <c r="E504" s="5" t="s">
        <v>31</v>
      </c>
      <c r="G504" s="5" t="s">
        <v>31</v>
      </c>
      <c r="H504" s="19" t="s">
        <v>96</v>
      </c>
      <c r="I504" s="19" t="s">
        <v>436</v>
      </c>
      <c r="O504" s="9">
        <v>1500</v>
      </c>
      <c r="P504" s="141"/>
      <c r="Q504" s="95"/>
      <c r="R504" s="12">
        <v>1113</v>
      </c>
      <c r="S504" s="12">
        <f>O504*R504</f>
        <v>1669500</v>
      </c>
      <c r="T504" s="33"/>
      <c r="U504" s="34"/>
      <c r="V504" s="15" t="s">
        <v>436</v>
      </c>
      <c r="Z504" s="18">
        <f t="shared" si="41"/>
        <v>-1669500</v>
      </c>
    </row>
    <row r="505" spans="1:31" ht="16" customHeight="1" x14ac:dyDescent="0.45">
      <c r="A505" s="1">
        <v>2506</v>
      </c>
      <c r="B505" s="2">
        <v>45831</v>
      </c>
      <c r="C505" s="24"/>
      <c r="D505" s="4" t="s">
        <v>30</v>
      </c>
      <c r="E505" s="5" t="s">
        <v>31</v>
      </c>
      <c r="G505" s="5" t="s">
        <v>31</v>
      </c>
      <c r="H505" s="19" t="s">
        <v>103</v>
      </c>
      <c r="I505" s="19" t="s">
        <v>435</v>
      </c>
      <c r="O505" s="9">
        <v>1500</v>
      </c>
      <c r="P505" s="141"/>
      <c r="Q505" s="95"/>
      <c r="R505" s="12">
        <v>1410</v>
      </c>
      <c r="S505" s="12">
        <f>O505*R505</f>
        <v>2115000</v>
      </c>
      <c r="T505" s="33"/>
      <c r="U505" s="34"/>
      <c r="V505" s="15" t="s">
        <v>436</v>
      </c>
      <c r="Z505" s="18">
        <f t="shared" si="41"/>
        <v>-2115000</v>
      </c>
    </row>
    <row r="506" spans="1:31" ht="16" customHeight="1" x14ac:dyDescent="0.45">
      <c r="A506" s="1">
        <v>2506</v>
      </c>
      <c r="B506" s="2">
        <v>45831</v>
      </c>
      <c r="C506" s="24"/>
      <c r="D506" s="4" t="s">
        <v>30</v>
      </c>
      <c r="E506" s="5" t="s">
        <v>31</v>
      </c>
      <c r="G506" s="5" t="s">
        <v>31</v>
      </c>
      <c r="H506" s="19" t="s">
        <v>133</v>
      </c>
      <c r="O506" s="9">
        <v>3655</v>
      </c>
      <c r="P506" s="141"/>
      <c r="Q506" s="95"/>
      <c r="R506" s="12">
        <v>1470</v>
      </c>
      <c r="S506" s="12">
        <f>O506*R506</f>
        <v>5372850</v>
      </c>
      <c r="T506" s="33"/>
      <c r="U506" s="34"/>
      <c r="V506" s="15">
        <v>2450</v>
      </c>
      <c r="W506" s="16">
        <f>O506*V506</f>
        <v>8954750</v>
      </c>
      <c r="Z506" s="18">
        <f t="shared" si="41"/>
        <v>3581900</v>
      </c>
    </row>
    <row r="507" spans="1:31" ht="16" customHeight="1" x14ac:dyDescent="0.45">
      <c r="A507" s="1">
        <v>2506</v>
      </c>
      <c r="B507" s="2">
        <v>45831</v>
      </c>
      <c r="C507" s="24"/>
      <c r="D507" s="4" t="s">
        <v>30</v>
      </c>
      <c r="E507" s="5" t="s">
        <v>31</v>
      </c>
      <c r="G507" s="5" t="s">
        <v>31</v>
      </c>
      <c r="H507" s="19" t="s">
        <v>133</v>
      </c>
      <c r="I507" s="19" t="s">
        <v>436</v>
      </c>
      <c r="O507" s="9">
        <v>3500</v>
      </c>
      <c r="P507" s="141"/>
      <c r="Q507" s="95"/>
      <c r="R507" s="12">
        <v>1470</v>
      </c>
      <c r="S507" s="12">
        <f>O507*R507</f>
        <v>5145000</v>
      </c>
      <c r="T507" s="33"/>
      <c r="U507" s="34"/>
      <c r="V507" s="15" t="s">
        <v>436</v>
      </c>
      <c r="Z507" s="18">
        <f t="shared" si="41"/>
        <v>-5145000</v>
      </c>
    </row>
    <row r="508" spans="1:31" ht="16" customHeight="1" x14ac:dyDescent="0.45">
      <c r="A508" s="1">
        <v>2506</v>
      </c>
      <c r="B508" s="2">
        <v>45809</v>
      </c>
      <c r="C508" s="24"/>
      <c r="D508" s="4" t="s">
        <v>30</v>
      </c>
      <c r="E508" s="5" t="s">
        <v>31</v>
      </c>
      <c r="G508" s="5" t="s">
        <v>31</v>
      </c>
      <c r="H508" s="19" t="s">
        <v>133</v>
      </c>
      <c r="O508" s="9">
        <v>-624</v>
      </c>
      <c r="P508" s="141"/>
      <c r="Q508" s="95"/>
      <c r="R508" s="12" t="s">
        <v>437</v>
      </c>
      <c r="T508" s="33"/>
      <c r="U508" s="34"/>
      <c r="V508" s="15">
        <v>2450</v>
      </c>
      <c r="W508" s="16">
        <f>O508*V508</f>
        <v>-1528800</v>
      </c>
      <c r="Z508" s="18">
        <f t="shared" si="41"/>
        <v>-1528800</v>
      </c>
    </row>
    <row r="509" spans="1:31" ht="16" customHeight="1" x14ac:dyDescent="0.45">
      <c r="A509" s="1">
        <v>2506</v>
      </c>
      <c r="B509" s="2">
        <v>45808</v>
      </c>
      <c r="C509" s="24"/>
      <c r="D509" s="4" t="s">
        <v>30</v>
      </c>
      <c r="E509" s="5" t="s">
        <v>31</v>
      </c>
      <c r="G509" s="5" t="s">
        <v>31</v>
      </c>
      <c r="H509" s="19" t="s">
        <v>133</v>
      </c>
      <c r="I509" s="19" t="s">
        <v>438</v>
      </c>
      <c r="O509" s="9">
        <v>-143</v>
      </c>
      <c r="P509" s="141"/>
      <c r="Q509" s="95"/>
      <c r="R509" s="12" t="s">
        <v>437</v>
      </c>
      <c r="T509" s="33"/>
      <c r="U509" s="34"/>
      <c r="V509" s="15">
        <v>2450</v>
      </c>
      <c r="W509" s="16">
        <f>O509*V509</f>
        <v>-350350</v>
      </c>
      <c r="Z509" s="18">
        <f t="shared" si="41"/>
        <v>-350350</v>
      </c>
    </row>
    <row r="510" spans="1:31" s="21" customFormat="1" ht="16" customHeight="1" x14ac:dyDescent="0.45">
      <c r="A510" s="22">
        <v>2506</v>
      </c>
      <c r="B510" s="2">
        <v>45812</v>
      </c>
      <c r="C510" s="3"/>
      <c r="D510" s="4" t="s">
        <v>27</v>
      </c>
      <c r="E510" s="5" t="s">
        <v>37</v>
      </c>
      <c r="F510" s="5"/>
      <c r="G510" s="5" t="s">
        <v>28</v>
      </c>
      <c r="H510" s="19" t="s">
        <v>33</v>
      </c>
      <c r="I510" s="19"/>
      <c r="J510" s="19"/>
      <c r="K510" s="73"/>
      <c r="L510" s="6">
        <v>147</v>
      </c>
      <c r="M510" s="7">
        <v>2572.5</v>
      </c>
      <c r="N510" s="8"/>
      <c r="O510" s="9"/>
      <c r="P510" s="10"/>
      <c r="Q510" s="11"/>
      <c r="R510" s="12">
        <v>2100</v>
      </c>
      <c r="S510" s="12">
        <f t="shared" ref="S510:S516" si="43">M510*R510</f>
        <v>5402250</v>
      </c>
      <c r="T510" s="13"/>
      <c r="U510" s="14"/>
      <c r="V510" s="15"/>
      <c r="W510" s="16"/>
      <c r="X510" s="12"/>
      <c r="Y510" s="17"/>
      <c r="Z510" s="18">
        <f t="shared" si="41"/>
        <v>-5402250</v>
      </c>
      <c r="AA510" s="17"/>
      <c r="AB510" s="17"/>
      <c r="AC510" s="17"/>
      <c r="AD510" s="17"/>
      <c r="AE510" s="17"/>
    </row>
    <row r="511" spans="1:31" s="21" customFormat="1" ht="16" customHeight="1" x14ac:dyDescent="0.45">
      <c r="A511" s="22">
        <v>2506</v>
      </c>
      <c r="B511" s="2">
        <v>45812</v>
      </c>
      <c r="C511" s="3"/>
      <c r="D511" s="4" t="s">
        <v>27</v>
      </c>
      <c r="E511" s="5" t="s">
        <v>37</v>
      </c>
      <c r="F511" s="5"/>
      <c r="G511" s="5" t="s">
        <v>28</v>
      </c>
      <c r="H511" s="19" t="s">
        <v>32</v>
      </c>
      <c r="I511" s="19"/>
      <c r="J511" s="19"/>
      <c r="K511" s="73"/>
      <c r="L511" s="6">
        <v>12</v>
      </c>
      <c r="M511" s="7">
        <v>210</v>
      </c>
      <c r="N511" s="8"/>
      <c r="O511" s="9"/>
      <c r="P511" s="10"/>
      <c r="Q511" s="11"/>
      <c r="R511" s="12">
        <v>2100</v>
      </c>
      <c r="S511" s="12">
        <f t="shared" si="43"/>
        <v>441000</v>
      </c>
      <c r="T511" s="13"/>
      <c r="U511" s="14"/>
      <c r="V511" s="15"/>
      <c r="W511" s="16"/>
      <c r="X511" s="12"/>
      <c r="Y511" s="17"/>
      <c r="Z511" s="18">
        <f t="shared" si="41"/>
        <v>-441000</v>
      </c>
      <c r="AA511" s="17"/>
      <c r="AB511" s="17"/>
      <c r="AC511" s="17"/>
      <c r="AD511" s="17"/>
      <c r="AE511" s="17"/>
    </row>
    <row r="512" spans="1:31" s="21" customFormat="1" ht="16" customHeight="1" x14ac:dyDescent="0.45">
      <c r="A512" s="22">
        <v>2506</v>
      </c>
      <c r="B512" s="40">
        <v>45820</v>
      </c>
      <c r="C512" s="41"/>
      <c r="D512" s="37" t="s">
        <v>27</v>
      </c>
      <c r="E512" s="42" t="s">
        <v>37</v>
      </c>
      <c r="F512" s="42"/>
      <c r="G512" s="42" t="s">
        <v>28</v>
      </c>
      <c r="H512" s="43" t="s">
        <v>33</v>
      </c>
      <c r="I512" s="43"/>
      <c r="J512" s="43"/>
      <c r="K512" s="44"/>
      <c r="L512" s="45">
        <v>210</v>
      </c>
      <c r="M512" s="46">
        <v>3675.6</v>
      </c>
      <c r="N512" s="47"/>
      <c r="O512" s="48"/>
      <c r="P512" s="10"/>
      <c r="Q512" s="11"/>
      <c r="R512" s="90">
        <v>2100</v>
      </c>
      <c r="S512" s="90">
        <f t="shared" si="43"/>
        <v>7718760</v>
      </c>
      <c r="T512" s="49"/>
      <c r="U512" s="50"/>
      <c r="V512" s="51"/>
      <c r="W512" s="52"/>
      <c r="X512" s="90"/>
      <c r="Y512" s="39"/>
      <c r="Z512" s="18">
        <f t="shared" si="41"/>
        <v>-7718760</v>
      </c>
      <c r="AA512" s="17"/>
      <c r="AB512" s="17"/>
      <c r="AC512" s="17"/>
      <c r="AD512" s="17"/>
      <c r="AE512" s="17"/>
    </row>
    <row r="513" spans="1:31" s="21" customFormat="1" ht="16" customHeight="1" x14ac:dyDescent="0.45">
      <c r="A513" s="22">
        <v>2506</v>
      </c>
      <c r="B513" s="40">
        <v>45820</v>
      </c>
      <c r="C513" s="41"/>
      <c r="D513" s="37" t="s">
        <v>27</v>
      </c>
      <c r="E513" s="42" t="s">
        <v>37</v>
      </c>
      <c r="F513" s="42"/>
      <c r="G513" s="42" t="s">
        <v>28</v>
      </c>
      <c r="H513" s="43" t="s">
        <v>32</v>
      </c>
      <c r="I513" s="43"/>
      <c r="J513" s="43"/>
      <c r="K513" s="44"/>
      <c r="L513" s="45">
        <v>29</v>
      </c>
      <c r="M513" s="46">
        <v>507.5</v>
      </c>
      <c r="N513" s="47"/>
      <c r="O513" s="48"/>
      <c r="P513" s="10"/>
      <c r="Q513" s="11"/>
      <c r="R513" s="90">
        <v>2100</v>
      </c>
      <c r="S513" s="90">
        <f t="shared" si="43"/>
        <v>1065750</v>
      </c>
      <c r="T513" s="49"/>
      <c r="U513" s="50"/>
      <c r="V513" s="51"/>
      <c r="W513" s="52"/>
      <c r="X513" s="90"/>
      <c r="Y513" s="39"/>
      <c r="Z513" s="18">
        <f t="shared" si="41"/>
        <v>-1065750</v>
      </c>
      <c r="AA513" s="17"/>
      <c r="AB513" s="17"/>
      <c r="AC513" s="17"/>
      <c r="AD513" s="17"/>
      <c r="AE513" s="17"/>
    </row>
    <row r="514" spans="1:31" s="21" customFormat="1" ht="16" customHeight="1" x14ac:dyDescent="0.45">
      <c r="A514" s="22">
        <v>2506</v>
      </c>
      <c r="B514" s="2">
        <v>45824</v>
      </c>
      <c r="C514" s="3"/>
      <c r="D514" s="4" t="s">
        <v>27</v>
      </c>
      <c r="E514" s="5" t="s">
        <v>37</v>
      </c>
      <c r="F514" s="5"/>
      <c r="G514" s="5" t="s">
        <v>28</v>
      </c>
      <c r="H514" s="19" t="s">
        <v>33</v>
      </c>
      <c r="I514" s="19"/>
      <c r="J514" s="19"/>
      <c r="K514" s="20"/>
      <c r="L514" s="6">
        <v>119</v>
      </c>
      <c r="M514" s="7">
        <v>2082.5</v>
      </c>
      <c r="N514" s="8"/>
      <c r="O514" s="9"/>
      <c r="P514" s="10"/>
      <c r="Q514" s="11"/>
      <c r="R514" s="12">
        <v>2100</v>
      </c>
      <c r="S514" s="12">
        <f t="shared" si="43"/>
        <v>4373250</v>
      </c>
      <c r="T514" s="13"/>
      <c r="U514" s="14"/>
      <c r="V514" s="15"/>
      <c r="W514" s="16"/>
      <c r="X514" s="12"/>
      <c r="Y514" s="17"/>
      <c r="Z514" s="18">
        <f t="shared" ref="Z514:Z577" si="44">W514-S514-Q514</f>
        <v>-4373250</v>
      </c>
      <c r="AA514" s="17"/>
      <c r="AB514" s="17"/>
      <c r="AC514" s="17"/>
      <c r="AD514" s="17"/>
      <c r="AE514" s="17"/>
    </row>
    <row r="515" spans="1:31" s="21" customFormat="1" ht="16" customHeight="1" x14ac:dyDescent="0.45">
      <c r="A515" s="22">
        <v>2506</v>
      </c>
      <c r="B515" s="2">
        <v>45838</v>
      </c>
      <c r="C515" s="3"/>
      <c r="D515" s="4" t="s">
        <v>27</v>
      </c>
      <c r="E515" s="5"/>
      <c r="F515" s="5"/>
      <c r="G515" s="5" t="s">
        <v>28</v>
      </c>
      <c r="H515" s="19" t="s">
        <v>439</v>
      </c>
      <c r="I515" s="19"/>
      <c r="J515" s="19"/>
      <c r="K515" s="20"/>
      <c r="L515" s="6"/>
      <c r="M515" s="7">
        <v>2013</v>
      </c>
      <c r="N515" s="8"/>
      <c r="O515" s="9"/>
      <c r="P515" s="10"/>
      <c r="Q515" s="11"/>
      <c r="R515" s="12">
        <v>2390</v>
      </c>
      <c r="S515" s="12">
        <f t="shared" si="43"/>
        <v>4811070</v>
      </c>
      <c r="T515" s="13"/>
      <c r="U515" s="14"/>
      <c r="V515" s="15"/>
      <c r="W515" s="16"/>
      <c r="X515" s="12"/>
      <c r="Y515" s="17"/>
      <c r="Z515" s="18">
        <f t="shared" si="44"/>
        <v>-4811070</v>
      </c>
      <c r="AA515" s="17"/>
      <c r="AB515" s="17"/>
      <c r="AC515" s="17"/>
      <c r="AD515" s="17"/>
      <c r="AE515" s="17"/>
    </row>
    <row r="516" spans="1:31" s="21" customFormat="1" ht="16" customHeight="1" x14ac:dyDescent="0.45">
      <c r="A516" s="22">
        <v>2506</v>
      </c>
      <c r="B516" s="2">
        <v>45838</v>
      </c>
      <c r="C516" s="3"/>
      <c r="D516" s="4" t="s">
        <v>27</v>
      </c>
      <c r="E516" s="5"/>
      <c r="F516" s="5"/>
      <c r="G516" s="5" t="s">
        <v>28</v>
      </c>
      <c r="H516" s="19" t="s">
        <v>95</v>
      </c>
      <c r="I516" s="19"/>
      <c r="J516" s="19"/>
      <c r="K516" s="20"/>
      <c r="L516" s="6"/>
      <c r="M516" s="7">
        <v>1601.9</v>
      </c>
      <c r="N516" s="8"/>
      <c r="O516" s="9"/>
      <c r="P516" s="10"/>
      <c r="Q516" s="11"/>
      <c r="R516" s="12">
        <v>4300</v>
      </c>
      <c r="S516" s="12">
        <f t="shared" si="43"/>
        <v>6888170</v>
      </c>
      <c r="T516" s="13"/>
      <c r="U516" s="14"/>
      <c r="V516" s="15"/>
      <c r="W516" s="16"/>
      <c r="X516" s="12"/>
      <c r="Y516" s="17"/>
      <c r="Z516" s="18">
        <f t="shared" si="44"/>
        <v>-6888170</v>
      </c>
      <c r="AA516" s="17"/>
      <c r="AB516" s="17"/>
      <c r="AC516" s="17"/>
      <c r="AD516" s="17"/>
      <c r="AE516" s="17"/>
    </row>
    <row r="517" spans="1:31" s="21" customFormat="1" ht="16" customHeight="1" x14ac:dyDescent="0.45">
      <c r="A517" s="22">
        <v>2506</v>
      </c>
      <c r="B517" s="2">
        <v>45835</v>
      </c>
      <c r="C517" s="3"/>
      <c r="D517" s="4" t="s">
        <v>35</v>
      </c>
      <c r="E517" s="5" t="s">
        <v>10</v>
      </c>
      <c r="F517" s="5"/>
      <c r="G517" s="5" t="s">
        <v>19</v>
      </c>
      <c r="H517" s="19" t="s">
        <v>104</v>
      </c>
      <c r="I517" s="19" t="s">
        <v>105</v>
      </c>
      <c r="J517" s="19"/>
      <c r="K517" s="20"/>
      <c r="L517" s="6">
        <v>5</v>
      </c>
      <c r="M517" s="7">
        <v>125.1</v>
      </c>
      <c r="N517" s="8">
        <v>2455</v>
      </c>
      <c r="O517" s="9"/>
      <c r="P517" s="10"/>
      <c r="Q517" s="11"/>
      <c r="R517" s="12">
        <v>970</v>
      </c>
      <c r="S517" s="12">
        <f>N517*R517</f>
        <v>2381350</v>
      </c>
      <c r="T517" s="13"/>
      <c r="U517" s="14"/>
      <c r="V517" s="15"/>
      <c r="W517" s="16"/>
      <c r="X517" s="12"/>
      <c r="Y517" s="17"/>
      <c r="Z517" s="18">
        <f t="shared" si="44"/>
        <v>-2381350</v>
      </c>
      <c r="AA517" s="17"/>
      <c r="AB517" s="17"/>
      <c r="AC517" s="17"/>
      <c r="AD517" s="17"/>
      <c r="AE517" s="17"/>
    </row>
    <row r="518" spans="1:31" s="21" customFormat="1" ht="16" customHeight="1" x14ac:dyDescent="0.45">
      <c r="A518" s="22">
        <v>2506</v>
      </c>
      <c r="B518" s="23">
        <v>45810</v>
      </c>
      <c r="C518" s="24"/>
      <c r="D518" s="25" t="s">
        <v>37</v>
      </c>
      <c r="E518" s="26" t="s">
        <v>230</v>
      </c>
      <c r="F518" s="26"/>
      <c r="G518" s="26" t="s">
        <v>230</v>
      </c>
      <c r="H518" s="27" t="s">
        <v>440</v>
      </c>
      <c r="I518" s="27" t="s">
        <v>53</v>
      </c>
      <c r="J518" s="27"/>
      <c r="K518" s="38"/>
      <c r="L518" s="29">
        <v>1</v>
      </c>
      <c r="M518" s="30">
        <v>13.6</v>
      </c>
      <c r="N518" s="31">
        <v>108</v>
      </c>
      <c r="O518" s="32">
        <v>98</v>
      </c>
      <c r="P518" s="91"/>
      <c r="Q518" s="92"/>
      <c r="R518" s="93">
        <v>2500</v>
      </c>
      <c r="S518" s="93">
        <f t="shared" ref="S518:S534" si="45">M518*R518</f>
        <v>34000</v>
      </c>
      <c r="T518" s="33"/>
      <c r="U518" s="34"/>
      <c r="V518" s="35">
        <v>2400</v>
      </c>
      <c r="W518" s="36">
        <f t="shared" ref="W518:W534" si="46">O518*V518</f>
        <v>235200</v>
      </c>
      <c r="X518" s="93"/>
      <c r="Z518" s="18">
        <f t="shared" si="44"/>
        <v>201200</v>
      </c>
      <c r="AA518" s="17"/>
      <c r="AB518" s="17"/>
      <c r="AC518" s="17"/>
      <c r="AD518" s="17"/>
      <c r="AE518" s="17"/>
    </row>
    <row r="519" spans="1:31" ht="16" customHeight="1" x14ac:dyDescent="0.45">
      <c r="A519" s="1">
        <v>2506</v>
      </c>
      <c r="B519" s="2">
        <v>45812</v>
      </c>
      <c r="C519" s="24"/>
      <c r="D519" s="4" t="s">
        <v>37</v>
      </c>
      <c r="E519" s="5" t="s">
        <v>28</v>
      </c>
      <c r="G519" s="5" t="s">
        <v>28</v>
      </c>
      <c r="H519" s="19" t="s">
        <v>38</v>
      </c>
      <c r="I519" s="19" t="s">
        <v>39</v>
      </c>
      <c r="K519" s="73" t="s">
        <v>40</v>
      </c>
      <c r="L519" s="6">
        <v>33</v>
      </c>
      <c r="M519" s="7">
        <v>503</v>
      </c>
      <c r="O519" s="9">
        <v>804</v>
      </c>
      <c r="P519" s="141"/>
      <c r="Q519" s="95"/>
      <c r="R519" s="12">
        <v>2500</v>
      </c>
      <c r="S519" s="12">
        <f t="shared" si="45"/>
        <v>1257500</v>
      </c>
      <c r="T519" s="33"/>
      <c r="U519" s="34"/>
      <c r="V519" s="15">
        <v>6700</v>
      </c>
      <c r="W519" s="16">
        <f t="shared" si="46"/>
        <v>5386800</v>
      </c>
      <c r="Z519" s="18">
        <f t="shared" si="44"/>
        <v>4129300</v>
      </c>
    </row>
    <row r="520" spans="1:31" ht="16" customHeight="1" x14ac:dyDescent="0.45">
      <c r="A520" s="1">
        <v>2506</v>
      </c>
      <c r="B520" s="2">
        <v>45812</v>
      </c>
      <c r="C520" s="24"/>
      <c r="D520" s="4" t="s">
        <v>37</v>
      </c>
      <c r="E520" s="5" t="s">
        <v>28</v>
      </c>
      <c r="G520" s="5" t="s">
        <v>28</v>
      </c>
      <c r="H520" s="19" t="s">
        <v>38</v>
      </c>
      <c r="I520" s="19" t="s">
        <v>39</v>
      </c>
      <c r="K520" s="73" t="s">
        <v>41</v>
      </c>
      <c r="L520" s="6">
        <v>33</v>
      </c>
      <c r="M520" s="7">
        <v>496.1</v>
      </c>
      <c r="O520" s="9">
        <v>762</v>
      </c>
      <c r="P520" s="141"/>
      <c r="Q520" s="95"/>
      <c r="R520" s="12">
        <v>2500</v>
      </c>
      <c r="S520" s="12">
        <f t="shared" si="45"/>
        <v>1240250</v>
      </c>
      <c r="T520" s="33"/>
      <c r="U520" s="34"/>
      <c r="V520" s="15">
        <v>6700</v>
      </c>
      <c r="W520" s="16">
        <f t="shared" si="46"/>
        <v>5105400</v>
      </c>
      <c r="Z520" s="18">
        <f t="shared" si="44"/>
        <v>3865150</v>
      </c>
    </row>
    <row r="521" spans="1:31" ht="16" customHeight="1" x14ac:dyDescent="0.45">
      <c r="A521" s="1">
        <v>2506</v>
      </c>
      <c r="B521" s="2">
        <v>45812</v>
      </c>
      <c r="C521" s="24"/>
      <c r="D521" s="4" t="s">
        <v>37</v>
      </c>
      <c r="E521" s="5" t="s">
        <v>28</v>
      </c>
      <c r="G521" s="5" t="s">
        <v>28</v>
      </c>
      <c r="H521" s="19" t="s">
        <v>38</v>
      </c>
      <c r="I521" s="19" t="s">
        <v>39</v>
      </c>
      <c r="K521" s="73" t="s">
        <v>42</v>
      </c>
      <c r="L521" s="6">
        <v>33</v>
      </c>
      <c r="M521" s="7">
        <v>492.4</v>
      </c>
      <c r="O521" s="9">
        <v>785</v>
      </c>
      <c r="P521" s="141"/>
      <c r="Q521" s="95"/>
      <c r="R521" s="12">
        <v>2500</v>
      </c>
      <c r="S521" s="12">
        <f t="shared" si="45"/>
        <v>1231000</v>
      </c>
      <c r="T521" s="33"/>
      <c r="U521" s="34"/>
      <c r="V521" s="15">
        <v>6700</v>
      </c>
      <c r="W521" s="16">
        <f t="shared" si="46"/>
        <v>5259500</v>
      </c>
      <c r="Z521" s="18">
        <f t="shared" si="44"/>
        <v>4028500</v>
      </c>
    </row>
    <row r="522" spans="1:31" ht="16" customHeight="1" x14ac:dyDescent="0.45">
      <c r="A522" s="1">
        <v>2506</v>
      </c>
      <c r="B522" s="2">
        <v>45812</v>
      </c>
      <c r="C522" s="24"/>
      <c r="D522" s="4" t="s">
        <v>37</v>
      </c>
      <c r="E522" s="5" t="s">
        <v>28</v>
      </c>
      <c r="G522" s="5" t="s">
        <v>28</v>
      </c>
      <c r="H522" s="19" t="s">
        <v>38</v>
      </c>
      <c r="I522" s="19" t="s">
        <v>39</v>
      </c>
      <c r="K522" s="73" t="s">
        <v>43</v>
      </c>
      <c r="L522" s="6">
        <v>33</v>
      </c>
      <c r="M522" s="7">
        <v>498.1</v>
      </c>
      <c r="O522" s="9">
        <v>761</v>
      </c>
      <c r="P522" s="141"/>
      <c r="Q522" s="95"/>
      <c r="R522" s="12">
        <v>2500</v>
      </c>
      <c r="S522" s="12">
        <f t="shared" si="45"/>
        <v>1245250</v>
      </c>
      <c r="T522" s="33"/>
      <c r="U522" s="34"/>
      <c r="V522" s="15">
        <v>6700</v>
      </c>
      <c r="W522" s="16">
        <f t="shared" si="46"/>
        <v>5098700</v>
      </c>
      <c r="Z522" s="18">
        <f t="shared" si="44"/>
        <v>3853450</v>
      </c>
    </row>
    <row r="523" spans="1:31" ht="16" customHeight="1" x14ac:dyDescent="0.45">
      <c r="A523" s="1">
        <v>2506</v>
      </c>
      <c r="B523" s="2">
        <v>45812</v>
      </c>
      <c r="C523" s="24"/>
      <c r="D523" s="4" t="s">
        <v>37</v>
      </c>
      <c r="E523" s="5" t="s">
        <v>28</v>
      </c>
      <c r="G523" s="5" t="s">
        <v>28</v>
      </c>
      <c r="H523" s="19" t="s">
        <v>38</v>
      </c>
      <c r="I523" s="19" t="s">
        <v>39</v>
      </c>
      <c r="K523" s="73" t="s">
        <v>44</v>
      </c>
      <c r="L523" s="6">
        <v>32</v>
      </c>
      <c r="M523" s="7">
        <v>466.3</v>
      </c>
      <c r="O523" s="9">
        <v>723</v>
      </c>
      <c r="P523" s="141"/>
      <c r="Q523" s="95"/>
      <c r="R523" s="12">
        <v>2500</v>
      </c>
      <c r="S523" s="12">
        <f t="shared" si="45"/>
        <v>1165750</v>
      </c>
      <c r="T523" s="33"/>
      <c r="U523" s="34"/>
      <c r="V523" s="15">
        <v>6700</v>
      </c>
      <c r="W523" s="16">
        <f t="shared" si="46"/>
        <v>4844100</v>
      </c>
      <c r="Z523" s="18">
        <f t="shared" si="44"/>
        <v>3678350</v>
      </c>
    </row>
    <row r="524" spans="1:31" ht="16" customHeight="1" x14ac:dyDescent="0.45">
      <c r="A524" s="1">
        <v>2506</v>
      </c>
      <c r="B524" s="2">
        <v>45812</v>
      </c>
      <c r="C524" s="24"/>
      <c r="D524" s="4" t="s">
        <v>37</v>
      </c>
      <c r="E524" s="5" t="s">
        <v>28</v>
      </c>
      <c r="G524" s="5" t="s">
        <v>28</v>
      </c>
      <c r="H524" s="19" t="s">
        <v>38</v>
      </c>
      <c r="I524" s="19" t="s">
        <v>39</v>
      </c>
      <c r="K524" s="73" t="s">
        <v>45</v>
      </c>
      <c r="L524" s="6">
        <v>32</v>
      </c>
      <c r="M524" s="7">
        <v>473.7</v>
      </c>
      <c r="O524" s="9">
        <v>747</v>
      </c>
      <c r="P524" s="141"/>
      <c r="Q524" s="95"/>
      <c r="R524" s="12">
        <v>2500</v>
      </c>
      <c r="S524" s="12">
        <f t="shared" si="45"/>
        <v>1184250</v>
      </c>
      <c r="T524" s="33"/>
      <c r="U524" s="34"/>
      <c r="V524" s="15">
        <v>6700</v>
      </c>
      <c r="W524" s="16">
        <f t="shared" si="46"/>
        <v>5004900</v>
      </c>
      <c r="Z524" s="18">
        <f t="shared" si="44"/>
        <v>3820650</v>
      </c>
    </row>
    <row r="525" spans="1:31" ht="16" customHeight="1" x14ac:dyDescent="0.45">
      <c r="A525" s="1">
        <v>2506</v>
      </c>
      <c r="B525" s="2">
        <v>45812</v>
      </c>
      <c r="C525" s="24"/>
      <c r="D525" s="4" t="s">
        <v>37</v>
      </c>
      <c r="E525" s="5" t="s">
        <v>28</v>
      </c>
      <c r="G525" s="5" t="s">
        <v>28</v>
      </c>
      <c r="H525" s="19" t="s">
        <v>38</v>
      </c>
      <c r="I525" s="19" t="s">
        <v>39</v>
      </c>
      <c r="K525" s="73" t="s">
        <v>46</v>
      </c>
      <c r="L525" s="6">
        <v>20</v>
      </c>
      <c r="M525" s="7">
        <v>296.39999999999998</v>
      </c>
      <c r="O525" s="9">
        <v>463</v>
      </c>
      <c r="P525" s="141"/>
      <c r="Q525" s="95"/>
      <c r="R525" s="12">
        <v>2500</v>
      </c>
      <c r="S525" s="12">
        <f t="shared" si="45"/>
        <v>741000</v>
      </c>
      <c r="T525" s="33"/>
      <c r="U525" s="34"/>
      <c r="V525" s="15">
        <v>6700</v>
      </c>
      <c r="W525" s="16">
        <f t="shared" si="46"/>
        <v>3102100</v>
      </c>
      <c r="Z525" s="18">
        <f t="shared" si="44"/>
        <v>2361100</v>
      </c>
    </row>
    <row r="526" spans="1:31" ht="16" customHeight="1" x14ac:dyDescent="0.45">
      <c r="A526" s="22">
        <v>2506</v>
      </c>
      <c r="B526" s="23">
        <v>45812</v>
      </c>
      <c r="C526" s="24"/>
      <c r="D526" s="25" t="s">
        <v>37</v>
      </c>
      <c r="E526" s="26" t="s">
        <v>28</v>
      </c>
      <c r="F526" s="26"/>
      <c r="G526" s="26" t="s">
        <v>28</v>
      </c>
      <c r="H526" s="27" t="s">
        <v>32</v>
      </c>
      <c r="I526" s="27" t="s">
        <v>47</v>
      </c>
      <c r="J526" s="27"/>
      <c r="K526" s="38" t="s">
        <v>48</v>
      </c>
      <c r="L526" s="29">
        <v>13</v>
      </c>
      <c r="M526" s="30">
        <v>200.3</v>
      </c>
      <c r="N526" s="31"/>
      <c r="O526" s="32">
        <v>337</v>
      </c>
      <c r="P526" s="91"/>
      <c r="Q526" s="92"/>
      <c r="R526" s="93">
        <v>2500</v>
      </c>
      <c r="S526" s="93">
        <f t="shared" si="45"/>
        <v>500750</v>
      </c>
      <c r="T526" s="33"/>
      <c r="U526" s="34"/>
      <c r="V526" s="35">
        <v>5750</v>
      </c>
      <c r="W526" s="36">
        <f t="shared" si="46"/>
        <v>1937750</v>
      </c>
      <c r="X526" s="93"/>
      <c r="Y526" s="21"/>
      <c r="Z526" s="18">
        <f t="shared" si="44"/>
        <v>1437000</v>
      </c>
    </row>
    <row r="527" spans="1:31" ht="16" customHeight="1" x14ac:dyDescent="0.45">
      <c r="A527" s="22">
        <v>2506</v>
      </c>
      <c r="B527" s="23">
        <v>45818</v>
      </c>
      <c r="C527" s="24"/>
      <c r="D527" s="25" t="s">
        <v>37</v>
      </c>
      <c r="E527" s="26" t="s">
        <v>28</v>
      </c>
      <c r="F527" s="26"/>
      <c r="G527" s="26" t="s">
        <v>28</v>
      </c>
      <c r="H527" s="27" t="s">
        <v>32</v>
      </c>
      <c r="I527" s="27" t="s">
        <v>47</v>
      </c>
      <c r="J527" s="27"/>
      <c r="K527" s="38" t="s">
        <v>40</v>
      </c>
      <c r="L527" s="29">
        <v>12</v>
      </c>
      <c r="M527" s="30">
        <v>187.1</v>
      </c>
      <c r="N527" s="31"/>
      <c r="O527" s="32">
        <v>334</v>
      </c>
      <c r="P527" s="91"/>
      <c r="Q527" s="92"/>
      <c r="R527" s="93">
        <v>2500</v>
      </c>
      <c r="S527" s="93">
        <f t="shared" si="45"/>
        <v>467750</v>
      </c>
      <c r="T527" s="33"/>
      <c r="U527" s="34"/>
      <c r="V527" s="35">
        <v>5750</v>
      </c>
      <c r="W527" s="36">
        <f t="shared" si="46"/>
        <v>1920500</v>
      </c>
      <c r="X527" s="93"/>
      <c r="Y527" s="21"/>
      <c r="Z527" s="18">
        <f t="shared" si="44"/>
        <v>1452750</v>
      </c>
    </row>
    <row r="528" spans="1:31" ht="16" customHeight="1" x14ac:dyDescent="0.45">
      <c r="A528" s="1">
        <v>2506</v>
      </c>
      <c r="B528" s="2">
        <v>45825</v>
      </c>
      <c r="C528" s="24"/>
      <c r="D528" s="4" t="s">
        <v>37</v>
      </c>
      <c r="E528" s="5" t="s">
        <v>28</v>
      </c>
      <c r="G528" s="5" t="s">
        <v>28</v>
      </c>
      <c r="H528" s="19" t="s">
        <v>38</v>
      </c>
      <c r="I528" s="19" t="s">
        <v>39</v>
      </c>
      <c r="K528" s="73" t="s">
        <v>49</v>
      </c>
      <c r="L528" s="6">
        <v>32</v>
      </c>
      <c r="M528" s="7">
        <v>486.3</v>
      </c>
      <c r="O528" s="9">
        <v>771</v>
      </c>
      <c r="P528" s="141"/>
      <c r="Q528" s="95"/>
      <c r="R528" s="12">
        <v>2500</v>
      </c>
      <c r="S528" s="12">
        <f t="shared" si="45"/>
        <v>1215750</v>
      </c>
      <c r="T528" s="33"/>
      <c r="U528" s="34"/>
      <c r="V528" s="15">
        <v>6700</v>
      </c>
      <c r="W528" s="16">
        <f t="shared" si="46"/>
        <v>5165700</v>
      </c>
      <c r="Z528" s="18">
        <f t="shared" si="44"/>
        <v>3949950</v>
      </c>
    </row>
    <row r="529" spans="1:31" ht="16" customHeight="1" x14ac:dyDescent="0.45">
      <c r="A529" s="1">
        <v>2506</v>
      </c>
      <c r="B529" s="2">
        <v>45825</v>
      </c>
      <c r="C529" s="24"/>
      <c r="D529" s="4" t="s">
        <v>37</v>
      </c>
      <c r="E529" s="5" t="s">
        <v>28</v>
      </c>
      <c r="G529" s="5" t="s">
        <v>28</v>
      </c>
      <c r="H529" s="19" t="s">
        <v>38</v>
      </c>
      <c r="I529" s="19" t="s">
        <v>39</v>
      </c>
      <c r="K529" s="73" t="s">
        <v>50</v>
      </c>
      <c r="L529" s="6">
        <v>32</v>
      </c>
      <c r="M529" s="7">
        <v>489.9</v>
      </c>
      <c r="O529" s="9">
        <v>757</v>
      </c>
      <c r="P529" s="141"/>
      <c r="Q529" s="95"/>
      <c r="R529" s="12">
        <v>2500</v>
      </c>
      <c r="S529" s="12">
        <f t="shared" si="45"/>
        <v>1224750</v>
      </c>
      <c r="T529" s="33"/>
      <c r="U529" s="34"/>
      <c r="V529" s="15">
        <v>6700</v>
      </c>
      <c r="W529" s="16">
        <f t="shared" si="46"/>
        <v>5071900</v>
      </c>
      <c r="Z529" s="18">
        <f t="shared" si="44"/>
        <v>3847150</v>
      </c>
    </row>
    <row r="530" spans="1:31" ht="16" customHeight="1" x14ac:dyDescent="0.45">
      <c r="A530" s="1">
        <v>2506</v>
      </c>
      <c r="B530" s="2">
        <v>45825</v>
      </c>
      <c r="C530" s="24"/>
      <c r="D530" s="4" t="s">
        <v>37</v>
      </c>
      <c r="E530" s="5" t="s">
        <v>28</v>
      </c>
      <c r="G530" s="5" t="s">
        <v>28</v>
      </c>
      <c r="H530" s="19" t="s">
        <v>38</v>
      </c>
      <c r="I530" s="19" t="s">
        <v>39</v>
      </c>
      <c r="K530" s="73" t="s">
        <v>51</v>
      </c>
      <c r="L530" s="6">
        <v>32</v>
      </c>
      <c r="M530" s="7">
        <v>477.3</v>
      </c>
      <c r="O530" s="9">
        <v>742</v>
      </c>
      <c r="P530" s="141"/>
      <c r="Q530" s="95"/>
      <c r="R530" s="12">
        <v>2500</v>
      </c>
      <c r="S530" s="12">
        <f t="shared" si="45"/>
        <v>1193250</v>
      </c>
      <c r="T530" s="33"/>
      <c r="U530" s="34"/>
      <c r="V530" s="15">
        <v>6700</v>
      </c>
      <c r="W530" s="16">
        <f t="shared" si="46"/>
        <v>4971400</v>
      </c>
      <c r="Z530" s="18">
        <f t="shared" si="44"/>
        <v>3778150</v>
      </c>
    </row>
    <row r="531" spans="1:31" ht="16" customHeight="1" x14ac:dyDescent="0.45">
      <c r="A531" s="1">
        <v>2506</v>
      </c>
      <c r="B531" s="2">
        <v>45825</v>
      </c>
      <c r="C531" s="24"/>
      <c r="D531" s="4" t="s">
        <v>37</v>
      </c>
      <c r="E531" s="5" t="s">
        <v>28</v>
      </c>
      <c r="G531" s="5" t="s">
        <v>28</v>
      </c>
      <c r="H531" s="19" t="s">
        <v>38</v>
      </c>
      <c r="I531" s="19" t="s">
        <v>39</v>
      </c>
      <c r="K531" s="73" t="s">
        <v>83</v>
      </c>
      <c r="L531" s="6">
        <v>32</v>
      </c>
      <c r="M531" s="7">
        <v>481.5</v>
      </c>
      <c r="O531" s="9">
        <v>758</v>
      </c>
      <c r="P531" s="141"/>
      <c r="Q531" s="95"/>
      <c r="R531" s="12">
        <v>2500</v>
      </c>
      <c r="S531" s="12">
        <f t="shared" si="45"/>
        <v>1203750</v>
      </c>
      <c r="T531" s="33"/>
      <c r="U531" s="34"/>
      <c r="V531" s="15">
        <v>6700</v>
      </c>
      <c r="W531" s="16">
        <f t="shared" si="46"/>
        <v>5078600</v>
      </c>
      <c r="Z531" s="18">
        <f t="shared" si="44"/>
        <v>3874850</v>
      </c>
    </row>
    <row r="532" spans="1:31" ht="16" customHeight="1" x14ac:dyDescent="0.45">
      <c r="A532" s="1">
        <v>2506</v>
      </c>
      <c r="B532" s="2">
        <v>45825</v>
      </c>
      <c r="C532" s="24"/>
      <c r="D532" s="4" t="s">
        <v>37</v>
      </c>
      <c r="E532" s="5" t="s">
        <v>28</v>
      </c>
      <c r="G532" s="5" t="s">
        <v>28</v>
      </c>
      <c r="H532" s="19" t="s">
        <v>38</v>
      </c>
      <c r="I532" s="19" t="s">
        <v>39</v>
      </c>
      <c r="K532" s="73" t="s">
        <v>84</v>
      </c>
      <c r="L532" s="6">
        <v>19</v>
      </c>
      <c r="M532" s="7">
        <v>289.5</v>
      </c>
      <c r="O532" s="9">
        <v>454</v>
      </c>
      <c r="P532" s="141"/>
      <c r="Q532" s="95"/>
      <c r="R532" s="12">
        <v>2500</v>
      </c>
      <c r="S532" s="12">
        <f t="shared" si="45"/>
        <v>723750</v>
      </c>
      <c r="T532" s="33"/>
      <c r="U532" s="34"/>
      <c r="V532" s="15">
        <v>6700</v>
      </c>
      <c r="W532" s="16">
        <f t="shared" si="46"/>
        <v>3041800</v>
      </c>
      <c r="Z532" s="18">
        <f t="shared" si="44"/>
        <v>2318050</v>
      </c>
    </row>
    <row r="533" spans="1:31" ht="16" customHeight="1" x14ac:dyDescent="0.45">
      <c r="A533" s="22">
        <v>2506</v>
      </c>
      <c r="B533" s="23">
        <v>45832</v>
      </c>
      <c r="C533" s="24"/>
      <c r="D533" s="25" t="s">
        <v>37</v>
      </c>
      <c r="E533" s="26" t="s">
        <v>28</v>
      </c>
      <c r="F533" s="26"/>
      <c r="G533" s="26" t="s">
        <v>28</v>
      </c>
      <c r="H533" s="27" t="s">
        <v>32</v>
      </c>
      <c r="I533" s="27" t="s">
        <v>47</v>
      </c>
      <c r="J533" s="27"/>
      <c r="K533" s="38" t="s">
        <v>41</v>
      </c>
      <c r="L533" s="29">
        <v>15</v>
      </c>
      <c r="M533" s="30">
        <v>238.8</v>
      </c>
      <c r="N533" s="31"/>
      <c r="O533" s="32">
        <v>415</v>
      </c>
      <c r="P533" s="91"/>
      <c r="Q533" s="92"/>
      <c r="R533" s="93">
        <v>2500</v>
      </c>
      <c r="S533" s="93">
        <f t="shared" si="45"/>
        <v>597000</v>
      </c>
      <c r="T533" s="33"/>
      <c r="U533" s="34"/>
      <c r="V533" s="35">
        <v>5750</v>
      </c>
      <c r="W533" s="36">
        <f t="shared" si="46"/>
        <v>2386250</v>
      </c>
      <c r="X533" s="93"/>
      <c r="Y533" s="21"/>
      <c r="Z533" s="18">
        <f t="shared" si="44"/>
        <v>1789250</v>
      </c>
    </row>
    <row r="534" spans="1:31" ht="16" customHeight="1" x14ac:dyDescent="0.45">
      <c r="A534" s="22">
        <v>2506</v>
      </c>
      <c r="B534" s="23">
        <v>45832</v>
      </c>
      <c r="C534" s="24"/>
      <c r="D534" s="25" t="s">
        <v>37</v>
      </c>
      <c r="E534" s="26" t="s">
        <v>28</v>
      </c>
      <c r="F534" s="26"/>
      <c r="G534" s="26" t="s">
        <v>28</v>
      </c>
      <c r="H534" s="27" t="s">
        <v>32</v>
      </c>
      <c r="I534" s="27" t="s">
        <v>47</v>
      </c>
      <c r="J534" s="27"/>
      <c r="K534" s="38" t="s">
        <v>42</v>
      </c>
      <c r="L534" s="29">
        <v>14</v>
      </c>
      <c r="M534" s="30">
        <v>219.6</v>
      </c>
      <c r="N534" s="31"/>
      <c r="O534" s="32">
        <v>395</v>
      </c>
      <c r="P534" s="91"/>
      <c r="Q534" s="92"/>
      <c r="R534" s="93">
        <v>2500</v>
      </c>
      <c r="S534" s="93">
        <f t="shared" si="45"/>
        <v>549000</v>
      </c>
      <c r="T534" s="33"/>
      <c r="U534" s="34"/>
      <c r="V534" s="35">
        <v>5750</v>
      </c>
      <c r="W534" s="36">
        <f t="shared" si="46"/>
        <v>2271250</v>
      </c>
      <c r="X534" s="93"/>
      <c r="Y534" s="21"/>
      <c r="Z534" s="18">
        <f t="shared" si="44"/>
        <v>1722250</v>
      </c>
    </row>
    <row r="535" spans="1:31" ht="16" customHeight="1" x14ac:dyDescent="0.45">
      <c r="A535" s="1">
        <v>2506</v>
      </c>
      <c r="B535" s="2">
        <v>45818</v>
      </c>
      <c r="C535" s="24"/>
      <c r="D535" s="4" t="s">
        <v>302</v>
      </c>
      <c r="E535" s="5" t="s">
        <v>31</v>
      </c>
      <c r="G535" s="5" t="s">
        <v>31</v>
      </c>
      <c r="H535" s="19" t="s">
        <v>441</v>
      </c>
      <c r="K535" s="73"/>
      <c r="M535" s="7">
        <v>30</v>
      </c>
      <c r="P535" s="141"/>
      <c r="Q535" s="95"/>
      <c r="T535" s="33"/>
      <c r="U535" s="34"/>
      <c r="Z535" s="18">
        <f t="shared" si="44"/>
        <v>0</v>
      </c>
    </row>
    <row r="536" spans="1:31" ht="16" customHeight="1" x14ac:dyDescent="0.45">
      <c r="A536" s="1">
        <v>2506</v>
      </c>
      <c r="B536" s="2">
        <v>45832</v>
      </c>
      <c r="C536" s="24"/>
      <c r="D536" s="4" t="s">
        <v>302</v>
      </c>
      <c r="E536" s="5" t="s">
        <v>31</v>
      </c>
      <c r="G536" s="5" t="s">
        <v>31</v>
      </c>
      <c r="H536" s="19" t="s">
        <v>441</v>
      </c>
      <c r="M536" s="7">
        <v>30</v>
      </c>
      <c r="P536" s="141"/>
      <c r="Q536" s="95"/>
      <c r="S536" s="12">
        <v>362500</v>
      </c>
      <c r="T536" s="33"/>
      <c r="U536" s="34"/>
      <c r="Z536" s="18">
        <f t="shared" si="44"/>
        <v>-362500</v>
      </c>
    </row>
    <row r="537" spans="1:31" ht="16" customHeight="1" x14ac:dyDescent="0.45">
      <c r="A537" s="1">
        <v>2506</v>
      </c>
      <c r="B537" s="2">
        <v>45832</v>
      </c>
      <c r="C537" s="24"/>
      <c r="D537" s="4" t="s">
        <v>302</v>
      </c>
      <c r="E537" s="5" t="s">
        <v>31</v>
      </c>
      <c r="G537" s="5" t="s">
        <v>31</v>
      </c>
      <c r="H537" s="19" t="s">
        <v>405</v>
      </c>
      <c r="M537" s="7">
        <v>30</v>
      </c>
      <c r="P537" s="141"/>
      <c r="Q537" s="95"/>
      <c r="T537" s="33"/>
      <c r="U537" s="34"/>
      <c r="Z537" s="18">
        <f t="shared" si="44"/>
        <v>0</v>
      </c>
    </row>
    <row r="538" spans="1:31" ht="16" customHeight="1" x14ac:dyDescent="0.45">
      <c r="A538" s="22">
        <v>2506</v>
      </c>
      <c r="B538" s="2">
        <v>45838</v>
      </c>
      <c r="D538" s="4" t="s">
        <v>159</v>
      </c>
      <c r="G538" s="5" t="s">
        <v>28</v>
      </c>
      <c r="H538" s="19" t="s">
        <v>202</v>
      </c>
      <c r="N538" s="8">
        <v>10945</v>
      </c>
      <c r="R538" s="12">
        <v>130</v>
      </c>
      <c r="S538" s="12">
        <f t="shared" ref="S538:S543" si="47">N538*R538</f>
        <v>1422850</v>
      </c>
      <c r="Z538" s="18">
        <f t="shared" si="44"/>
        <v>-1422850</v>
      </c>
    </row>
    <row r="539" spans="1:31" s="21" customFormat="1" ht="16" customHeight="1" x14ac:dyDescent="0.45">
      <c r="A539" s="22">
        <v>2506</v>
      </c>
      <c r="B539" s="2">
        <v>45819</v>
      </c>
      <c r="C539" s="3"/>
      <c r="D539" s="4" t="s">
        <v>3</v>
      </c>
      <c r="E539" s="5" t="s">
        <v>211</v>
      </c>
      <c r="F539" s="5"/>
      <c r="G539" s="5" t="s">
        <v>1</v>
      </c>
      <c r="H539" s="19" t="s">
        <v>2</v>
      </c>
      <c r="I539" s="19" t="s">
        <v>36</v>
      </c>
      <c r="J539" s="19"/>
      <c r="K539" s="20">
        <v>2</v>
      </c>
      <c r="L539" s="6">
        <v>8</v>
      </c>
      <c r="M539" s="7">
        <v>94.1</v>
      </c>
      <c r="N539" s="8">
        <v>1429</v>
      </c>
      <c r="O539" s="9"/>
      <c r="P539" s="10"/>
      <c r="Q539" s="11"/>
      <c r="R539" s="12">
        <v>500</v>
      </c>
      <c r="S539" s="12">
        <f t="shared" si="47"/>
        <v>714500</v>
      </c>
      <c r="T539" s="13"/>
      <c r="U539" s="14"/>
      <c r="V539" s="15"/>
      <c r="W539" s="16"/>
      <c r="X539" s="12"/>
      <c r="Y539" s="17"/>
      <c r="Z539" s="18">
        <f t="shared" si="44"/>
        <v>-714500</v>
      </c>
      <c r="AA539" s="17"/>
      <c r="AB539" s="17"/>
      <c r="AC539" s="17"/>
      <c r="AD539" s="17"/>
      <c r="AE539" s="17"/>
    </row>
    <row r="540" spans="1:31" s="21" customFormat="1" ht="16" customHeight="1" x14ac:dyDescent="0.45">
      <c r="A540" s="22">
        <v>2506</v>
      </c>
      <c r="B540" s="2">
        <v>45819</v>
      </c>
      <c r="C540" s="3"/>
      <c r="D540" s="4" t="s">
        <v>3</v>
      </c>
      <c r="E540" s="5" t="s">
        <v>211</v>
      </c>
      <c r="F540" s="5"/>
      <c r="G540" s="5" t="s">
        <v>1</v>
      </c>
      <c r="H540" s="19" t="s">
        <v>2</v>
      </c>
      <c r="I540" s="19" t="s">
        <v>36</v>
      </c>
      <c r="J540" s="19"/>
      <c r="K540" s="20">
        <v>3</v>
      </c>
      <c r="L540" s="6">
        <v>7</v>
      </c>
      <c r="M540" s="7">
        <v>92.2</v>
      </c>
      <c r="N540" s="8">
        <v>1405</v>
      </c>
      <c r="O540" s="9"/>
      <c r="P540" s="10"/>
      <c r="Q540" s="11"/>
      <c r="R540" s="12">
        <v>500</v>
      </c>
      <c r="S540" s="12">
        <f t="shared" si="47"/>
        <v>702500</v>
      </c>
      <c r="T540" s="13"/>
      <c r="U540" s="14"/>
      <c r="V540" s="15"/>
      <c r="W540" s="16"/>
      <c r="X540" s="12"/>
      <c r="Y540" s="17"/>
      <c r="Z540" s="18">
        <f t="shared" si="44"/>
        <v>-702500</v>
      </c>
      <c r="AA540" s="17"/>
      <c r="AB540" s="17"/>
      <c r="AC540" s="17"/>
      <c r="AD540" s="17"/>
      <c r="AE540" s="17"/>
    </row>
    <row r="541" spans="1:31" s="21" customFormat="1" ht="16" customHeight="1" x14ac:dyDescent="0.45">
      <c r="A541" s="22">
        <v>2506</v>
      </c>
      <c r="B541" s="2">
        <v>45819</v>
      </c>
      <c r="C541" s="3"/>
      <c r="D541" s="4" t="s">
        <v>3</v>
      </c>
      <c r="E541" s="5" t="s">
        <v>211</v>
      </c>
      <c r="F541" s="5"/>
      <c r="G541" s="5" t="s">
        <v>1</v>
      </c>
      <c r="H541" s="19" t="s">
        <v>2</v>
      </c>
      <c r="I541" s="19" t="s">
        <v>442</v>
      </c>
      <c r="J541" s="19"/>
      <c r="K541" s="20">
        <v>1</v>
      </c>
      <c r="L541" s="6">
        <v>9</v>
      </c>
      <c r="M541" s="7">
        <v>88.6</v>
      </c>
      <c r="N541" s="8">
        <v>1398</v>
      </c>
      <c r="O541" s="9"/>
      <c r="P541" s="10"/>
      <c r="Q541" s="11"/>
      <c r="R541" s="12">
        <v>550</v>
      </c>
      <c r="S541" s="12">
        <f t="shared" si="47"/>
        <v>768900</v>
      </c>
      <c r="T541" s="13"/>
      <c r="U541" s="14"/>
      <c r="V541" s="15"/>
      <c r="W541" s="16"/>
      <c r="X541" s="12"/>
      <c r="Y541" s="17"/>
      <c r="Z541" s="18">
        <f t="shared" si="44"/>
        <v>-768900</v>
      </c>
      <c r="AA541" s="17"/>
      <c r="AB541" s="17"/>
      <c r="AC541" s="17"/>
      <c r="AD541" s="17"/>
      <c r="AE541" s="17"/>
    </row>
    <row r="542" spans="1:31" s="21" customFormat="1" ht="16" customHeight="1" x14ac:dyDescent="0.45">
      <c r="A542" s="22">
        <v>2506</v>
      </c>
      <c r="B542" s="2">
        <v>45831</v>
      </c>
      <c r="C542" s="3"/>
      <c r="D542" s="4" t="s">
        <v>3</v>
      </c>
      <c r="E542" s="5" t="s">
        <v>211</v>
      </c>
      <c r="F542" s="5"/>
      <c r="G542" s="5" t="s">
        <v>1</v>
      </c>
      <c r="H542" s="19" t="s">
        <v>2</v>
      </c>
      <c r="I542" s="19" t="s">
        <v>74</v>
      </c>
      <c r="J542" s="19"/>
      <c r="K542" s="20"/>
      <c r="L542" s="6">
        <v>8</v>
      </c>
      <c r="M542" s="7">
        <v>93.3</v>
      </c>
      <c r="N542" s="8">
        <v>1485</v>
      </c>
      <c r="O542" s="9"/>
      <c r="P542" s="10"/>
      <c r="Q542" s="11"/>
      <c r="R542" s="12">
        <v>500</v>
      </c>
      <c r="S542" s="12">
        <f t="shared" si="47"/>
        <v>742500</v>
      </c>
      <c r="T542" s="13"/>
      <c r="U542" s="14"/>
      <c r="V542" s="15"/>
      <c r="W542" s="16"/>
      <c r="X542" s="12"/>
      <c r="Y542" s="17"/>
      <c r="Z542" s="18">
        <f t="shared" si="44"/>
        <v>-742500</v>
      </c>
      <c r="AA542" s="17"/>
      <c r="AB542" s="17"/>
      <c r="AC542" s="17"/>
      <c r="AD542" s="17"/>
      <c r="AE542" s="17"/>
    </row>
    <row r="543" spans="1:31" s="21" customFormat="1" ht="16" customHeight="1" x14ac:dyDescent="0.45">
      <c r="A543" s="22">
        <v>2506</v>
      </c>
      <c r="B543" s="2">
        <v>45831</v>
      </c>
      <c r="C543" s="3"/>
      <c r="D543" s="4" t="s">
        <v>3</v>
      </c>
      <c r="E543" s="5" t="s">
        <v>211</v>
      </c>
      <c r="F543" s="5"/>
      <c r="G543" s="5" t="s">
        <v>1</v>
      </c>
      <c r="H543" s="19" t="s">
        <v>2</v>
      </c>
      <c r="I543" s="19" t="s">
        <v>74</v>
      </c>
      <c r="J543" s="19"/>
      <c r="K543" s="20"/>
      <c r="L543" s="6">
        <v>8</v>
      </c>
      <c r="M543" s="7">
        <v>84.5</v>
      </c>
      <c r="N543" s="8">
        <v>1341</v>
      </c>
      <c r="O543" s="9"/>
      <c r="P543" s="10"/>
      <c r="Q543" s="11"/>
      <c r="R543" s="12">
        <v>500</v>
      </c>
      <c r="S543" s="12">
        <f t="shared" si="47"/>
        <v>670500</v>
      </c>
      <c r="T543" s="13"/>
      <c r="U543" s="14"/>
      <c r="V543" s="15"/>
      <c r="W543" s="16"/>
      <c r="X543" s="12"/>
      <c r="Y543" s="17"/>
      <c r="Z543" s="18">
        <f t="shared" si="44"/>
        <v>-670500</v>
      </c>
      <c r="AA543" s="17"/>
      <c r="AB543" s="17"/>
      <c r="AC543" s="17"/>
      <c r="AD543" s="17"/>
      <c r="AE543" s="17"/>
    </row>
    <row r="544" spans="1:31" ht="16" customHeight="1" x14ac:dyDescent="0.45">
      <c r="A544" s="22">
        <v>2506</v>
      </c>
      <c r="B544" s="23">
        <v>45809</v>
      </c>
      <c r="C544" s="24"/>
      <c r="D544" s="25" t="s">
        <v>3</v>
      </c>
      <c r="E544" s="26" t="s">
        <v>1</v>
      </c>
      <c r="F544" s="26"/>
      <c r="G544" s="26" t="s">
        <v>1</v>
      </c>
      <c r="H544" s="27" t="s">
        <v>244</v>
      </c>
      <c r="I544" s="27" t="s">
        <v>246</v>
      </c>
      <c r="J544" s="27"/>
      <c r="K544" s="38"/>
      <c r="L544" s="29"/>
      <c r="M544" s="30"/>
      <c r="N544" s="31">
        <v>153</v>
      </c>
      <c r="O544" s="32"/>
      <c r="P544" s="91"/>
      <c r="Q544" s="92"/>
      <c r="R544" s="93">
        <v>0</v>
      </c>
      <c r="S544" s="93"/>
      <c r="T544" s="33"/>
      <c r="U544" s="34"/>
      <c r="V544" s="35" t="s">
        <v>162</v>
      </c>
      <c r="W544" s="36"/>
      <c r="X544" s="93"/>
      <c r="Y544" s="21"/>
      <c r="Z544" s="18">
        <f t="shared" si="44"/>
        <v>0</v>
      </c>
    </row>
    <row r="545" spans="1:31" ht="16" customHeight="1" x14ac:dyDescent="0.45">
      <c r="A545" s="22">
        <v>2506</v>
      </c>
      <c r="B545" s="23">
        <v>45809</v>
      </c>
      <c r="C545" s="24"/>
      <c r="D545" s="25" t="s">
        <v>3</v>
      </c>
      <c r="E545" s="26" t="s">
        <v>1</v>
      </c>
      <c r="F545" s="26"/>
      <c r="G545" s="26" t="s">
        <v>1</v>
      </c>
      <c r="H545" s="27" t="s">
        <v>244</v>
      </c>
      <c r="I545" s="27" t="s">
        <v>119</v>
      </c>
      <c r="J545" s="27"/>
      <c r="K545" s="38"/>
      <c r="L545" s="29"/>
      <c r="M545" s="30"/>
      <c r="N545" s="31">
        <v>57</v>
      </c>
      <c r="O545" s="32"/>
      <c r="P545" s="91"/>
      <c r="Q545" s="92"/>
      <c r="R545" s="93">
        <v>0</v>
      </c>
      <c r="S545" s="93"/>
      <c r="T545" s="33"/>
      <c r="U545" s="34"/>
      <c r="V545" s="35" t="s">
        <v>162</v>
      </c>
      <c r="W545" s="36"/>
      <c r="X545" s="93"/>
      <c r="Y545" s="21"/>
      <c r="Z545" s="18">
        <f t="shared" si="44"/>
        <v>0</v>
      </c>
    </row>
    <row r="546" spans="1:31" ht="16" customHeight="1" x14ac:dyDescent="0.45">
      <c r="A546" s="22">
        <v>2506</v>
      </c>
      <c r="B546" s="23">
        <v>45809</v>
      </c>
      <c r="C546" s="24"/>
      <c r="D546" s="25" t="s">
        <v>3</v>
      </c>
      <c r="E546" s="26" t="s">
        <v>1</v>
      </c>
      <c r="F546" s="26"/>
      <c r="G546" s="26" t="s">
        <v>1</v>
      </c>
      <c r="H546" s="27" t="s">
        <v>244</v>
      </c>
      <c r="I546" s="27" t="s">
        <v>53</v>
      </c>
      <c r="J546" s="27"/>
      <c r="K546" s="38"/>
      <c r="L546" s="29">
        <v>4</v>
      </c>
      <c r="M546" s="30">
        <v>34.9</v>
      </c>
      <c r="N546" s="31">
        <v>296</v>
      </c>
      <c r="O546" s="32">
        <v>270</v>
      </c>
      <c r="P546" s="91"/>
      <c r="Q546" s="92"/>
      <c r="R546" s="93" t="s">
        <v>384</v>
      </c>
      <c r="S546" s="93"/>
      <c r="T546" s="33"/>
      <c r="U546" s="34"/>
      <c r="V546" s="35">
        <v>4750</v>
      </c>
      <c r="W546" s="36">
        <f>O546*V546</f>
        <v>1282500</v>
      </c>
      <c r="X546" s="93"/>
      <c r="Y546" s="21"/>
      <c r="Z546" s="18">
        <f t="shared" si="44"/>
        <v>1282500</v>
      </c>
    </row>
    <row r="547" spans="1:31" ht="16" customHeight="1" x14ac:dyDescent="0.45">
      <c r="A547" s="22">
        <v>2506</v>
      </c>
      <c r="B547" s="23">
        <v>45812</v>
      </c>
      <c r="C547" s="24"/>
      <c r="D547" s="25" t="s">
        <v>109</v>
      </c>
      <c r="E547" s="26" t="s">
        <v>443</v>
      </c>
      <c r="F547" s="26"/>
      <c r="G547" s="26" t="s">
        <v>443</v>
      </c>
      <c r="H547" s="27" t="s">
        <v>224</v>
      </c>
      <c r="I547" s="27" t="s">
        <v>36</v>
      </c>
      <c r="J547" s="27"/>
      <c r="K547" s="28"/>
      <c r="L547" s="29"/>
      <c r="M547" s="30"/>
      <c r="N547" s="31">
        <v>30</v>
      </c>
      <c r="O547" s="32"/>
      <c r="P547" s="91"/>
      <c r="Q547" s="92"/>
      <c r="R547" s="93"/>
      <c r="S547" s="93"/>
      <c r="T547" s="33"/>
      <c r="U547" s="34"/>
      <c r="V547" s="35"/>
      <c r="W547" s="36"/>
      <c r="X547" s="93"/>
      <c r="Y547" s="21"/>
      <c r="Z547" s="18">
        <f t="shared" si="44"/>
        <v>0</v>
      </c>
    </row>
    <row r="548" spans="1:31" ht="16" customHeight="1" x14ac:dyDescent="0.45">
      <c r="A548" s="1">
        <v>2507</v>
      </c>
      <c r="B548" s="2">
        <v>45857</v>
      </c>
      <c r="D548" s="4" t="s">
        <v>308</v>
      </c>
      <c r="E548" s="5" t="s">
        <v>339</v>
      </c>
      <c r="G548" s="5" t="s">
        <v>28</v>
      </c>
      <c r="H548" s="19" t="s">
        <v>101</v>
      </c>
      <c r="M548" s="7">
        <v>20390.400000000001</v>
      </c>
      <c r="P548" s="10">
        <v>2587</v>
      </c>
      <c r="Q548" s="11">
        <f>M548*P548</f>
        <v>52749964.800000004</v>
      </c>
      <c r="Z548" s="18">
        <f t="shared" si="44"/>
        <v>-52749964.800000004</v>
      </c>
    </row>
    <row r="549" spans="1:31" s="21" customFormat="1" ht="16" customHeight="1" x14ac:dyDescent="0.45">
      <c r="A549" s="1">
        <v>2507</v>
      </c>
      <c r="B549" s="2">
        <v>45848</v>
      </c>
      <c r="C549" s="3"/>
      <c r="D549" s="4" t="s">
        <v>0</v>
      </c>
      <c r="E549" s="5" t="s">
        <v>3</v>
      </c>
      <c r="F549" s="5"/>
      <c r="G549" s="5" t="s">
        <v>1</v>
      </c>
      <c r="H549" s="19" t="s">
        <v>2</v>
      </c>
      <c r="I549" s="19"/>
      <c r="J549" s="19"/>
      <c r="K549" s="20"/>
      <c r="L549" s="6">
        <v>18</v>
      </c>
      <c r="M549" s="7">
        <v>315</v>
      </c>
      <c r="N549" s="8"/>
      <c r="O549" s="9"/>
      <c r="P549" s="10"/>
      <c r="Q549" s="11"/>
      <c r="R549" s="12">
        <v>3800</v>
      </c>
      <c r="S549" s="12">
        <f>M549*R549</f>
        <v>1197000</v>
      </c>
      <c r="T549" s="13"/>
      <c r="U549" s="14"/>
      <c r="V549" s="15"/>
      <c r="W549" s="16"/>
      <c r="X549" s="12"/>
      <c r="Y549" s="17"/>
      <c r="Z549" s="18">
        <f t="shared" si="44"/>
        <v>-1197000</v>
      </c>
      <c r="AA549" s="17"/>
      <c r="AB549" s="17"/>
      <c r="AC549" s="17"/>
      <c r="AD549" s="17"/>
      <c r="AE549" s="17"/>
    </row>
    <row r="550" spans="1:31" s="21" customFormat="1" ht="16" customHeight="1" x14ac:dyDescent="0.45">
      <c r="A550" s="1">
        <v>2507</v>
      </c>
      <c r="B550" s="2">
        <v>45863</v>
      </c>
      <c r="C550" s="3"/>
      <c r="D550" s="4" t="s">
        <v>0</v>
      </c>
      <c r="E550" s="5" t="s">
        <v>3</v>
      </c>
      <c r="F550" s="5"/>
      <c r="G550" s="5" t="s">
        <v>1</v>
      </c>
      <c r="H550" s="19" t="s">
        <v>2</v>
      </c>
      <c r="I550" s="19"/>
      <c r="J550" s="19"/>
      <c r="K550" s="20"/>
      <c r="L550" s="6">
        <v>24</v>
      </c>
      <c r="M550" s="7">
        <v>420</v>
      </c>
      <c r="N550" s="8"/>
      <c r="O550" s="9"/>
      <c r="P550" s="10"/>
      <c r="Q550" s="11"/>
      <c r="R550" s="12">
        <v>3800</v>
      </c>
      <c r="S550" s="12">
        <f>M550*R550</f>
        <v>1596000</v>
      </c>
      <c r="T550" s="13"/>
      <c r="U550" s="14"/>
      <c r="V550" s="15"/>
      <c r="W550" s="16"/>
      <c r="X550" s="12"/>
      <c r="Y550" s="17"/>
      <c r="Z550" s="18">
        <f t="shared" si="44"/>
        <v>-1596000</v>
      </c>
      <c r="AA550" s="17"/>
      <c r="AB550" s="17"/>
      <c r="AC550" s="17"/>
      <c r="AD550" s="17"/>
      <c r="AE550" s="17"/>
    </row>
    <row r="551" spans="1:31" s="21" customFormat="1" ht="16" customHeight="1" x14ac:dyDescent="0.45">
      <c r="A551" s="1">
        <v>2507</v>
      </c>
      <c r="B551" s="2">
        <v>45839</v>
      </c>
      <c r="C551" s="3"/>
      <c r="D551" s="4" t="s">
        <v>198</v>
      </c>
      <c r="E551" s="5" t="s">
        <v>27</v>
      </c>
      <c r="F551" s="5"/>
      <c r="G551" s="5" t="s">
        <v>28</v>
      </c>
      <c r="H551" s="19" t="s">
        <v>410</v>
      </c>
      <c r="I551" s="19">
        <v>3206</v>
      </c>
      <c r="J551" s="19"/>
      <c r="K551" s="20"/>
      <c r="L551" s="6">
        <v>2</v>
      </c>
      <c r="M551" s="7">
        <v>447.2</v>
      </c>
      <c r="N551" s="8"/>
      <c r="O551" s="9"/>
      <c r="P551" s="10"/>
      <c r="Q551" s="11"/>
      <c r="R551" s="12">
        <v>1200</v>
      </c>
      <c r="S551" s="12">
        <f>M551*R551</f>
        <v>536640</v>
      </c>
      <c r="T551" s="13"/>
      <c r="U551" s="14"/>
      <c r="V551" s="15"/>
      <c r="W551" s="16"/>
      <c r="X551" s="12"/>
      <c r="Y551" s="17"/>
      <c r="Z551" s="18">
        <f t="shared" si="44"/>
        <v>-536640</v>
      </c>
      <c r="AA551" s="17"/>
      <c r="AB551" s="17"/>
      <c r="AC551" s="17"/>
      <c r="AD551" s="17"/>
      <c r="AE551" s="17"/>
    </row>
    <row r="552" spans="1:31" ht="16" customHeight="1" x14ac:dyDescent="0.45">
      <c r="A552" s="1">
        <v>2507</v>
      </c>
      <c r="B552" s="2">
        <v>45856</v>
      </c>
      <c r="D552" s="4" t="s">
        <v>198</v>
      </c>
      <c r="E552" s="5" t="s">
        <v>27</v>
      </c>
      <c r="G552" s="5" t="s">
        <v>28</v>
      </c>
      <c r="H552" s="19" t="s">
        <v>410</v>
      </c>
      <c r="I552" s="19">
        <v>3206</v>
      </c>
      <c r="M552" s="7">
        <v>308.7</v>
      </c>
      <c r="R552" s="12">
        <v>1200</v>
      </c>
      <c r="S552" s="12">
        <f>M552*R552</f>
        <v>370440</v>
      </c>
      <c r="Z552" s="18">
        <f t="shared" si="44"/>
        <v>-370440</v>
      </c>
    </row>
    <row r="553" spans="1:31" ht="16" customHeight="1" x14ac:dyDescent="0.45">
      <c r="A553" s="1">
        <v>2507</v>
      </c>
      <c r="B553" s="2">
        <v>45868</v>
      </c>
      <c r="D553" s="4" t="s">
        <v>4</v>
      </c>
      <c r="E553" s="5" t="s">
        <v>5</v>
      </c>
      <c r="G553" s="5" t="s">
        <v>5</v>
      </c>
      <c r="H553" s="19" t="s">
        <v>444</v>
      </c>
      <c r="I553" s="19" t="s">
        <v>445</v>
      </c>
      <c r="O553" s="9">
        <v>574</v>
      </c>
      <c r="Z553" s="18">
        <f t="shared" si="44"/>
        <v>0</v>
      </c>
    </row>
    <row r="554" spans="1:31" s="21" customFormat="1" ht="16" customHeight="1" x14ac:dyDescent="0.45">
      <c r="A554" s="1">
        <v>2507</v>
      </c>
      <c r="B554" s="2">
        <v>45868</v>
      </c>
      <c r="C554" s="3"/>
      <c r="D554" s="4" t="s">
        <v>4</v>
      </c>
      <c r="E554" s="5" t="s">
        <v>5</v>
      </c>
      <c r="F554" s="5"/>
      <c r="G554" s="5" t="s">
        <v>5</v>
      </c>
      <c r="H554" s="19" t="s">
        <v>444</v>
      </c>
      <c r="I554" s="19" t="s">
        <v>446</v>
      </c>
      <c r="J554" s="19"/>
      <c r="K554" s="20"/>
      <c r="L554" s="6"/>
      <c r="M554" s="7"/>
      <c r="N554" s="8"/>
      <c r="O554" s="9">
        <v>398</v>
      </c>
      <c r="P554" s="10"/>
      <c r="Q554" s="11"/>
      <c r="R554" s="12"/>
      <c r="S554" s="12"/>
      <c r="T554" s="13"/>
      <c r="U554" s="14"/>
      <c r="V554" s="15"/>
      <c r="W554" s="16"/>
      <c r="X554" s="12"/>
      <c r="Y554" s="17"/>
      <c r="Z554" s="18">
        <f t="shared" si="44"/>
        <v>0</v>
      </c>
      <c r="AA554" s="17"/>
      <c r="AB554" s="17"/>
      <c r="AC554" s="17"/>
      <c r="AD554" s="17"/>
      <c r="AE554" s="17"/>
    </row>
    <row r="555" spans="1:31" s="21" customFormat="1" ht="16" customHeight="1" x14ac:dyDescent="0.45">
      <c r="A555" s="1">
        <v>2507</v>
      </c>
      <c r="B555" s="2">
        <v>45868</v>
      </c>
      <c r="C555" s="3"/>
      <c r="D555" s="4" t="s">
        <v>4</v>
      </c>
      <c r="E555" s="5" t="s">
        <v>5</v>
      </c>
      <c r="F555" s="5"/>
      <c r="G555" s="5" t="s">
        <v>5</v>
      </c>
      <c r="H555" s="19" t="s">
        <v>444</v>
      </c>
      <c r="I555" s="19" t="s">
        <v>447</v>
      </c>
      <c r="J555" s="19"/>
      <c r="K555" s="20"/>
      <c r="L555" s="6"/>
      <c r="M555" s="7"/>
      <c r="N555" s="8"/>
      <c r="O555" s="9">
        <v>410</v>
      </c>
      <c r="P555" s="10"/>
      <c r="Q555" s="11"/>
      <c r="R555" s="12"/>
      <c r="S555" s="12"/>
      <c r="T555" s="13"/>
      <c r="U555" s="14"/>
      <c r="V555" s="15"/>
      <c r="W555" s="16"/>
      <c r="X555" s="12"/>
      <c r="Y555" s="17"/>
      <c r="Z555" s="18">
        <f t="shared" si="44"/>
        <v>0</v>
      </c>
      <c r="AA555" s="17"/>
      <c r="AB555" s="17"/>
      <c r="AC555" s="17"/>
      <c r="AD555" s="17"/>
      <c r="AE555" s="17"/>
    </row>
    <row r="556" spans="1:31" s="21" customFormat="1" ht="16" customHeight="1" x14ac:dyDescent="0.45">
      <c r="A556" s="1">
        <v>2507</v>
      </c>
      <c r="B556" s="23">
        <v>45846</v>
      </c>
      <c r="C556" s="24"/>
      <c r="D556" s="25" t="s">
        <v>10</v>
      </c>
      <c r="E556" s="26" t="s">
        <v>19</v>
      </c>
      <c r="F556" s="26"/>
      <c r="G556" s="26" t="s">
        <v>19</v>
      </c>
      <c r="H556" s="27" t="s">
        <v>20</v>
      </c>
      <c r="I556" s="27" t="s">
        <v>65</v>
      </c>
      <c r="J556" s="27"/>
      <c r="K556" s="28"/>
      <c r="L556" s="29">
        <v>6</v>
      </c>
      <c r="M556" s="30"/>
      <c r="N556" s="31"/>
      <c r="O556" s="32">
        <v>4407</v>
      </c>
      <c r="P556" s="91"/>
      <c r="Q556" s="92"/>
      <c r="R556" s="93">
        <v>1850</v>
      </c>
      <c r="S556" s="93">
        <f>O556*R556</f>
        <v>8152950</v>
      </c>
      <c r="T556" s="33"/>
      <c r="U556" s="34"/>
      <c r="V556" s="35">
        <v>3595</v>
      </c>
      <c r="W556" s="36">
        <f>O556*V556</f>
        <v>15843165</v>
      </c>
      <c r="X556" s="93"/>
      <c r="Z556" s="18">
        <f t="shared" si="44"/>
        <v>7690215</v>
      </c>
      <c r="AA556" s="17"/>
      <c r="AB556" s="17"/>
      <c r="AC556" s="17"/>
      <c r="AD556" s="17"/>
      <c r="AE556" s="17"/>
    </row>
    <row r="557" spans="1:31" s="21" customFormat="1" ht="16" customHeight="1" x14ac:dyDescent="0.45">
      <c r="A557" s="1">
        <v>2507</v>
      </c>
      <c r="B557" s="23">
        <v>45846</v>
      </c>
      <c r="C557" s="24"/>
      <c r="D557" s="25" t="s">
        <v>10</v>
      </c>
      <c r="E557" s="26" t="s">
        <v>19</v>
      </c>
      <c r="F557" s="26"/>
      <c r="G557" s="26" t="s">
        <v>19</v>
      </c>
      <c r="H557" s="27" t="s">
        <v>20</v>
      </c>
      <c r="I557" s="27" t="s">
        <v>18</v>
      </c>
      <c r="J557" s="27"/>
      <c r="K557" s="28"/>
      <c r="L557" s="29">
        <v>3</v>
      </c>
      <c r="M557" s="30"/>
      <c r="N557" s="31"/>
      <c r="O557" s="32">
        <v>2121</v>
      </c>
      <c r="P557" s="91"/>
      <c r="Q557" s="92"/>
      <c r="R557" s="93">
        <v>1850</v>
      </c>
      <c r="S557" s="93">
        <f>O557*R557</f>
        <v>3923850</v>
      </c>
      <c r="T557" s="33"/>
      <c r="U557" s="34"/>
      <c r="V557" s="35">
        <v>3595</v>
      </c>
      <c r="W557" s="36">
        <f>O557*V557</f>
        <v>7624995</v>
      </c>
      <c r="X557" s="93"/>
      <c r="Z557" s="18">
        <f t="shared" si="44"/>
        <v>3701145</v>
      </c>
      <c r="AA557" s="17"/>
      <c r="AB557" s="17"/>
      <c r="AC557" s="17"/>
      <c r="AD557" s="17"/>
      <c r="AE557" s="17"/>
    </row>
    <row r="558" spans="1:31" s="21" customFormat="1" ht="16" customHeight="1" x14ac:dyDescent="0.45">
      <c r="A558" s="1">
        <v>2507</v>
      </c>
      <c r="B558" s="23">
        <v>45859</v>
      </c>
      <c r="C558" s="24"/>
      <c r="D558" s="25" t="s">
        <v>10</v>
      </c>
      <c r="E558" s="26" t="s">
        <v>19</v>
      </c>
      <c r="F558" s="26"/>
      <c r="G558" s="26" t="s">
        <v>19</v>
      </c>
      <c r="H558" s="27" t="s">
        <v>79</v>
      </c>
      <c r="I558" s="27" t="s">
        <v>448</v>
      </c>
      <c r="J558" s="27"/>
      <c r="K558" s="28"/>
      <c r="L558" s="29"/>
      <c r="M558" s="30"/>
      <c r="N558" s="31"/>
      <c r="O558" s="32">
        <v>140</v>
      </c>
      <c r="P558" s="91"/>
      <c r="Q558" s="92"/>
      <c r="R558" s="93">
        <v>1850</v>
      </c>
      <c r="S558" s="93">
        <f>O558*R558</f>
        <v>259000</v>
      </c>
      <c r="T558" s="33"/>
      <c r="U558" s="34"/>
      <c r="V558" s="35">
        <v>2250</v>
      </c>
      <c r="W558" s="36">
        <f>O558*V558</f>
        <v>315000</v>
      </c>
      <c r="X558" s="93"/>
      <c r="Z558" s="18">
        <f t="shared" si="44"/>
        <v>56000</v>
      </c>
      <c r="AA558" s="17"/>
      <c r="AB558" s="17"/>
      <c r="AC558" s="17"/>
      <c r="AD558" s="17"/>
      <c r="AE558" s="17"/>
    </row>
    <row r="559" spans="1:31" s="21" customFormat="1" ht="16" customHeight="1" x14ac:dyDescent="0.45">
      <c r="A559" s="1">
        <v>2507</v>
      </c>
      <c r="B559" s="23">
        <v>45860</v>
      </c>
      <c r="C559" s="24"/>
      <c r="D559" s="25" t="s">
        <v>66</v>
      </c>
      <c r="E559" s="26" t="s">
        <v>211</v>
      </c>
      <c r="F559" s="26"/>
      <c r="G559" s="26" t="s">
        <v>211</v>
      </c>
      <c r="H559" s="27" t="s">
        <v>172</v>
      </c>
      <c r="I559" s="27" t="s">
        <v>132</v>
      </c>
      <c r="J559" s="27"/>
      <c r="K559" s="28"/>
      <c r="L559" s="29">
        <v>2</v>
      </c>
      <c r="M559" s="30"/>
      <c r="N559" s="31">
        <v>800</v>
      </c>
      <c r="O559" s="32"/>
      <c r="P559" s="91"/>
      <c r="Q559" s="92"/>
      <c r="R559" s="93">
        <v>870</v>
      </c>
      <c r="S559" s="93">
        <f t="shared" ref="S559:S564" si="48">N559*R559</f>
        <v>696000</v>
      </c>
      <c r="T559" s="33"/>
      <c r="U559" s="34"/>
      <c r="V559" s="35">
        <v>1400</v>
      </c>
      <c r="W559" s="36">
        <f>N559*V559</f>
        <v>1120000</v>
      </c>
      <c r="X559" s="93"/>
      <c r="Z559" s="18">
        <f t="shared" si="44"/>
        <v>424000</v>
      </c>
      <c r="AA559" s="17"/>
      <c r="AB559" s="17"/>
      <c r="AC559" s="17"/>
      <c r="AD559" s="17"/>
      <c r="AE559" s="17"/>
    </row>
    <row r="560" spans="1:31" s="21" customFormat="1" ht="16" customHeight="1" x14ac:dyDescent="0.45">
      <c r="A560" s="1">
        <v>2507</v>
      </c>
      <c r="B560" s="23">
        <v>45847</v>
      </c>
      <c r="C560" s="24"/>
      <c r="D560" s="25" t="s">
        <v>66</v>
      </c>
      <c r="E560" s="26" t="s">
        <v>219</v>
      </c>
      <c r="F560" s="26"/>
      <c r="G560" s="26" t="s">
        <v>219</v>
      </c>
      <c r="H560" s="27" t="s">
        <v>172</v>
      </c>
      <c r="I560" s="27" t="s">
        <v>449</v>
      </c>
      <c r="J560" s="27"/>
      <c r="K560" s="28"/>
      <c r="L560" s="29">
        <v>6</v>
      </c>
      <c r="M560" s="30"/>
      <c r="N560" s="31">
        <v>1710</v>
      </c>
      <c r="O560" s="32"/>
      <c r="P560" s="91"/>
      <c r="Q560" s="92"/>
      <c r="R560" s="93">
        <v>800</v>
      </c>
      <c r="S560" s="93">
        <f t="shared" si="48"/>
        <v>1368000</v>
      </c>
      <c r="T560" s="33"/>
      <c r="U560" s="34"/>
      <c r="V560" s="35">
        <v>1200</v>
      </c>
      <c r="W560" s="36">
        <f>N560*V560</f>
        <v>2052000</v>
      </c>
      <c r="X560" s="93"/>
      <c r="Z560" s="18">
        <f t="shared" si="44"/>
        <v>684000</v>
      </c>
      <c r="AA560" s="17"/>
      <c r="AB560" s="17"/>
      <c r="AC560" s="17"/>
      <c r="AD560" s="17"/>
      <c r="AE560" s="17"/>
    </row>
    <row r="561" spans="1:31" ht="16" customHeight="1" x14ac:dyDescent="0.45">
      <c r="A561" s="1">
        <v>2507</v>
      </c>
      <c r="B561" s="23">
        <v>45861</v>
      </c>
      <c r="C561" s="24"/>
      <c r="D561" s="25" t="s">
        <v>66</v>
      </c>
      <c r="E561" s="26" t="s">
        <v>117</v>
      </c>
      <c r="F561" s="26"/>
      <c r="G561" s="26" t="s">
        <v>117</v>
      </c>
      <c r="H561" s="27" t="s">
        <v>225</v>
      </c>
      <c r="I561" s="27" t="s">
        <v>151</v>
      </c>
      <c r="J561" s="27"/>
      <c r="K561" s="28"/>
      <c r="L561" s="29">
        <v>24</v>
      </c>
      <c r="M561" s="30"/>
      <c r="N561" s="31">
        <v>6965</v>
      </c>
      <c r="O561" s="32"/>
      <c r="P561" s="91"/>
      <c r="Q561" s="92"/>
      <c r="R561" s="93">
        <v>920</v>
      </c>
      <c r="S561" s="93">
        <f t="shared" si="48"/>
        <v>6407800</v>
      </c>
      <c r="T561" s="33"/>
      <c r="U561" s="34"/>
      <c r="V561" s="35">
        <v>1400</v>
      </c>
      <c r="W561" s="36">
        <f>N561*V561</f>
        <v>9751000</v>
      </c>
      <c r="X561" s="93"/>
      <c r="Y561" s="21"/>
      <c r="Z561" s="18">
        <f t="shared" si="44"/>
        <v>3343200</v>
      </c>
    </row>
    <row r="562" spans="1:31" ht="16" customHeight="1" x14ac:dyDescent="0.45">
      <c r="A562" s="1">
        <v>2507</v>
      </c>
      <c r="B562" s="23">
        <v>45869</v>
      </c>
      <c r="C562" s="24"/>
      <c r="D562" s="25" t="s">
        <v>66</v>
      </c>
      <c r="E562" s="26" t="s">
        <v>220</v>
      </c>
      <c r="F562" s="26"/>
      <c r="G562" s="26" t="s">
        <v>220</v>
      </c>
      <c r="H562" s="27" t="s">
        <v>172</v>
      </c>
      <c r="I562" s="27" t="s">
        <v>53</v>
      </c>
      <c r="J562" s="27"/>
      <c r="K562" s="28"/>
      <c r="L562" s="29"/>
      <c r="M562" s="30"/>
      <c r="N562" s="31">
        <v>1335</v>
      </c>
      <c r="O562" s="32"/>
      <c r="P562" s="91"/>
      <c r="Q562" s="92"/>
      <c r="R562" s="93">
        <v>800</v>
      </c>
      <c r="S562" s="93">
        <f t="shared" si="48"/>
        <v>1068000</v>
      </c>
      <c r="T562" s="33"/>
      <c r="U562" s="34"/>
      <c r="V562" s="35">
        <v>1200</v>
      </c>
      <c r="W562" s="36">
        <f>N562*V562</f>
        <v>1602000</v>
      </c>
      <c r="X562" s="93"/>
      <c r="Y562" s="21"/>
      <c r="Z562" s="18">
        <f t="shared" si="44"/>
        <v>534000</v>
      </c>
    </row>
    <row r="563" spans="1:31" ht="16" customHeight="1" x14ac:dyDescent="0.45">
      <c r="A563" s="1">
        <v>2507</v>
      </c>
      <c r="B563" s="23">
        <v>45868</v>
      </c>
      <c r="C563" s="24"/>
      <c r="D563" s="25" t="s">
        <v>66</v>
      </c>
      <c r="E563" s="26" t="s">
        <v>183</v>
      </c>
      <c r="F563" s="26"/>
      <c r="G563" s="26" t="s">
        <v>183</v>
      </c>
      <c r="H563" s="27" t="s">
        <v>172</v>
      </c>
      <c r="I563" s="27" t="s">
        <v>450</v>
      </c>
      <c r="J563" s="27"/>
      <c r="K563" s="28"/>
      <c r="L563" s="29"/>
      <c r="M563" s="30"/>
      <c r="N563" s="31">
        <v>843</v>
      </c>
      <c r="O563" s="32"/>
      <c r="P563" s="91"/>
      <c r="Q563" s="92"/>
      <c r="R563" s="93">
        <v>870</v>
      </c>
      <c r="S563" s="93">
        <f t="shared" si="48"/>
        <v>733410</v>
      </c>
      <c r="T563" s="33"/>
      <c r="U563" s="34"/>
      <c r="V563" s="35">
        <v>1200</v>
      </c>
      <c r="W563" s="36">
        <f>N563*V563</f>
        <v>1011600</v>
      </c>
      <c r="X563" s="93"/>
      <c r="Y563" s="21"/>
      <c r="Z563" s="18">
        <f t="shared" si="44"/>
        <v>278190</v>
      </c>
    </row>
    <row r="564" spans="1:31" s="21" customFormat="1" ht="16" customHeight="1" x14ac:dyDescent="0.45">
      <c r="A564" s="1">
        <v>2507</v>
      </c>
      <c r="B564" s="23">
        <v>45846</v>
      </c>
      <c r="C564" s="24"/>
      <c r="D564" s="25" t="s">
        <v>66</v>
      </c>
      <c r="E564" s="26" t="s">
        <v>28</v>
      </c>
      <c r="F564" s="26"/>
      <c r="G564" s="26" t="s">
        <v>316</v>
      </c>
      <c r="H564" s="27" t="s">
        <v>172</v>
      </c>
      <c r="I564" s="27" t="s">
        <v>47</v>
      </c>
      <c r="J564" s="27"/>
      <c r="K564" s="28"/>
      <c r="L564" s="29">
        <v>4</v>
      </c>
      <c r="M564" s="30"/>
      <c r="N564" s="31">
        <v>1648</v>
      </c>
      <c r="O564" s="32">
        <v>1506</v>
      </c>
      <c r="P564" s="91"/>
      <c r="Q564" s="92"/>
      <c r="R564" s="93">
        <v>800</v>
      </c>
      <c r="S564" s="93">
        <f t="shared" si="48"/>
        <v>1318400</v>
      </c>
      <c r="T564" s="33"/>
      <c r="U564" s="34"/>
      <c r="V564" s="35">
        <v>1312</v>
      </c>
      <c r="W564" s="36">
        <f>O564*V564</f>
        <v>1975872</v>
      </c>
      <c r="X564" s="93"/>
      <c r="Z564" s="18">
        <f t="shared" si="44"/>
        <v>657472</v>
      </c>
      <c r="AA564" s="17"/>
      <c r="AB564" s="17"/>
      <c r="AC564" s="17"/>
      <c r="AD564" s="17"/>
      <c r="AE564" s="17"/>
    </row>
    <row r="565" spans="1:31" s="21" customFormat="1" ht="16" customHeight="1" x14ac:dyDescent="0.45">
      <c r="A565" s="1">
        <v>2507</v>
      </c>
      <c r="B565" s="23">
        <v>45860</v>
      </c>
      <c r="C565" s="24"/>
      <c r="D565" s="25" t="s">
        <v>66</v>
      </c>
      <c r="E565" s="26" t="s">
        <v>109</v>
      </c>
      <c r="F565" s="26"/>
      <c r="G565" s="26" t="s">
        <v>109</v>
      </c>
      <c r="H565" s="27" t="s">
        <v>172</v>
      </c>
      <c r="I565" s="27" t="s">
        <v>132</v>
      </c>
      <c r="J565" s="27"/>
      <c r="K565" s="28"/>
      <c r="L565" s="29">
        <v>1</v>
      </c>
      <c r="M565" s="30"/>
      <c r="N565" s="31">
        <v>95</v>
      </c>
      <c r="O565" s="32"/>
      <c r="P565" s="91"/>
      <c r="Q565" s="92"/>
      <c r="R565" s="93" t="s">
        <v>390</v>
      </c>
      <c r="S565" s="93"/>
      <c r="T565" s="33"/>
      <c r="U565" s="34"/>
      <c r="V565" s="35">
        <v>0</v>
      </c>
      <c r="W565" s="36"/>
      <c r="X565" s="93"/>
      <c r="Z565" s="18">
        <f t="shared" si="44"/>
        <v>0</v>
      </c>
      <c r="AA565" s="17"/>
      <c r="AB565" s="17"/>
      <c r="AC565" s="17"/>
      <c r="AD565" s="17"/>
      <c r="AE565" s="17"/>
    </row>
    <row r="566" spans="1:31" s="21" customFormat="1" ht="16" customHeight="1" x14ac:dyDescent="0.45">
      <c r="A566" s="1">
        <v>2507</v>
      </c>
      <c r="B566" s="2">
        <v>45868</v>
      </c>
      <c r="C566" s="3"/>
      <c r="D566" s="4" t="s">
        <v>66</v>
      </c>
      <c r="E566" s="5" t="s">
        <v>109</v>
      </c>
      <c r="F566" s="5"/>
      <c r="G566" s="5" t="s">
        <v>109</v>
      </c>
      <c r="H566" s="19" t="s">
        <v>172</v>
      </c>
      <c r="I566" s="19" t="s">
        <v>53</v>
      </c>
      <c r="J566" s="19"/>
      <c r="K566" s="20"/>
      <c r="L566" s="6"/>
      <c r="M566" s="7"/>
      <c r="N566" s="8">
        <v>400</v>
      </c>
      <c r="O566" s="9"/>
      <c r="P566" s="10"/>
      <c r="Q566" s="11"/>
      <c r="R566" s="12">
        <v>800</v>
      </c>
      <c r="S566" s="12"/>
      <c r="T566" s="13"/>
      <c r="U566" s="14"/>
      <c r="V566" s="15"/>
      <c r="W566" s="16"/>
      <c r="X566" s="12"/>
      <c r="Y566" s="17"/>
      <c r="Z566" s="18">
        <f t="shared" si="44"/>
        <v>0</v>
      </c>
      <c r="AA566" s="17"/>
      <c r="AB566" s="17"/>
      <c r="AC566" s="17"/>
      <c r="AD566" s="17"/>
      <c r="AE566" s="17"/>
    </row>
    <row r="567" spans="1:31" ht="16" customHeight="1" x14ac:dyDescent="0.45">
      <c r="A567" s="1">
        <v>2507</v>
      </c>
      <c r="B567" s="2">
        <v>45845</v>
      </c>
      <c r="D567" s="4" t="s">
        <v>80</v>
      </c>
      <c r="E567" s="5" t="s">
        <v>30</v>
      </c>
      <c r="G567" s="5" t="s">
        <v>31</v>
      </c>
      <c r="H567" s="19" t="s">
        <v>100</v>
      </c>
      <c r="M567" s="7">
        <v>1548</v>
      </c>
      <c r="P567" s="141">
        <v>2535</v>
      </c>
      <c r="Q567" s="95">
        <f>M567*P567</f>
        <v>3924180</v>
      </c>
      <c r="Z567" s="18">
        <f t="shared" si="44"/>
        <v>-3924180</v>
      </c>
    </row>
    <row r="568" spans="1:31" ht="16" customHeight="1" x14ac:dyDescent="0.45">
      <c r="A568" s="1">
        <v>2507</v>
      </c>
      <c r="B568" s="2">
        <v>45845</v>
      </c>
      <c r="D568" s="4" t="s">
        <v>80</v>
      </c>
      <c r="E568" s="5" t="s">
        <v>30</v>
      </c>
      <c r="G568" s="5" t="s">
        <v>31</v>
      </c>
      <c r="H568" s="19" t="s">
        <v>143</v>
      </c>
      <c r="M568" s="7">
        <v>500</v>
      </c>
      <c r="P568" s="141">
        <v>2491</v>
      </c>
      <c r="Q568" s="95">
        <f>M568*P568</f>
        <v>1245500</v>
      </c>
      <c r="Z568" s="18">
        <f t="shared" si="44"/>
        <v>-1245500</v>
      </c>
    </row>
    <row r="569" spans="1:31" s="21" customFormat="1" ht="16" customHeight="1" x14ac:dyDescent="0.45">
      <c r="A569" s="1">
        <v>2507</v>
      </c>
      <c r="B569" s="23">
        <v>45855</v>
      </c>
      <c r="C569" s="24"/>
      <c r="D569" s="25" t="s">
        <v>222</v>
      </c>
      <c r="E569" s="26" t="s">
        <v>61</v>
      </c>
      <c r="F569" s="26"/>
      <c r="G569" s="26" t="s">
        <v>61</v>
      </c>
      <c r="H569" s="27" t="s">
        <v>161</v>
      </c>
      <c r="I569" s="27" t="s">
        <v>34</v>
      </c>
      <c r="J569" s="27" t="s">
        <v>451</v>
      </c>
      <c r="K569" s="28"/>
      <c r="L569" s="29"/>
      <c r="M569" s="30"/>
      <c r="N569" s="31">
        <v>25000</v>
      </c>
      <c r="O569" s="32"/>
      <c r="P569" s="91"/>
      <c r="Q569" s="92"/>
      <c r="R569" s="93">
        <v>680</v>
      </c>
      <c r="S569" s="93">
        <f>N569*R569</f>
        <v>17000000</v>
      </c>
      <c r="T569" s="33"/>
      <c r="U569" s="34"/>
      <c r="V569" s="35">
        <v>750</v>
      </c>
      <c r="W569" s="36">
        <f>N569*V569</f>
        <v>18750000</v>
      </c>
      <c r="X569" s="93"/>
      <c r="Z569" s="18">
        <f t="shared" si="44"/>
        <v>1750000</v>
      </c>
      <c r="AA569" s="17"/>
      <c r="AB569" s="17"/>
      <c r="AC569" s="17"/>
      <c r="AD569" s="17"/>
      <c r="AE569" s="17"/>
    </row>
    <row r="570" spans="1:31" ht="16" customHeight="1" x14ac:dyDescent="0.45">
      <c r="A570" s="1">
        <v>2507</v>
      </c>
      <c r="B570" s="2">
        <v>45859</v>
      </c>
      <c r="C570" s="24"/>
      <c r="D570" s="4" t="s">
        <v>222</v>
      </c>
      <c r="E570" s="5" t="s">
        <v>31</v>
      </c>
      <c r="G570" s="5" t="s">
        <v>31</v>
      </c>
      <c r="H570" s="19" t="s">
        <v>452</v>
      </c>
      <c r="N570" s="8">
        <v>125</v>
      </c>
      <c r="O570" s="9">
        <v>114</v>
      </c>
      <c r="P570" s="141"/>
      <c r="Q570" s="95"/>
      <c r="T570" s="33"/>
      <c r="U570" s="34"/>
      <c r="V570" s="15">
        <v>2450</v>
      </c>
      <c r="W570" s="16">
        <f>O570*V570</f>
        <v>279300</v>
      </c>
      <c r="Z570" s="18">
        <f t="shared" si="44"/>
        <v>279300</v>
      </c>
    </row>
    <row r="571" spans="1:31" s="21" customFormat="1" ht="16" customHeight="1" x14ac:dyDescent="0.45">
      <c r="A571" s="1">
        <v>2507</v>
      </c>
      <c r="B571" s="23">
        <v>45849</v>
      </c>
      <c r="C571" s="24"/>
      <c r="D571" s="25" t="s">
        <v>211</v>
      </c>
      <c r="E571" s="26" t="s">
        <v>1</v>
      </c>
      <c r="F571" s="26"/>
      <c r="G571" s="26" t="s">
        <v>1</v>
      </c>
      <c r="H571" s="27" t="s">
        <v>383</v>
      </c>
      <c r="I571" s="27" t="s">
        <v>18</v>
      </c>
      <c r="J571" s="27"/>
      <c r="K571" s="28"/>
      <c r="L571" s="29">
        <v>7</v>
      </c>
      <c r="M571" s="30"/>
      <c r="N571" s="31"/>
      <c r="O571" s="32">
        <v>2750</v>
      </c>
      <c r="P571" s="91"/>
      <c r="Q571" s="92"/>
      <c r="R571" s="93">
        <v>2350</v>
      </c>
      <c r="S571" s="93">
        <f>O571*R571</f>
        <v>6462500</v>
      </c>
      <c r="T571" s="33"/>
      <c r="U571" s="34"/>
      <c r="V571" s="35">
        <v>4700</v>
      </c>
      <c r="W571" s="36">
        <f>O571*V571</f>
        <v>12925000</v>
      </c>
      <c r="X571" s="93"/>
      <c r="Z571" s="18">
        <f t="shared" si="44"/>
        <v>6462500</v>
      </c>
      <c r="AA571" s="17"/>
      <c r="AB571" s="17"/>
      <c r="AC571" s="17"/>
      <c r="AD571" s="17"/>
      <c r="AE571" s="17"/>
    </row>
    <row r="572" spans="1:31" ht="16" customHeight="1" x14ac:dyDescent="0.45">
      <c r="A572" s="1">
        <v>2507</v>
      </c>
      <c r="B572" s="23">
        <v>45867</v>
      </c>
      <c r="C572" s="24"/>
      <c r="D572" s="25" t="s">
        <v>211</v>
      </c>
      <c r="E572" s="26" t="s">
        <v>1</v>
      </c>
      <c r="F572" s="26"/>
      <c r="G572" s="26" t="s">
        <v>1</v>
      </c>
      <c r="H572" s="27" t="s">
        <v>453</v>
      </c>
      <c r="I572" s="27" t="s">
        <v>14</v>
      </c>
      <c r="J572" s="27"/>
      <c r="K572" s="28"/>
      <c r="L572" s="29"/>
      <c r="M572" s="30"/>
      <c r="N572" s="31"/>
      <c r="O572" s="32">
        <v>2488</v>
      </c>
      <c r="P572" s="91"/>
      <c r="Q572" s="92"/>
      <c r="R572" s="93">
        <v>2350</v>
      </c>
      <c r="S572" s="93">
        <f>O572*R572</f>
        <v>5846800</v>
      </c>
      <c r="T572" s="33"/>
      <c r="U572" s="34"/>
      <c r="V572" s="35">
        <v>4700</v>
      </c>
      <c r="W572" s="36">
        <f>O572*V572</f>
        <v>11693600</v>
      </c>
      <c r="X572" s="93"/>
      <c r="Y572" s="21"/>
      <c r="Z572" s="18">
        <f t="shared" si="44"/>
        <v>5846800</v>
      </c>
    </row>
    <row r="573" spans="1:31" ht="16" customHeight="1" x14ac:dyDescent="0.45">
      <c r="A573" s="1">
        <v>2507</v>
      </c>
      <c r="B573" s="2">
        <v>45859</v>
      </c>
      <c r="D573" s="4" t="s">
        <v>339</v>
      </c>
      <c r="E573" s="5" t="s">
        <v>93</v>
      </c>
      <c r="G573" s="5" t="s">
        <v>28</v>
      </c>
      <c r="H573" s="19" t="s">
        <v>101</v>
      </c>
      <c r="M573" s="7">
        <v>5407.5</v>
      </c>
      <c r="P573" s="10" t="s">
        <v>454</v>
      </c>
      <c r="Z573" s="18">
        <f t="shared" si="44"/>
        <v>0</v>
      </c>
    </row>
    <row r="574" spans="1:31" ht="16" customHeight="1" x14ac:dyDescent="0.45">
      <c r="A574" s="1">
        <v>2507</v>
      </c>
      <c r="B574" s="2">
        <v>45831</v>
      </c>
      <c r="C574" s="24"/>
      <c r="D574" s="4" t="s">
        <v>30</v>
      </c>
      <c r="E574" s="5" t="s">
        <v>31</v>
      </c>
      <c r="G574" s="5" t="s">
        <v>31</v>
      </c>
      <c r="H574" s="19" t="s">
        <v>113</v>
      </c>
      <c r="I574" s="19" t="s">
        <v>435</v>
      </c>
      <c r="O574" s="9">
        <v>4040</v>
      </c>
      <c r="P574" s="141"/>
      <c r="Q574" s="95"/>
      <c r="R574" s="12" t="s">
        <v>455</v>
      </c>
      <c r="T574" s="33"/>
      <c r="U574" s="34"/>
      <c r="V574" s="15">
        <v>1380</v>
      </c>
      <c r="W574" s="16">
        <f>O574*V574</f>
        <v>5575200</v>
      </c>
      <c r="Z574" s="18">
        <f t="shared" si="44"/>
        <v>5575200</v>
      </c>
    </row>
    <row r="575" spans="1:31" ht="16" customHeight="1" x14ac:dyDescent="0.45">
      <c r="A575" s="1">
        <v>2507</v>
      </c>
      <c r="B575" s="2">
        <v>45831</v>
      </c>
      <c r="C575" s="24"/>
      <c r="D575" s="4" t="s">
        <v>30</v>
      </c>
      <c r="E575" s="5" t="s">
        <v>31</v>
      </c>
      <c r="G575" s="5" t="s">
        <v>31</v>
      </c>
      <c r="H575" s="19" t="s">
        <v>96</v>
      </c>
      <c r="I575" s="19" t="s">
        <v>436</v>
      </c>
      <c r="O575" s="9">
        <v>1500</v>
      </c>
      <c r="P575" s="141"/>
      <c r="Q575" s="95"/>
      <c r="R575" s="12" t="s">
        <v>455</v>
      </c>
      <c r="T575" s="33"/>
      <c r="U575" s="34"/>
      <c r="V575" s="15">
        <v>2200</v>
      </c>
      <c r="W575" s="16">
        <f>O575*V575</f>
        <v>3300000</v>
      </c>
      <c r="Z575" s="18">
        <f t="shared" si="44"/>
        <v>3300000</v>
      </c>
    </row>
    <row r="576" spans="1:31" ht="16" customHeight="1" x14ac:dyDescent="0.45">
      <c r="A576" s="1">
        <v>2507</v>
      </c>
      <c r="B576" s="2">
        <v>45831</v>
      </c>
      <c r="C576" s="24"/>
      <c r="D576" s="4" t="s">
        <v>30</v>
      </c>
      <c r="E576" s="5" t="s">
        <v>31</v>
      </c>
      <c r="G576" s="5" t="s">
        <v>31</v>
      </c>
      <c r="H576" s="19" t="s">
        <v>103</v>
      </c>
      <c r="I576" s="19" t="s">
        <v>435</v>
      </c>
      <c r="O576" s="9">
        <v>1500</v>
      </c>
      <c r="P576" s="141"/>
      <c r="Q576" s="95"/>
      <c r="R576" s="12" t="s">
        <v>455</v>
      </c>
      <c r="T576" s="33"/>
      <c r="U576" s="34"/>
      <c r="V576" s="15">
        <v>2900</v>
      </c>
      <c r="W576" s="16">
        <f>O576*V576</f>
        <v>4350000</v>
      </c>
      <c r="Z576" s="18">
        <f t="shared" si="44"/>
        <v>4350000</v>
      </c>
    </row>
    <row r="577" spans="1:31" ht="16" customHeight="1" x14ac:dyDescent="0.45">
      <c r="A577" s="1">
        <v>2507</v>
      </c>
      <c r="B577" s="2">
        <v>45831</v>
      </c>
      <c r="C577" s="24"/>
      <c r="D577" s="4" t="s">
        <v>30</v>
      </c>
      <c r="E577" s="5" t="s">
        <v>31</v>
      </c>
      <c r="G577" s="5" t="s">
        <v>31</v>
      </c>
      <c r="H577" s="19" t="s">
        <v>133</v>
      </c>
      <c r="I577" s="19" t="s">
        <v>436</v>
      </c>
      <c r="O577" s="9">
        <v>3500</v>
      </c>
      <c r="P577" s="141"/>
      <c r="Q577" s="95"/>
      <c r="R577" s="12" t="s">
        <v>455</v>
      </c>
      <c r="T577" s="33"/>
      <c r="U577" s="34"/>
      <c r="V577" s="15">
        <v>2450</v>
      </c>
      <c r="W577" s="16">
        <f>O577*V577</f>
        <v>8575000</v>
      </c>
      <c r="Z577" s="18">
        <f t="shared" si="44"/>
        <v>8575000</v>
      </c>
    </row>
    <row r="578" spans="1:31" ht="16" customHeight="1" x14ac:dyDescent="0.45">
      <c r="A578" s="1">
        <v>2507</v>
      </c>
      <c r="B578" s="2">
        <v>45854</v>
      </c>
      <c r="D578" s="4" t="s">
        <v>27</v>
      </c>
      <c r="E578" s="5" t="s">
        <v>37</v>
      </c>
      <c r="G578" s="5" t="s">
        <v>28</v>
      </c>
      <c r="H578" s="19" t="s">
        <v>33</v>
      </c>
      <c r="L578" s="6">
        <v>189</v>
      </c>
      <c r="M578" s="7">
        <v>3307.5</v>
      </c>
      <c r="R578" s="12">
        <v>2100</v>
      </c>
      <c r="S578" s="12">
        <f>M578*R578</f>
        <v>6945750</v>
      </c>
      <c r="Z578" s="18">
        <f t="shared" ref="Z578:Z641" si="49">W578-S578-Q578</f>
        <v>-6945750</v>
      </c>
    </row>
    <row r="579" spans="1:31" ht="16" customHeight="1" x14ac:dyDescent="0.45">
      <c r="A579" s="1">
        <v>2507</v>
      </c>
      <c r="B579" s="2">
        <v>45861</v>
      </c>
      <c r="D579" s="4" t="s">
        <v>27</v>
      </c>
      <c r="E579" s="5" t="s">
        <v>37</v>
      </c>
      <c r="G579" s="5" t="s">
        <v>28</v>
      </c>
      <c r="H579" s="19" t="s">
        <v>33</v>
      </c>
      <c r="L579" s="6">
        <v>21</v>
      </c>
      <c r="M579" s="7">
        <v>367.5</v>
      </c>
      <c r="R579" s="12">
        <v>2100</v>
      </c>
      <c r="S579" s="12">
        <f>M579*R579</f>
        <v>771750</v>
      </c>
      <c r="Z579" s="18">
        <f t="shared" si="49"/>
        <v>-771750</v>
      </c>
    </row>
    <row r="580" spans="1:31" ht="16" customHeight="1" x14ac:dyDescent="0.45">
      <c r="A580" s="1">
        <v>2507</v>
      </c>
      <c r="B580" s="2">
        <v>45869</v>
      </c>
      <c r="D580" s="4" t="s">
        <v>27</v>
      </c>
      <c r="G580" s="5" t="s">
        <v>28</v>
      </c>
      <c r="H580" s="19" t="s">
        <v>456</v>
      </c>
      <c r="M580" s="7">
        <v>771.8</v>
      </c>
      <c r="P580" s="10">
        <v>2390</v>
      </c>
      <c r="Q580" s="11">
        <f>M580*P580</f>
        <v>1844602</v>
      </c>
      <c r="Z580" s="18">
        <f t="shared" si="49"/>
        <v>-1844602</v>
      </c>
    </row>
    <row r="581" spans="1:31" s="21" customFormat="1" ht="16" customHeight="1" x14ac:dyDescent="0.45">
      <c r="A581" s="1">
        <v>2507</v>
      </c>
      <c r="B581" s="2">
        <v>45839</v>
      </c>
      <c r="C581" s="3"/>
      <c r="D581" s="4" t="s">
        <v>35</v>
      </c>
      <c r="E581" s="5" t="s">
        <v>10</v>
      </c>
      <c r="F581" s="5"/>
      <c r="G581" s="5" t="s">
        <v>19</v>
      </c>
      <c r="H581" s="19" t="s">
        <v>104</v>
      </c>
      <c r="I581" s="19" t="s">
        <v>53</v>
      </c>
      <c r="J581" s="19"/>
      <c r="K581" s="20"/>
      <c r="L581" s="6">
        <v>8</v>
      </c>
      <c r="M581" s="7">
        <v>120.1</v>
      </c>
      <c r="N581" s="8">
        <v>2356</v>
      </c>
      <c r="O581" s="9"/>
      <c r="P581" s="10"/>
      <c r="Q581" s="11"/>
      <c r="R581" s="12">
        <v>970</v>
      </c>
      <c r="S581" s="12">
        <f>N581*R581</f>
        <v>2285320</v>
      </c>
      <c r="T581" s="13"/>
      <c r="U581" s="14"/>
      <c r="V581" s="15"/>
      <c r="W581" s="16"/>
      <c r="X581" s="12"/>
      <c r="Y581" s="17"/>
      <c r="Z581" s="18">
        <f t="shared" si="49"/>
        <v>-2285320</v>
      </c>
      <c r="AA581" s="17"/>
      <c r="AB581" s="17"/>
      <c r="AC581" s="17"/>
      <c r="AD581" s="17"/>
      <c r="AE581" s="17"/>
    </row>
    <row r="582" spans="1:31" ht="16" customHeight="1" x14ac:dyDescent="0.45">
      <c r="A582" s="1">
        <v>2507</v>
      </c>
      <c r="B582" s="2">
        <v>45840</v>
      </c>
      <c r="D582" s="4" t="s">
        <v>35</v>
      </c>
      <c r="E582" s="5" t="s">
        <v>10</v>
      </c>
      <c r="G582" s="5" t="s">
        <v>19</v>
      </c>
      <c r="H582" s="19" t="s">
        <v>104</v>
      </c>
      <c r="I582" s="19" t="s">
        <v>105</v>
      </c>
      <c r="L582" s="6">
        <v>5</v>
      </c>
      <c r="M582" s="7">
        <v>124.4</v>
      </c>
      <c r="N582" s="8">
        <v>2440</v>
      </c>
      <c r="R582" s="12">
        <v>970</v>
      </c>
      <c r="S582" s="12">
        <f>N582*R582</f>
        <v>2366800</v>
      </c>
      <c r="Z582" s="18">
        <f t="shared" si="49"/>
        <v>-2366800</v>
      </c>
    </row>
    <row r="583" spans="1:31" ht="16" customHeight="1" x14ac:dyDescent="0.45">
      <c r="A583" s="1">
        <v>2507</v>
      </c>
      <c r="B583" s="2">
        <v>45868</v>
      </c>
      <c r="D583" s="4" t="s">
        <v>37</v>
      </c>
      <c r="E583" s="5" t="s">
        <v>5</v>
      </c>
      <c r="G583" s="5" t="s">
        <v>5</v>
      </c>
      <c r="H583" s="19" t="s">
        <v>129</v>
      </c>
      <c r="M583" s="7">
        <v>315.8</v>
      </c>
      <c r="O583" s="9">
        <v>1649</v>
      </c>
      <c r="R583" s="12">
        <v>1850</v>
      </c>
      <c r="S583" s="12">
        <f t="shared" ref="S583:S594" si="50">M583*R583</f>
        <v>584230</v>
      </c>
      <c r="Z583" s="18">
        <f t="shared" si="49"/>
        <v>-584230</v>
      </c>
    </row>
    <row r="584" spans="1:31" ht="16" customHeight="1" x14ac:dyDescent="0.45">
      <c r="A584" s="1">
        <v>2507</v>
      </c>
      <c r="B584" s="2">
        <v>45846</v>
      </c>
      <c r="C584" s="24"/>
      <c r="D584" s="4" t="s">
        <v>37</v>
      </c>
      <c r="E584" s="5" t="s">
        <v>28</v>
      </c>
      <c r="G584" s="5" t="s">
        <v>28</v>
      </c>
      <c r="H584" s="19" t="s">
        <v>38</v>
      </c>
      <c r="I584" s="19" t="s">
        <v>39</v>
      </c>
      <c r="K584" s="73" t="s">
        <v>136</v>
      </c>
      <c r="L584" s="6">
        <v>33</v>
      </c>
      <c r="M584" s="7">
        <v>487.4</v>
      </c>
      <c r="O584" s="9">
        <v>772</v>
      </c>
      <c r="P584" s="141"/>
      <c r="Q584" s="95"/>
      <c r="R584" s="12">
        <v>2500</v>
      </c>
      <c r="S584" s="12">
        <f t="shared" si="50"/>
        <v>1218500</v>
      </c>
      <c r="T584" s="33"/>
      <c r="U584" s="34"/>
      <c r="V584" s="15">
        <v>6700</v>
      </c>
      <c r="W584" s="16">
        <f t="shared" ref="W584:W594" si="51">O584*V584</f>
        <v>5172400</v>
      </c>
      <c r="Z584" s="18">
        <f t="shared" si="49"/>
        <v>3953900</v>
      </c>
    </row>
    <row r="585" spans="1:31" ht="16" customHeight="1" x14ac:dyDescent="0.45">
      <c r="A585" s="1">
        <v>2507</v>
      </c>
      <c r="B585" s="2">
        <v>45846</v>
      </c>
      <c r="C585" s="24"/>
      <c r="D585" s="4" t="s">
        <v>37</v>
      </c>
      <c r="E585" s="5" t="s">
        <v>28</v>
      </c>
      <c r="G585" s="5" t="s">
        <v>28</v>
      </c>
      <c r="H585" s="19" t="s">
        <v>38</v>
      </c>
      <c r="I585" s="19" t="s">
        <v>39</v>
      </c>
      <c r="K585" s="73" t="s">
        <v>72</v>
      </c>
      <c r="L585" s="6">
        <v>33</v>
      </c>
      <c r="M585" s="7">
        <v>501.6</v>
      </c>
      <c r="O585" s="9">
        <v>778</v>
      </c>
      <c r="P585" s="141"/>
      <c r="Q585" s="95"/>
      <c r="R585" s="12">
        <v>2500</v>
      </c>
      <c r="S585" s="12">
        <f t="shared" si="50"/>
        <v>1254000</v>
      </c>
      <c r="T585" s="33"/>
      <c r="U585" s="34"/>
      <c r="V585" s="15">
        <v>6700</v>
      </c>
      <c r="W585" s="16">
        <f t="shared" si="51"/>
        <v>5212600</v>
      </c>
      <c r="Z585" s="18">
        <f t="shared" si="49"/>
        <v>3958600</v>
      </c>
    </row>
    <row r="586" spans="1:31" ht="16" customHeight="1" x14ac:dyDescent="0.45">
      <c r="A586" s="1">
        <v>2507</v>
      </c>
      <c r="B586" s="2">
        <v>45846</v>
      </c>
      <c r="C586" s="24"/>
      <c r="D586" s="4" t="s">
        <v>37</v>
      </c>
      <c r="E586" s="5" t="s">
        <v>28</v>
      </c>
      <c r="G586" s="5" t="s">
        <v>28</v>
      </c>
      <c r="H586" s="19" t="s">
        <v>38</v>
      </c>
      <c r="I586" s="19" t="s">
        <v>39</v>
      </c>
      <c r="K586" s="73" t="s">
        <v>73</v>
      </c>
      <c r="L586" s="6">
        <v>33</v>
      </c>
      <c r="M586" s="7">
        <v>502.6</v>
      </c>
      <c r="O586" s="9">
        <v>795</v>
      </c>
      <c r="P586" s="141"/>
      <c r="Q586" s="95"/>
      <c r="R586" s="12">
        <v>2500</v>
      </c>
      <c r="S586" s="12">
        <f t="shared" si="50"/>
        <v>1256500</v>
      </c>
      <c r="T586" s="33"/>
      <c r="U586" s="34"/>
      <c r="V586" s="15">
        <v>6700</v>
      </c>
      <c r="W586" s="16">
        <f t="shared" si="51"/>
        <v>5326500</v>
      </c>
      <c r="Z586" s="18">
        <f t="shared" si="49"/>
        <v>4070000</v>
      </c>
    </row>
    <row r="587" spans="1:31" ht="16" customHeight="1" x14ac:dyDescent="0.45">
      <c r="A587" s="1">
        <v>2507</v>
      </c>
      <c r="B587" s="2">
        <v>45846</v>
      </c>
      <c r="C587" s="24"/>
      <c r="D587" s="4" t="s">
        <v>37</v>
      </c>
      <c r="E587" s="5" t="s">
        <v>28</v>
      </c>
      <c r="G587" s="5" t="s">
        <v>28</v>
      </c>
      <c r="H587" s="19" t="s">
        <v>38</v>
      </c>
      <c r="I587" s="19" t="s">
        <v>39</v>
      </c>
      <c r="K587" s="73" t="s">
        <v>106</v>
      </c>
      <c r="L587" s="6">
        <v>3</v>
      </c>
      <c r="M587" s="7">
        <v>45</v>
      </c>
      <c r="O587" s="9">
        <v>70</v>
      </c>
      <c r="P587" s="141"/>
      <c r="Q587" s="95"/>
      <c r="R587" s="12">
        <v>2500</v>
      </c>
      <c r="S587" s="12">
        <f t="shared" si="50"/>
        <v>112500</v>
      </c>
      <c r="T587" s="33"/>
      <c r="U587" s="34"/>
      <c r="V587" s="15">
        <v>6700</v>
      </c>
      <c r="W587" s="16">
        <f t="shared" si="51"/>
        <v>469000</v>
      </c>
      <c r="Z587" s="18">
        <f t="shared" si="49"/>
        <v>356500</v>
      </c>
    </row>
    <row r="588" spans="1:31" ht="16" customHeight="1" x14ac:dyDescent="0.45">
      <c r="A588" s="1">
        <v>2507</v>
      </c>
      <c r="B588" s="2">
        <v>45853</v>
      </c>
      <c r="C588" s="24"/>
      <c r="D588" s="4" t="s">
        <v>37</v>
      </c>
      <c r="E588" s="5" t="s">
        <v>28</v>
      </c>
      <c r="G588" s="5" t="s">
        <v>28</v>
      </c>
      <c r="H588" s="19" t="s">
        <v>38</v>
      </c>
      <c r="I588" s="19" t="s">
        <v>39</v>
      </c>
      <c r="K588" s="73" t="s">
        <v>85</v>
      </c>
      <c r="L588" s="6">
        <v>32</v>
      </c>
      <c r="M588" s="7">
        <v>482.3</v>
      </c>
      <c r="O588" s="9">
        <v>745</v>
      </c>
      <c r="P588" s="141"/>
      <c r="Q588" s="95"/>
      <c r="R588" s="12">
        <v>2500</v>
      </c>
      <c r="S588" s="12">
        <f t="shared" si="50"/>
        <v>1205750</v>
      </c>
      <c r="T588" s="33"/>
      <c r="U588" s="34"/>
      <c r="V588" s="15">
        <v>6700</v>
      </c>
      <c r="W588" s="16">
        <f t="shared" si="51"/>
        <v>4991500</v>
      </c>
      <c r="Z588" s="18">
        <f t="shared" si="49"/>
        <v>3785750</v>
      </c>
    </row>
    <row r="589" spans="1:31" ht="16" customHeight="1" x14ac:dyDescent="0.45">
      <c r="A589" s="1">
        <v>2507</v>
      </c>
      <c r="B589" s="2">
        <v>45853</v>
      </c>
      <c r="C589" s="24"/>
      <c r="D589" s="4" t="s">
        <v>37</v>
      </c>
      <c r="E589" s="5" t="s">
        <v>28</v>
      </c>
      <c r="G589" s="5" t="s">
        <v>28</v>
      </c>
      <c r="H589" s="19" t="s">
        <v>38</v>
      </c>
      <c r="I589" s="19" t="s">
        <v>39</v>
      </c>
      <c r="K589" s="73" t="s">
        <v>71</v>
      </c>
      <c r="L589" s="6">
        <v>32</v>
      </c>
      <c r="M589" s="7">
        <v>473.8</v>
      </c>
      <c r="O589" s="9">
        <v>733</v>
      </c>
      <c r="P589" s="141"/>
      <c r="Q589" s="95"/>
      <c r="R589" s="12">
        <v>2500</v>
      </c>
      <c r="S589" s="12">
        <f t="shared" si="50"/>
        <v>1184500</v>
      </c>
      <c r="T589" s="33"/>
      <c r="U589" s="34"/>
      <c r="V589" s="15">
        <v>6700</v>
      </c>
      <c r="W589" s="16">
        <f t="shared" si="51"/>
        <v>4911100</v>
      </c>
      <c r="Z589" s="18">
        <f t="shared" si="49"/>
        <v>3726600</v>
      </c>
    </row>
    <row r="590" spans="1:31" ht="16" customHeight="1" x14ac:dyDescent="0.45">
      <c r="A590" s="1">
        <v>2507</v>
      </c>
      <c r="B590" s="2">
        <v>45853</v>
      </c>
      <c r="C590" s="24"/>
      <c r="D590" s="4" t="s">
        <v>37</v>
      </c>
      <c r="E590" s="5" t="s">
        <v>28</v>
      </c>
      <c r="G590" s="5" t="s">
        <v>28</v>
      </c>
      <c r="H590" s="19" t="s">
        <v>38</v>
      </c>
      <c r="I590" s="19" t="s">
        <v>39</v>
      </c>
      <c r="K590" s="73" t="s">
        <v>106</v>
      </c>
      <c r="L590" s="6">
        <v>30</v>
      </c>
      <c r="M590" s="7">
        <v>453.6</v>
      </c>
      <c r="O590" s="9">
        <v>699</v>
      </c>
      <c r="P590" s="141"/>
      <c r="Q590" s="95"/>
      <c r="R590" s="12">
        <v>2500</v>
      </c>
      <c r="S590" s="12">
        <f t="shared" si="50"/>
        <v>1134000</v>
      </c>
      <c r="T590" s="33"/>
      <c r="U590" s="34"/>
      <c r="V590" s="15">
        <v>6700</v>
      </c>
      <c r="W590" s="16">
        <f t="shared" si="51"/>
        <v>4683300</v>
      </c>
      <c r="Z590" s="18">
        <f t="shared" si="49"/>
        <v>3549300</v>
      </c>
    </row>
    <row r="591" spans="1:31" ht="16" customHeight="1" x14ac:dyDescent="0.45">
      <c r="A591" s="1">
        <v>2507</v>
      </c>
      <c r="B591" s="2">
        <v>45853</v>
      </c>
      <c r="C591" s="24"/>
      <c r="D591" s="4" t="s">
        <v>37</v>
      </c>
      <c r="E591" s="5" t="s">
        <v>28</v>
      </c>
      <c r="G591" s="5" t="s">
        <v>28</v>
      </c>
      <c r="H591" s="19" t="s">
        <v>38</v>
      </c>
      <c r="I591" s="19" t="s">
        <v>39</v>
      </c>
      <c r="K591" s="73" t="s">
        <v>107</v>
      </c>
      <c r="L591" s="6">
        <v>33</v>
      </c>
      <c r="M591" s="7">
        <v>482.2</v>
      </c>
      <c r="O591" s="9">
        <v>747</v>
      </c>
      <c r="P591" s="141"/>
      <c r="Q591" s="95"/>
      <c r="R591" s="12">
        <v>2500</v>
      </c>
      <c r="S591" s="12">
        <f t="shared" si="50"/>
        <v>1205500</v>
      </c>
      <c r="T591" s="33"/>
      <c r="U591" s="34"/>
      <c r="V591" s="15">
        <v>6700</v>
      </c>
      <c r="W591" s="16">
        <f t="shared" si="51"/>
        <v>5004900</v>
      </c>
      <c r="Z591" s="18">
        <f t="shared" si="49"/>
        <v>3799400</v>
      </c>
    </row>
    <row r="592" spans="1:31" ht="16" customHeight="1" x14ac:dyDescent="0.45">
      <c r="A592" s="1">
        <v>2507</v>
      </c>
      <c r="B592" s="2">
        <v>45853</v>
      </c>
      <c r="C592" s="24"/>
      <c r="D592" s="4" t="s">
        <v>37</v>
      </c>
      <c r="E592" s="5" t="s">
        <v>28</v>
      </c>
      <c r="G592" s="5" t="s">
        <v>28</v>
      </c>
      <c r="H592" s="19" t="s">
        <v>38</v>
      </c>
      <c r="I592" s="19" t="s">
        <v>39</v>
      </c>
      <c r="K592" s="73" t="s">
        <v>139</v>
      </c>
      <c r="L592" s="6">
        <v>32</v>
      </c>
      <c r="M592" s="7">
        <v>486.9</v>
      </c>
      <c r="O592" s="9">
        <v>768</v>
      </c>
      <c r="P592" s="141"/>
      <c r="Q592" s="95"/>
      <c r="R592" s="12">
        <v>2500</v>
      </c>
      <c r="S592" s="12">
        <f t="shared" si="50"/>
        <v>1217250</v>
      </c>
      <c r="T592" s="33"/>
      <c r="U592" s="34"/>
      <c r="V592" s="15">
        <v>6700</v>
      </c>
      <c r="W592" s="16">
        <f t="shared" si="51"/>
        <v>5145600</v>
      </c>
      <c r="Z592" s="18">
        <f t="shared" si="49"/>
        <v>3928350</v>
      </c>
    </row>
    <row r="593" spans="1:31" ht="16" customHeight="1" x14ac:dyDescent="0.45">
      <c r="A593" s="1">
        <v>2507</v>
      </c>
      <c r="B593" s="2">
        <v>45853</v>
      </c>
      <c r="C593" s="24"/>
      <c r="D593" s="4" t="s">
        <v>37</v>
      </c>
      <c r="E593" s="5" t="s">
        <v>28</v>
      </c>
      <c r="G593" s="5" t="s">
        <v>28</v>
      </c>
      <c r="H593" s="19" t="s">
        <v>38</v>
      </c>
      <c r="I593" s="19" t="s">
        <v>39</v>
      </c>
      <c r="K593" s="73" t="s">
        <v>144</v>
      </c>
      <c r="L593" s="6">
        <v>33</v>
      </c>
      <c r="M593" s="7">
        <v>505.7</v>
      </c>
      <c r="O593" s="9">
        <v>812</v>
      </c>
      <c r="P593" s="141"/>
      <c r="Q593" s="95"/>
      <c r="R593" s="12">
        <v>2500</v>
      </c>
      <c r="S593" s="12">
        <f t="shared" si="50"/>
        <v>1264250</v>
      </c>
      <c r="T593" s="33"/>
      <c r="U593" s="34"/>
      <c r="V593" s="15">
        <v>6700</v>
      </c>
      <c r="W593" s="16">
        <f t="shared" si="51"/>
        <v>5440400</v>
      </c>
      <c r="Z593" s="18">
        <f t="shared" si="49"/>
        <v>4176150</v>
      </c>
    </row>
    <row r="594" spans="1:31" ht="16" customHeight="1" x14ac:dyDescent="0.45">
      <c r="A594" s="1">
        <v>2507</v>
      </c>
      <c r="B594" s="2">
        <v>45853</v>
      </c>
      <c r="C594" s="24"/>
      <c r="D594" s="4" t="s">
        <v>37</v>
      </c>
      <c r="E594" s="5" t="s">
        <v>28</v>
      </c>
      <c r="G594" s="5" t="s">
        <v>28</v>
      </c>
      <c r="H594" s="19" t="s">
        <v>38</v>
      </c>
      <c r="I594" s="19" t="s">
        <v>39</v>
      </c>
      <c r="K594" s="73" t="s">
        <v>145</v>
      </c>
      <c r="L594" s="6">
        <v>32</v>
      </c>
      <c r="M594" s="7">
        <v>488.3</v>
      </c>
      <c r="O594" s="9">
        <v>781</v>
      </c>
      <c r="P594" s="141"/>
      <c r="Q594" s="95"/>
      <c r="R594" s="12">
        <v>2500</v>
      </c>
      <c r="S594" s="12">
        <f t="shared" si="50"/>
        <v>1220750</v>
      </c>
      <c r="T594" s="33"/>
      <c r="U594" s="34"/>
      <c r="V594" s="15">
        <v>6700</v>
      </c>
      <c r="W594" s="16">
        <f t="shared" si="51"/>
        <v>5232700</v>
      </c>
      <c r="Z594" s="18">
        <f t="shared" si="49"/>
        <v>4011950</v>
      </c>
    </row>
    <row r="595" spans="1:31" ht="16" customHeight="1" x14ac:dyDescent="0.45">
      <c r="A595" s="1">
        <v>2507</v>
      </c>
      <c r="B595" s="2">
        <v>45863</v>
      </c>
      <c r="D595" s="4" t="s">
        <v>457</v>
      </c>
      <c r="E595" s="5" t="s">
        <v>92</v>
      </c>
      <c r="G595" s="5" t="s">
        <v>92</v>
      </c>
      <c r="H595" s="19" t="s">
        <v>458</v>
      </c>
      <c r="I595" s="19" t="s">
        <v>87</v>
      </c>
      <c r="J595" s="19" t="s">
        <v>459</v>
      </c>
      <c r="N595" s="8">
        <v>235</v>
      </c>
      <c r="S595" s="12">
        <v>750000</v>
      </c>
      <c r="V595" s="15" t="s">
        <v>460</v>
      </c>
      <c r="Z595" s="18">
        <f t="shared" si="49"/>
        <v>-750000</v>
      </c>
    </row>
    <row r="596" spans="1:31" ht="16" customHeight="1" x14ac:dyDescent="0.45">
      <c r="A596" s="1">
        <v>2507</v>
      </c>
      <c r="B596" s="2">
        <v>45869</v>
      </c>
      <c r="D596" s="4" t="s">
        <v>159</v>
      </c>
      <c r="G596" s="5" t="s">
        <v>28</v>
      </c>
      <c r="H596" s="19" t="s">
        <v>202</v>
      </c>
      <c r="N596" s="8">
        <v>8421</v>
      </c>
      <c r="R596" s="12">
        <v>130</v>
      </c>
      <c r="S596" s="12">
        <f>N596*R596</f>
        <v>1094730</v>
      </c>
      <c r="Z596" s="18">
        <f t="shared" si="49"/>
        <v>-1094730</v>
      </c>
    </row>
    <row r="597" spans="1:31" ht="16" customHeight="1" x14ac:dyDescent="0.45">
      <c r="A597" s="1">
        <v>2507</v>
      </c>
      <c r="B597" s="2">
        <v>45845</v>
      </c>
      <c r="D597" s="4" t="s">
        <v>3</v>
      </c>
      <c r="E597" s="5" t="s">
        <v>211</v>
      </c>
      <c r="G597" s="5" t="s">
        <v>1</v>
      </c>
      <c r="H597" s="19" t="s">
        <v>2</v>
      </c>
      <c r="I597" s="19" t="s">
        <v>53</v>
      </c>
      <c r="L597" s="6">
        <v>6</v>
      </c>
      <c r="M597" s="7">
        <v>96.5</v>
      </c>
      <c r="N597" s="8">
        <v>1483</v>
      </c>
      <c r="R597" s="12">
        <v>500</v>
      </c>
      <c r="S597" s="12">
        <f>N597*R597</f>
        <v>741500</v>
      </c>
      <c r="Z597" s="18">
        <f t="shared" si="49"/>
        <v>-741500</v>
      </c>
    </row>
    <row r="598" spans="1:31" ht="16" customHeight="1" x14ac:dyDescent="0.45">
      <c r="A598" s="1">
        <v>2507</v>
      </c>
      <c r="B598" s="2">
        <v>45845</v>
      </c>
      <c r="D598" s="4" t="s">
        <v>3</v>
      </c>
      <c r="E598" s="5" t="s">
        <v>211</v>
      </c>
      <c r="G598" s="5" t="s">
        <v>1</v>
      </c>
      <c r="H598" s="19" t="s">
        <v>2</v>
      </c>
      <c r="I598" s="19" t="s">
        <v>53</v>
      </c>
      <c r="L598" s="6">
        <v>6</v>
      </c>
      <c r="M598" s="7">
        <v>94.6</v>
      </c>
      <c r="N598" s="8">
        <v>1367</v>
      </c>
      <c r="R598" s="12">
        <v>500</v>
      </c>
      <c r="S598" s="12">
        <f>N598*R598</f>
        <v>683500</v>
      </c>
      <c r="Z598" s="18">
        <f t="shared" si="49"/>
        <v>-683500</v>
      </c>
    </row>
    <row r="599" spans="1:31" ht="16" customHeight="1" x14ac:dyDescent="0.45">
      <c r="A599" s="1">
        <v>2507</v>
      </c>
      <c r="B599" s="2">
        <v>45852</v>
      </c>
      <c r="D599" s="4" t="s">
        <v>3</v>
      </c>
      <c r="E599" s="5" t="s">
        <v>211</v>
      </c>
      <c r="G599" s="5" t="s">
        <v>1</v>
      </c>
      <c r="H599" s="19" t="s">
        <v>2</v>
      </c>
      <c r="I599" s="19" t="s">
        <v>56</v>
      </c>
      <c r="K599" s="20">
        <v>23</v>
      </c>
      <c r="L599" s="6">
        <v>6</v>
      </c>
      <c r="M599" s="7">
        <v>105</v>
      </c>
      <c r="N599" s="8">
        <v>1452</v>
      </c>
      <c r="R599" s="12">
        <v>500</v>
      </c>
      <c r="S599" s="12">
        <f>N599*R599</f>
        <v>726000</v>
      </c>
      <c r="Z599" s="18">
        <f t="shared" si="49"/>
        <v>-726000</v>
      </c>
    </row>
    <row r="600" spans="1:31" ht="16" customHeight="1" x14ac:dyDescent="0.45">
      <c r="A600" s="1">
        <v>2507</v>
      </c>
      <c r="B600" s="2">
        <v>45852</v>
      </c>
      <c r="D600" s="4" t="s">
        <v>3</v>
      </c>
      <c r="E600" s="5" t="s">
        <v>211</v>
      </c>
      <c r="G600" s="5" t="s">
        <v>1</v>
      </c>
      <c r="H600" s="19" t="s">
        <v>2</v>
      </c>
      <c r="I600" s="19" t="s">
        <v>56</v>
      </c>
      <c r="K600" s="20">
        <v>20</v>
      </c>
      <c r="L600" s="6">
        <v>10</v>
      </c>
      <c r="M600" s="7">
        <v>87</v>
      </c>
      <c r="N600" s="8">
        <v>1195</v>
      </c>
      <c r="R600" s="12">
        <v>500</v>
      </c>
      <c r="S600" s="12">
        <f>N600*R600</f>
        <v>597500</v>
      </c>
      <c r="Z600" s="18">
        <f t="shared" si="49"/>
        <v>-597500</v>
      </c>
    </row>
    <row r="601" spans="1:31" ht="16" customHeight="1" x14ac:dyDescent="0.45">
      <c r="A601" s="1">
        <v>2507</v>
      </c>
      <c r="B601" s="23">
        <v>45861</v>
      </c>
      <c r="C601" s="24"/>
      <c r="D601" s="25" t="s">
        <v>109</v>
      </c>
      <c r="E601" s="26" t="s">
        <v>117</v>
      </c>
      <c r="F601" s="26"/>
      <c r="G601" s="26" t="s">
        <v>117</v>
      </c>
      <c r="H601" s="27" t="s">
        <v>225</v>
      </c>
      <c r="I601" s="27" t="s">
        <v>151</v>
      </c>
      <c r="J601" s="27"/>
      <c r="K601" s="28"/>
      <c r="L601" s="29">
        <v>1</v>
      </c>
      <c r="M601" s="30"/>
      <c r="N601" s="31">
        <v>300</v>
      </c>
      <c r="O601" s="32"/>
      <c r="P601" s="91"/>
      <c r="Q601" s="92"/>
      <c r="R601" s="93"/>
      <c r="S601" s="93"/>
      <c r="T601" s="33"/>
      <c r="U601" s="34"/>
      <c r="V601" s="35">
        <v>1400</v>
      </c>
      <c r="W601" s="36">
        <f>N601*V601</f>
        <v>420000</v>
      </c>
      <c r="X601" s="93"/>
      <c r="Y601" s="21"/>
      <c r="Z601" s="18">
        <f t="shared" si="49"/>
        <v>420000</v>
      </c>
    </row>
    <row r="602" spans="1:31" ht="16" customHeight="1" x14ac:dyDescent="0.45">
      <c r="A602" s="1">
        <v>2507</v>
      </c>
      <c r="B602" s="2">
        <v>45866</v>
      </c>
      <c r="D602" s="4" t="s">
        <v>123</v>
      </c>
      <c r="E602" s="5" t="s">
        <v>37</v>
      </c>
      <c r="G602" s="5" t="s">
        <v>5</v>
      </c>
      <c r="H602" s="19" t="s">
        <v>461</v>
      </c>
      <c r="M602" s="7">
        <v>328</v>
      </c>
      <c r="R602" s="12">
        <v>3700</v>
      </c>
      <c r="S602" s="12">
        <f>M602*R602</f>
        <v>1213600</v>
      </c>
      <c r="Z602" s="18">
        <f t="shared" si="49"/>
        <v>-1213600</v>
      </c>
    </row>
    <row r="603" spans="1:31" ht="16" customHeight="1" x14ac:dyDescent="0.45">
      <c r="A603" s="1">
        <v>2507</v>
      </c>
      <c r="B603" s="2">
        <v>45868</v>
      </c>
      <c r="C603" s="24"/>
      <c r="E603" s="5" t="s">
        <v>31</v>
      </c>
      <c r="G603" s="5" t="s">
        <v>31</v>
      </c>
      <c r="H603" s="19" t="s">
        <v>188</v>
      </c>
      <c r="P603" s="141"/>
      <c r="Q603" s="95"/>
      <c r="T603" s="33"/>
      <c r="U603" s="34"/>
      <c r="W603" s="16">
        <v>-1160000</v>
      </c>
      <c r="Z603" s="18">
        <f t="shared" si="49"/>
        <v>-1160000</v>
      </c>
    </row>
    <row r="604" spans="1:31" ht="16" customHeight="1" x14ac:dyDescent="0.45">
      <c r="A604" s="1">
        <v>2507</v>
      </c>
      <c r="B604" s="2">
        <v>45868</v>
      </c>
      <c r="C604" s="24"/>
      <c r="E604" s="5" t="s">
        <v>31</v>
      </c>
      <c r="G604" s="5" t="s">
        <v>31</v>
      </c>
      <c r="H604" s="19" t="s">
        <v>462</v>
      </c>
      <c r="O604" s="9">
        <v>-500</v>
      </c>
      <c r="P604" s="141"/>
      <c r="Q604" s="95"/>
      <c r="T604" s="33"/>
      <c r="U604" s="34"/>
      <c r="V604" s="15">
        <v>2900</v>
      </c>
      <c r="W604" s="16">
        <f>O604*V604</f>
        <v>-1450000</v>
      </c>
      <c r="Z604" s="18">
        <f t="shared" si="49"/>
        <v>-1450000</v>
      </c>
    </row>
    <row r="605" spans="1:31" ht="16" customHeight="1" x14ac:dyDescent="0.45">
      <c r="A605" s="1">
        <v>2508</v>
      </c>
      <c r="B605" s="2">
        <v>45883</v>
      </c>
      <c r="D605" s="4" t="s">
        <v>0</v>
      </c>
      <c r="E605" s="5" t="s">
        <v>3</v>
      </c>
      <c r="G605" s="5" t="s">
        <v>1</v>
      </c>
      <c r="H605" s="19" t="s">
        <v>2</v>
      </c>
      <c r="L605" s="6">
        <v>30</v>
      </c>
      <c r="M605" s="7">
        <v>525</v>
      </c>
      <c r="R605" s="12">
        <v>3800</v>
      </c>
      <c r="S605" s="12">
        <f>M605*R605</f>
        <v>1995000</v>
      </c>
      <c r="Z605" s="18">
        <f t="shared" si="49"/>
        <v>-1995000</v>
      </c>
    </row>
    <row r="606" spans="1:31" ht="16" customHeight="1" x14ac:dyDescent="0.45">
      <c r="A606" s="1">
        <v>2508</v>
      </c>
      <c r="B606" s="2">
        <v>45877</v>
      </c>
      <c r="D606" s="4" t="s">
        <v>0</v>
      </c>
      <c r="E606" s="5" t="s">
        <v>3</v>
      </c>
      <c r="G606" s="5" t="s">
        <v>1</v>
      </c>
      <c r="H606" s="19" t="s">
        <v>2</v>
      </c>
      <c r="L606" s="6">
        <v>10</v>
      </c>
      <c r="M606" s="7">
        <v>175</v>
      </c>
      <c r="R606" s="12">
        <v>3800</v>
      </c>
      <c r="S606" s="12">
        <f>M606*R606</f>
        <v>665000</v>
      </c>
      <c r="Z606" s="18">
        <f t="shared" si="49"/>
        <v>-665000</v>
      </c>
    </row>
    <row r="607" spans="1:31" ht="16" customHeight="1" x14ac:dyDescent="0.45">
      <c r="A607" s="1">
        <v>2508</v>
      </c>
      <c r="B607" s="2">
        <v>45891</v>
      </c>
      <c r="D607" s="4" t="s">
        <v>0</v>
      </c>
      <c r="E607" s="5" t="s">
        <v>3</v>
      </c>
      <c r="G607" s="5" t="s">
        <v>1</v>
      </c>
      <c r="H607" s="19" t="s">
        <v>2</v>
      </c>
      <c r="L607" s="6">
        <v>16</v>
      </c>
      <c r="M607" s="7">
        <v>280</v>
      </c>
      <c r="R607" s="12">
        <v>3800</v>
      </c>
      <c r="S607" s="12">
        <f>M607*R607</f>
        <v>1064000</v>
      </c>
      <c r="Z607" s="18">
        <f t="shared" si="49"/>
        <v>-1064000</v>
      </c>
    </row>
    <row r="608" spans="1:31" s="21" customFormat="1" ht="16" customHeight="1" x14ac:dyDescent="0.45">
      <c r="A608" s="1">
        <v>2508</v>
      </c>
      <c r="B608" s="2">
        <v>45881</v>
      </c>
      <c r="C608" s="3"/>
      <c r="D608" s="4" t="s">
        <v>226</v>
      </c>
      <c r="E608" s="5" t="s">
        <v>3</v>
      </c>
      <c r="F608" s="5"/>
      <c r="G608" s="5" t="s">
        <v>19</v>
      </c>
      <c r="H608" s="19" t="s">
        <v>227</v>
      </c>
      <c r="I608" s="19"/>
      <c r="J608" s="19"/>
      <c r="K608" s="20"/>
      <c r="L608" s="6">
        <v>16</v>
      </c>
      <c r="M608" s="7">
        <v>240</v>
      </c>
      <c r="N608" s="8"/>
      <c r="O608" s="9"/>
      <c r="P608" s="10">
        <v>12500</v>
      </c>
      <c r="Q608" s="11">
        <f>M608*P608</f>
        <v>3000000</v>
      </c>
      <c r="R608" s="12"/>
      <c r="S608" s="12"/>
      <c r="T608" s="13"/>
      <c r="U608" s="14"/>
      <c r="V608" s="15"/>
      <c r="W608" s="16"/>
      <c r="X608" s="12"/>
      <c r="Y608" s="17"/>
      <c r="Z608" s="18">
        <f t="shared" si="49"/>
        <v>-3000000</v>
      </c>
      <c r="AA608" s="17"/>
      <c r="AB608" s="17"/>
      <c r="AC608" s="17"/>
      <c r="AD608" s="17"/>
      <c r="AE608" s="17"/>
    </row>
    <row r="609" spans="1:31" s="21" customFormat="1" ht="16" customHeight="1" x14ac:dyDescent="0.45">
      <c r="A609" s="1">
        <v>2508</v>
      </c>
      <c r="B609" s="2">
        <v>45883</v>
      </c>
      <c r="C609" s="3"/>
      <c r="D609" s="4" t="s">
        <v>463</v>
      </c>
      <c r="E609" s="5" t="s">
        <v>37</v>
      </c>
      <c r="F609" s="5"/>
      <c r="G609" s="5" t="s">
        <v>28</v>
      </c>
      <c r="H609" s="19" t="s">
        <v>38</v>
      </c>
      <c r="I609" s="19"/>
      <c r="J609" s="19"/>
      <c r="K609" s="20"/>
      <c r="L609" s="6">
        <v>4</v>
      </c>
      <c r="M609" s="7">
        <v>73.8</v>
      </c>
      <c r="N609" s="8"/>
      <c r="O609" s="9"/>
      <c r="P609" s="10"/>
      <c r="Q609" s="11"/>
      <c r="R609" s="12">
        <v>2000</v>
      </c>
      <c r="S609" s="12">
        <f>M609*R609</f>
        <v>147600</v>
      </c>
      <c r="T609" s="13"/>
      <c r="U609" s="14"/>
      <c r="V609" s="15"/>
      <c r="W609" s="16"/>
      <c r="X609" s="12"/>
      <c r="Y609" s="17"/>
      <c r="Z609" s="18">
        <f t="shared" si="49"/>
        <v>-147600</v>
      </c>
      <c r="AA609" s="17"/>
      <c r="AB609" s="17"/>
      <c r="AC609" s="17"/>
      <c r="AD609" s="17"/>
      <c r="AE609" s="17"/>
    </row>
    <row r="610" spans="1:31" s="21" customFormat="1" ht="16" customHeight="1" x14ac:dyDescent="0.45">
      <c r="A610" s="1">
        <v>2508</v>
      </c>
      <c r="B610" s="2">
        <v>45883</v>
      </c>
      <c r="C610" s="3"/>
      <c r="D610" s="4" t="s">
        <v>463</v>
      </c>
      <c r="E610" s="5" t="s">
        <v>37</v>
      </c>
      <c r="F610" s="5"/>
      <c r="G610" s="5" t="s">
        <v>28</v>
      </c>
      <c r="H610" s="19" t="s">
        <v>38</v>
      </c>
      <c r="I610" s="19"/>
      <c r="J610" s="19"/>
      <c r="K610" s="20"/>
      <c r="L610" s="6">
        <v>60</v>
      </c>
      <c r="M610" s="7">
        <v>1212</v>
      </c>
      <c r="N610" s="8"/>
      <c r="O610" s="9"/>
      <c r="P610" s="10"/>
      <c r="Q610" s="11"/>
      <c r="R610" s="12">
        <v>2000</v>
      </c>
      <c r="S610" s="12">
        <f>M610*R610</f>
        <v>2424000</v>
      </c>
      <c r="T610" s="13"/>
      <c r="U610" s="14"/>
      <c r="V610" s="15"/>
      <c r="W610" s="16"/>
      <c r="X610" s="12"/>
      <c r="Y610" s="17"/>
      <c r="Z610" s="18">
        <f t="shared" si="49"/>
        <v>-2424000</v>
      </c>
      <c r="AA610" s="17"/>
      <c r="AB610" s="17"/>
      <c r="AC610" s="17"/>
      <c r="AD610" s="17"/>
      <c r="AE610" s="17"/>
    </row>
    <row r="611" spans="1:31" s="21" customFormat="1" ht="16" customHeight="1" x14ac:dyDescent="0.45">
      <c r="A611" s="1">
        <v>2508</v>
      </c>
      <c r="B611" s="2">
        <v>45900</v>
      </c>
      <c r="C611" s="3"/>
      <c r="D611" s="4" t="s">
        <v>463</v>
      </c>
      <c r="E611" s="5"/>
      <c r="F611" s="5"/>
      <c r="G611" s="5" t="s">
        <v>28</v>
      </c>
      <c r="H611" s="19" t="s">
        <v>464</v>
      </c>
      <c r="I611" s="19"/>
      <c r="J611" s="19"/>
      <c r="K611" s="20"/>
      <c r="L611" s="6"/>
      <c r="M611" s="7">
        <v>192.87</v>
      </c>
      <c r="N611" s="8"/>
      <c r="O611" s="9"/>
      <c r="P611" s="10">
        <v>2405</v>
      </c>
      <c r="Q611" s="11">
        <f>M611*P611</f>
        <v>463852.35000000003</v>
      </c>
      <c r="R611" s="12"/>
      <c r="S611" s="12"/>
      <c r="T611" s="13"/>
      <c r="U611" s="14"/>
      <c r="V611" s="15"/>
      <c r="W611" s="16"/>
      <c r="X611" s="12"/>
      <c r="Y611" s="17"/>
      <c r="Z611" s="18">
        <f t="shared" si="49"/>
        <v>-463852.35000000003</v>
      </c>
      <c r="AA611" s="17"/>
      <c r="AB611" s="17"/>
      <c r="AC611" s="17"/>
      <c r="AD611" s="17"/>
      <c r="AE611" s="17"/>
    </row>
    <row r="612" spans="1:31" ht="16" customHeight="1" x14ac:dyDescent="0.45">
      <c r="A612" s="1">
        <v>2508</v>
      </c>
      <c r="B612" s="2">
        <v>45890</v>
      </c>
      <c r="D612" s="4" t="s">
        <v>181</v>
      </c>
      <c r="E612" s="5" t="s">
        <v>339</v>
      </c>
      <c r="G612" s="5" t="s">
        <v>28</v>
      </c>
      <c r="H612" s="19" t="s">
        <v>182</v>
      </c>
      <c r="L612" s="6">
        <v>4</v>
      </c>
      <c r="M612" s="7">
        <v>1500</v>
      </c>
      <c r="P612" s="10">
        <v>2205</v>
      </c>
      <c r="Q612" s="11">
        <f>M612*P612</f>
        <v>3307500</v>
      </c>
      <c r="Z612" s="18">
        <f t="shared" si="49"/>
        <v>-3307500</v>
      </c>
    </row>
    <row r="613" spans="1:31" s="21" customFormat="1" ht="16" customHeight="1" x14ac:dyDescent="0.45">
      <c r="A613" s="1">
        <v>2508</v>
      </c>
      <c r="B613" s="2">
        <v>45870</v>
      </c>
      <c r="C613" s="3"/>
      <c r="D613" s="4" t="s">
        <v>181</v>
      </c>
      <c r="E613" s="5" t="s">
        <v>93</v>
      </c>
      <c r="F613" s="5"/>
      <c r="G613" s="5" t="s">
        <v>28</v>
      </c>
      <c r="H613" s="19" t="s">
        <v>182</v>
      </c>
      <c r="I613" s="19"/>
      <c r="J613" s="19"/>
      <c r="K613" s="20" t="s">
        <v>200</v>
      </c>
      <c r="L613" s="6"/>
      <c r="M613" s="7">
        <v>5250</v>
      </c>
      <c r="N613" s="8"/>
      <c r="O613" s="9"/>
      <c r="P613" s="10">
        <v>2205</v>
      </c>
      <c r="Q613" s="11">
        <f>M613*P613</f>
        <v>11576250</v>
      </c>
      <c r="R613" s="12"/>
      <c r="S613" s="12"/>
      <c r="T613" s="13"/>
      <c r="U613" s="14"/>
      <c r="V613" s="15"/>
      <c r="W613" s="16"/>
      <c r="X613" s="12"/>
      <c r="Y613" s="17"/>
      <c r="Z613" s="18">
        <f t="shared" si="49"/>
        <v>-11576250</v>
      </c>
      <c r="AA613" s="17"/>
      <c r="AB613" s="17"/>
      <c r="AC613" s="17"/>
      <c r="AD613" s="17"/>
      <c r="AE613" s="17"/>
    </row>
    <row r="614" spans="1:31" s="21" customFormat="1" ht="16" customHeight="1" x14ac:dyDescent="0.45">
      <c r="A614" s="1">
        <v>2508</v>
      </c>
      <c r="B614" s="2">
        <v>45870</v>
      </c>
      <c r="C614" s="3"/>
      <c r="D614" s="4" t="s">
        <v>181</v>
      </c>
      <c r="E614" s="5" t="s">
        <v>93</v>
      </c>
      <c r="F614" s="5"/>
      <c r="G614" s="5" t="s">
        <v>28</v>
      </c>
      <c r="H614" s="19" t="s">
        <v>182</v>
      </c>
      <c r="I614" s="19"/>
      <c r="J614" s="19"/>
      <c r="K614" s="20" t="s">
        <v>191</v>
      </c>
      <c r="L614" s="6"/>
      <c r="M614" s="7">
        <v>738.4</v>
      </c>
      <c r="N614" s="8"/>
      <c r="O614" s="9"/>
      <c r="P614" s="10">
        <v>1874</v>
      </c>
      <c r="Q614" s="11">
        <f>M614*P614</f>
        <v>1383761.5999999999</v>
      </c>
      <c r="R614" s="12"/>
      <c r="S614" s="12"/>
      <c r="T614" s="13"/>
      <c r="U614" s="14"/>
      <c r="V614" s="15"/>
      <c r="W614" s="16"/>
      <c r="X614" s="12"/>
      <c r="Y614" s="17"/>
      <c r="Z614" s="18">
        <f t="shared" si="49"/>
        <v>-1383761.5999999999</v>
      </c>
      <c r="AA614" s="17"/>
      <c r="AB614" s="17"/>
      <c r="AC614" s="17"/>
      <c r="AD614" s="17"/>
      <c r="AE614" s="17"/>
    </row>
    <row r="615" spans="1:31" s="21" customFormat="1" ht="16" customHeight="1" x14ac:dyDescent="0.45">
      <c r="A615" s="1">
        <v>2508</v>
      </c>
      <c r="B615" s="23">
        <v>45894</v>
      </c>
      <c r="C615" s="24"/>
      <c r="D615" s="25" t="s">
        <v>10</v>
      </c>
      <c r="E615" s="26" t="s">
        <v>1</v>
      </c>
      <c r="F615" s="26"/>
      <c r="G615" s="26" t="s">
        <v>1</v>
      </c>
      <c r="H615" s="27" t="s">
        <v>15</v>
      </c>
      <c r="I615" s="27" t="s">
        <v>21</v>
      </c>
      <c r="J615" s="27"/>
      <c r="K615" s="28"/>
      <c r="L615" s="29">
        <v>2</v>
      </c>
      <c r="M615" s="30"/>
      <c r="N615" s="31"/>
      <c r="O615" s="32">
        <v>1074</v>
      </c>
      <c r="P615" s="91"/>
      <c r="Q615" s="92"/>
      <c r="R615" s="93">
        <v>1850</v>
      </c>
      <c r="S615" s="93">
        <f>O615*R615</f>
        <v>1986900</v>
      </c>
      <c r="T615" s="33"/>
      <c r="U615" s="34"/>
      <c r="V615" s="35">
        <v>3500</v>
      </c>
      <c r="W615" s="36">
        <f>O615*V615</f>
        <v>3759000</v>
      </c>
      <c r="X615" s="93"/>
      <c r="Z615" s="18">
        <f t="shared" si="49"/>
        <v>1772100</v>
      </c>
      <c r="AA615" s="17"/>
      <c r="AB615" s="17"/>
      <c r="AC615" s="17"/>
      <c r="AD615" s="17"/>
      <c r="AE615" s="17"/>
    </row>
    <row r="616" spans="1:31" s="21" customFormat="1" ht="16" customHeight="1" x14ac:dyDescent="0.45">
      <c r="A616" s="1">
        <v>2508</v>
      </c>
      <c r="B616" s="23">
        <v>45881</v>
      </c>
      <c r="C616" s="24"/>
      <c r="D616" s="25" t="s">
        <v>10</v>
      </c>
      <c r="E616" s="26" t="s">
        <v>19</v>
      </c>
      <c r="F616" s="26"/>
      <c r="G616" s="26" t="s">
        <v>19</v>
      </c>
      <c r="H616" s="27" t="s">
        <v>465</v>
      </c>
      <c r="I616" s="27" t="s">
        <v>466</v>
      </c>
      <c r="J616" s="27"/>
      <c r="K616" s="28"/>
      <c r="L616" s="29"/>
      <c r="M616" s="30"/>
      <c r="N616" s="31"/>
      <c r="O616" s="32">
        <v>195</v>
      </c>
      <c r="P616" s="91"/>
      <c r="Q616" s="92"/>
      <c r="R616" s="93">
        <v>1850</v>
      </c>
      <c r="S616" s="93">
        <f>O616*R616</f>
        <v>360750</v>
      </c>
      <c r="T616" s="33"/>
      <c r="U616" s="34"/>
      <c r="V616" s="35">
        <v>2250</v>
      </c>
      <c r="W616" s="36">
        <f>O616*V616</f>
        <v>438750</v>
      </c>
      <c r="X616" s="93"/>
      <c r="Z616" s="18">
        <f t="shared" si="49"/>
        <v>78000</v>
      </c>
      <c r="AA616" s="17"/>
      <c r="AB616" s="17"/>
      <c r="AC616" s="17"/>
      <c r="AD616" s="17"/>
      <c r="AE616" s="17"/>
    </row>
    <row r="617" spans="1:31" s="21" customFormat="1" ht="16" customHeight="1" x14ac:dyDescent="0.45">
      <c r="A617" s="1">
        <v>2508</v>
      </c>
      <c r="B617" s="23">
        <v>45887</v>
      </c>
      <c r="C617" s="24"/>
      <c r="D617" s="25" t="s">
        <v>66</v>
      </c>
      <c r="E617" s="26" t="s">
        <v>117</v>
      </c>
      <c r="F617" s="26"/>
      <c r="G617" s="26" t="s">
        <v>117</v>
      </c>
      <c r="H617" s="27" t="s">
        <v>172</v>
      </c>
      <c r="I617" s="27" t="s">
        <v>147</v>
      </c>
      <c r="J617" s="27"/>
      <c r="K617" s="28"/>
      <c r="L617" s="29">
        <v>55</v>
      </c>
      <c r="M617" s="30"/>
      <c r="N617" s="31">
        <v>15246</v>
      </c>
      <c r="O617" s="32"/>
      <c r="P617" s="91"/>
      <c r="Q617" s="92"/>
      <c r="R617" s="93">
        <v>800</v>
      </c>
      <c r="S617" s="93">
        <f>N617*R617</f>
        <v>12196800</v>
      </c>
      <c r="T617" s="33"/>
      <c r="U617" s="34"/>
      <c r="V617" s="35">
        <v>1030</v>
      </c>
      <c r="W617" s="36">
        <f>N617*V617</f>
        <v>15703380</v>
      </c>
      <c r="X617" s="93"/>
      <c r="Z617" s="18">
        <f t="shared" si="49"/>
        <v>3506580</v>
      </c>
      <c r="AA617" s="17"/>
      <c r="AB617" s="17"/>
      <c r="AC617" s="17"/>
      <c r="AD617" s="17"/>
      <c r="AE617" s="17"/>
    </row>
    <row r="618" spans="1:31" s="21" customFormat="1" ht="16" customHeight="1" x14ac:dyDescent="0.45">
      <c r="A618" s="1">
        <v>2508</v>
      </c>
      <c r="B618" s="23">
        <v>45883</v>
      </c>
      <c r="C618" s="24"/>
      <c r="D618" s="25" t="s">
        <v>66</v>
      </c>
      <c r="E618" s="26" t="s">
        <v>203</v>
      </c>
      <c r="F618" s="26"/>
      <c r="G618" s="26" t="s">
        <v>203</v>
      </c>
      <c r="H618" s="27" t="s">
        <v>467</v>
      </c>
      <c r="I618" s="27" t="s">
        <v>210</v>
      </c>
      <c r="J618" s="27"/>
      <c r="K618" s="28"/>
      <c r="L618" s="29">
        <v>124</v>
      </c>
      <c r="M618" s="30"/>
      <c r="N618" s="31">
        <v>35893</v>
      </c>
      <c r="O618" s="32"/>
      <c r="P618" s="91"/>
      <c r="Q618" s="92"/>
      <c r="R618" s="93">
        <v>920</v>
      </c>
      <c r="S618" s="93">
        <f>N618*R618</f>
        <v>33021560</v>
      </c>
      <c r="T618" s="33"/>
      <c r="U618" s="34"/>
      <c r="V618" s="35">
        <v>1400</v>
      </c>
      <c r="W618" s="36">
        <f>N618*V618</f>
        <v>50250200</v>
      </c>
      <c r="X618" s="93"/>
      <c r="Z618" s="18">
        <f t="shared" si="49"/>
        <v>17228640</v>
      </c>
      <c r="AA618" s="17"/>
      <c r="AB618" s="17"/>
      <c r="AC618" s="17"/>
      <c r="AD618" s="17"/>
      <c r="AE618" s="17"/>
    </row>
    <row r="619" spans="1:31" s="21" customFormat="1" ht="16" customHeight="1" x14ac:dyDescent="0.45">
      <c r="A619" s="1">
        <v>2508</v>
      </c>
      <c r="B619" s="23">
        <v>45895</v>
      </c>
      <c r="C619" s="24"/>
      <c r="D619" s="25" t="s">
        <v>66</v>
      </c>
      <c r="E619" s="26" t="s">
        <v>203</v>
      </c>
      <c r="F619" s="26"/>
      <c r="G619" s="26" t="s">
        <v>203</v>
      </c>
      <c r="H619" s="27" t="s">
        <v>467</v>
      </c>
      <c r="I619" s="27" t="s">
        <v>468</v>
      </c>
      <c r="J619" s="27"/>
      <c r="K619" s="28"/>
      <c r="L619" s="29">
        <v>51</v>
      </c>
      <c r="M619" s="30"/>
      <c r="N619" s="31">
        <v>14832</v>
      </c>
      <c r="O619" s="32"/>
      <c r="P619" s="91"/>
      <c r="Q619" s="92"/>
      <c r="R619" s="93">
        <v>920</v>
      </c>
      <c r="S619" s="93">
        <f>N619*R619</f>
        <v>13645440</v>
      </c>
      <c r="T619" s="33"/>
      <c r="U619" s="34"/>
      <c r="V619" s="35">
        <v>1400</v>
      </c>
      <c r="W619" s="36">
        <f>N619*V619</f>
        <v>20764800</v>
      </c>
      <c r="X619" s="93"/>
      <c r="Z619" s="18">
        <f t="shared" si="49"/>
        <v>7119360</v>
      </c>
      <c r="AA619" s="17"/>
      <c r="AB619" s="17"/>
      <c r="AC619" s="17"/>
      <c r="AD619" s="17"/>
      <c r="AE619" s="17"/>
    </row>
    <row r="620" spans="1:31" s="21" customFormat="1" ht="16" customHeight="1" x14ac:dyDescent="0.45">
      <c r="A620" s="1">
        <v>2508</v>
      </c>
      <c r="B620" s="2">
        <v>45895</v>
      </c>
      <c r="C620" s="3"/>
      <c r="D620" s="4" t="s">
        <v>66</v>
      </c>
      <c r="E620" s="5" t="s">
        <v>109</v>
      </c>
      <c r="F620" s="5"/>
      <c r="G620" s="5" t="s">
        <v>109</v>
      </c>
      <c r="H620" s="19" t="s">
        <v>469</v>
      </c>
      <c r="I620" s="19" t="s">
        <v>468</v>
      </c>
      <c r="J620" s="19"/>
      <c r="K620" s="20"/>
      <c r="L620" s="6">
        <v>6</v>
      </c>
      <c r="M620" s="7"/>
      <c r="N620" s="8">
        <v>1758</v>
      </c>
      <c r="O620" s="9"/>
      <c r="P620" s="10"/>
      <c r="Q620" s="11"/>
      <c r="R620" s="12">
        <v>800</v>
      </c>
      <c r="S620" s="12">
        <f>N620*R620</f>
        <v>1406400</v>
      </c>
      <c r="T620" s="13"/>
      <c r="U620" s="14"/>
      <c r="V620" s="15" t="s">
        <v>470</v>
      </c>
      <c r="W620" s="16"/>
      <c r="X620" s="12"/>
      <c r="Y620" s="17"/>
      <c r="Z620" s="18">
        <f t="shared" si="49"/>
        <v>-1406400</v>
      </c>
      <c r="AA620" s="17"/>
      <c r="AB620" s="17"/>
      <c r="AC620" s="17"/>
      <c r="AD620" s="17"/>
      <c r="AE620" s="17"/>
    </row>
    <row r="621" spans="1:31" ht="16" customHeight="1" x14ac:dyDescent="0.45">
      <c r="A621" s="1">
        <v>2508</v>
      </c>
      <c r="B621" s="2">
        <v>45896</v>
      </c>
      <c r="D621" s="4" t="s">
        <v>471</v>
      </c>
      <c r="E621" s="5" t="s">
        <v>302</v>
      </c>
      <c r="G621" s="5" t="s">
        <v>31</v>
      </c>
      <c r="H621" s="19" t="s">
        <v>365</v>
      </c>
      <c r="I621" s="19" t="s">
        <v>472</v>
      </c>
      <c r="M621" s="7">
        <v>180</v>
      </c>
      <c r="P621" s="141">
        <v>3750</v>
      </c>
      <c r="Q621" s="95">
        <f>M621*P621</f>
        <v>675000</v>
      </c>
      <c r="Z621" s="18">
        <f t="shared" si="49"/>
        <v>-675000</v>
      </c>
    </row>
    <row r="622" spans="1:31" ht="16" customHeight="1" x14ac:dyDescent="0.45">
      <c r="A622" s="1">
        <v>2508</v>
      </c>
      <c r="B622" s="2">
        <v>45896</v>
      </c>
      <c r="D622" s="4" t="s">
        <v>471</v>
      </c>
      <c r="E622" s="5" t="s">
        <v>302</v>
      </c>
      <c r="G622" s="5" t="s">
        <v>31</v>
      </c>
      <c r="H622" s="19" t="s">
        <v>365</v>
      </c>
      <c r="I622" s="19" t="s">
        <v>473</v>
      </c>
      <c r="M622" s="7">
        <v>160</v>
      </c>
      <c r="P622" s="141">
        <v>3750</v>
      </c>
      <c r="Q622" s="95">
        <f>M622*P622</f>
        <v>600000</v>
      </c>
      <c r="Z622" s="18">
        <f t="shared" si="49"/>
        <v>-600000</v>
      </c>
    </row>
    <row r="623" spans="1:31" ht="16" customHeight="1" x14ac:dyDescent="0.45">
      <c r="A623" s="1">
        <v>2508</v>
      </c>
      <c r="B623" s="2">
        <v>45896</v>
      </c>
      <c r="D623" s="4" t="s">
        <v>471</v>
      </c>
      <c r="E623" s="5" t="s">
        <v>302</v>
      </c>
      <c r="G623" s="5" t="s">
        <v>31</v>
      </c>
      <c r="H623" s="19" t="s">
        <v>365</v>
      </c>
      <c r="I623" s="19" t="s">
        <v>474</v>
      </c>
      <c r="M623" s="7">
        <v>20</v>
      </c>
      <c r="P623" s="141">
        <v>3950</v>
      </c>
      <c r="Q623" s="95">
        <f>M623*P623</f>
        <v>79000</v>
      </c>
      <c r="Z623" s="18">
        <f t="shared" si="49"/>
        <v>-79000</v>
      </c>
    </row>
    <row r="624" spans="1:31" ht="16" customHeight="1" x14ac:dyDescent="0.45">
      <c r="A624" s="1">
        <v>2508</v>
      </c>
      <c r="B624" s="2">
        <v>45896</v>
      </c>
      <c r="D624" s="4" t="s">
        <v>471</v>
      </c>
      <c r="E624" s="5" t="s">
        <v>302</v>
      </c>
      <c r="G624" s="5" t="s">
        <v>31</v>
      </c>
      <c r="H624" s="19" t="s">
        <v>365</v>
      </c>
      <c r="I624" s="19" t="s">
        <v>475</v>
      </c>
      <c r="M624" s="7">
        <v>40</v>
      </c>
      <c r="P624" s="141">
        <v>3750</v>
      </c>
      <c r="Q624" s="95">
        <f>M624*P624</f>
        <v>150000</v>
      </c>
      <c r="Z624" s="18">
        <f t="shared" si="49"/>
        <v>-150000</v>
      </c>
    </row>
    <row r="625" spans="1:31" ht="16" customHeight="1" x14ac:dyDescent="0.45">
      <c r="A625" s="1">
        <v>2508</v>
      </c>
      <c r="B625" s="2">
        <v>45876</v>
      </c>
      <c r="D625" s="4" t="s">
        <v>80</v>
      </c>
      <c r="E625" s="5" t="s">
        <v>30</v>
      </c>
      <c r="G625" s="5" t="s">
        <v>31</v>
      </c>
      <c r="H625" s="19" t="s">
        <v>100</v>
      </c>
      <c r="L625" s="6">
        <v>2</v>
      </c>
      <c r="M625" s="7">
        <v>1032</v>
      </c>
      <c r="P625" s="141">
        <v>2535</v>
      </c>
      <c r="Q625" s="95">
        <f>M625*P626</f>
        <v>2570712</v>
      </c>
      <c r="Z625" s="18">
        <f t="shared" si="49"/>
        <v>-2570712</v>
      </c>
    </row>
    <row r="626" spans="1:31" ht="16" customHeight="1" x14ac:dyDescent="0.45">
      <c r="A626" s="1">
        <v>2508</v>
      </c>
      <c r="B626" s="2">
        <v>45876</v>
      </c>
      <c r="D626" s="4" t="s">
        <v>80</v>
      </c>
      <c r="E626" s="5" t="s">
        <v>30</v>
      </c>
      <c r="G626" s="5" t="s">
        <v>31</v>
      </c>
      <c r="H626" s="19" t="s">
        <v>143</v>
      </c>
      <c r="L626" s="6">
        <v>1</v>
      </c>
      <c r="M626" s="7">
        <v>500</v>
      </c>
      <c r="P626" s="141">
        <v>2491</v>
      </c>
      <c r="Q626" s="95">
        <f>M626*P626</f>
        <v>1245500</v>
      </c>
      <c r="Z626" s="18">
        <f t="shared" si="49"/>
        <v>-1245500</v>
      </c>
    </row>
    <row r="627" spans="1:31" ht="16" customHeight="1" x14ac:dyDescent="0.45">
      <c r="A627" s="1">
        <v>2508</v>
      </c>
      <c r="B627" s="2">
        <v>45895</v>
      </c>
      <c r="C627" s="24"/>
      <c r="D627" s="4" t="s">
        <v>222</v>
      </c>
      <c r="E627" s="5" t="s">
        <v>31</v>
      </c>
      <c r="G627" s="5" t="s">
        <v>31</v>
      </c>
      <c r="H627" s="19" t="s">
        <v>476</v>
      </c>
      <c r="L627" s="6">
        <v>10</v>
      </c>
      <c r="N627" s="8">
        <v>7357</v>
      </c>
      <c r="O627" s="9">
        <v>6727</v>
      </c>
      <c r="P627" s="141"/>
      <c r="Q627" s="95"/>
      <c r="R627" s="12">
        <v>1900</v>
      </c>
      <c r="S627" s="12">
        <f>N627*R627</f>
        <v>13978300</v>
      </c>
      <c r="T627" s="33"/>
      <c r="U627" s="34"/>
      <c r="V627" s="15">
        <v>3000</v>
      </c>
      <c r="W627" s="16">
        <f>O627*V627</f>
        <v>20181000</v>
      </c>
      <c r="Z627" s="18">
        <f t="shared" si="49"/>
        <v>6202700</v>
      </c>
    </row>
    <row r="628" spans="1:31" ht="16" customHeight="1" x14ac:dyDescent="0.45">
      <c r="A628" s="1">
        <v>2508</v>
      </c>
      <c r="B628" s="23">
        <v>45889</v>
      </c>
      <c r="C628" s="24"/>
      <c r="D628" s="25" t="s">
        <v>211</v>
      </c>
      <c r="E628" s="26" t="s">
        <v>1</v>
      </c>
      <c r="F628" s="26"/>
      <c r="G628" s="26" t="s">
        <v>1</v>
      </c>
      <c r="H628" s="27" t="s">
        <v>477</v>
      </c>
      <c r="I628" s="27" t="s">
        <v>14</v>
      </c>
      <c r="J628" s="27"/>
      <c r="K628" s="28">
        <v>24</v>
      </c>
      <c r="L628" s="29"/>
      <c r="M628" s="30"/>
      <c r="N628" s="31"/>
      <c r="O628" s="32">
        <v>1376</v>
      </c>
      <c r="P628" s="91"/>
      <c r="Q628" s="92"/>
      <c r="R628" s="93">
        <v>2350</v>
      </c>
      <c r="S628" s="93">
        <f>O628*R628</f>
        <v>3233600</v>
      </c>
      <c r="T628" s="33"/>
      <c r="U628" s="34"/>
      <c r="V628" s="35">
        <v>4700</v>
      </c>
      <c r="W628" s="36">
        <f>O628*V628</f>
        <v>6467200</v>
      </c>
      <c r="X628" s="93"/>
      <c r="Y628" s="21"/>
      <c r="Z628" s="18">
        <f t="shared" si="49"/>
        <v>3233600</v>
      </c>
    </row>
    <row r="629" spans="1:31" ht="16" customHeight="1" x14ac:dyDescent="0.45">
      <c r="A629" s="1">
        <v>2508</v>
      </c>
      <c r="B629" s="23">
        <v>45883</v>
      </c>
      <c r="C629" s="24"/>
      <c r="D629" s="25" t="s">
        <v>211</v>
      </c>
      <c r="E629" s="26" t="s">
        <v>1</v>
      </c>
      <c r="F629" s="26"/>
      <c r="G629" s="26" t="s">
        <v>1</v>
      </c>
      <c r="H629" s="27" t="s">
        <v>383</v>
      </c>
      <c r="I629" s="27" t="s">
        <v>14</v>
      </c>
      <c r="J629" s="27"/>
      <c r="K629" s="28">
        <v>23</v>
      </c>
      <c r="L629" s="29">
        <v>3</v>
      </c>
      <c r="M629" s="30"/>
      <c r="N629" s="31"/>
      <c r="O629" s="32">
        <v>1386</v>
      </c>
      <c r="P629" s="91"/>
      <c r="Q629" s="92"/>
      <c r="R629" s="93">
        <v>2350</v>
      </c>
      <c r="S629" s="93">
        <f>O629*R629</f>
        <v>3257100</v>
      </c>
      <c r="T629" s="33"/>
      <c r="U629" s="34"/>
      <c r="V629" s="35">
        <v>4700</v>
      </c>
      <c r="W629" s="36">
        <f>O629*V629</f>
        <v>6514200</v>
      </c>
      <c r="X629" s="93"/>
      <c r="Y629" s="21"/>
      <c r="Z629" s="18">
        <f t="shared" si="49"/>
        <v>3257100</v>
      </c>
    </row>
    <row r="630" spans="1:31" ht="16" customHeight="1" x14ac:dyDescent="0.45">
      <c r="A630" s="1">
        <v>2508</v>
      </c>
      <c r="B630" s="23">
        <v>45896</v>
      </c>
      <c r="C630" s="24"/>
      <c r="D630" s="25" t="s">
        <v>211</v>
      </c>
      <c r="E630" s="26" t="s">
        <v>1</v>
      </c>
      <c r="F630" s="26"/>
      <c r="G630" s="26" t="s">
        <v>1</v>
      </c>
      <c r="H630" s="27" t="s">
        <v>383</v>
      </c>
      <c r="I630" s="27" t="s">
        <v>14</v>
      </c>
      <c r="J630" s="27"/>
      <c r="K630" s="28">
        <v>26</v>
      </c>
      <c r="L630" s="29">
        <v>4</v>
      </c>
      <c r="M630" s="30"/>
      <c r="N630" s="31"/>
      <c r="O630" s="32">
        <v>1390</v>
      </c>
      <c r="P630" s="91"/>
      <c r="Q630" s="92"/>
      <c r="R630" s="93">
        <v>2350</v>
      </c>
      <c r="S630" s="93">
        <f>O630*R630</f>
        <v>3266500</v>
      </c>
      <c r="T630" s="33"/>
      <c r="U630" s="34"/>
      <c r="V630" s="35" t="s">
        <v>228</v>
      </c>
      <c r="W630" s="36"/>
      <c r="X630" s="93"/>
      <c r="Y630" s="21"/>
      <c r="Z630" s="18">
        <f t="shared" si="49"/>
        <v>-3266500</v>
      </c>
    </row>
    <row r="631" spans="1:31" ht="16" customHeight="1" x14ac:dyDescent="0.45">
      <c r="A631" s="1">
        <v>2508</v>
      </c>
      <c r="B631" s="2">
        <v>45895</v>
      </c>
      <c r="D631" s="4" t="s">
        <v>339</v>
      </c>
      <c r="E631" s="5" t="s">
        <v>463</v>
      </c>
      <c r="G631" s="5" t="s">
        <v>28</v>
      </c>
      <c r="H631" s="19" t="s">
        <v>396</v>
      </c>
      <c r="L631" s="6">
        <v>2</v>
      </c>
      <c r="M631" s="7">
        <v>847.5</v>
      </c>
      <c r="R631" s="12">
        <v>1000</v>
      </c>
      <c r="S631" s="12">
        <f>M631*R631</f>
        <v>847500</v>
      </c>
      <c r="Z631" s="18">
        <f t="shared" si="49"/>
        <v>-847500</v>
      </c>
    </row>
    <row r="632" spans="1:31" s="21" customFormat="1" ht="16" customHeight="1" x14ac:dyDescent="0.45">
      <c r="A632" s="1">
        <v>2508</v>
      </c>
      <c r="B632" s="2">
        <v>45895</v>
      </c>
      <c r="C632" s="3"/>
      <c r="D632" s="4" t="s">
        <v>339</v>
      </c>
      <c r="E632" s="5" t="s">
        <v>463</v>
      </c>
      <c r="F632" s="5"/>
      <c r="G632" s="5" t="s">
        <v>28</v>
      </c>
      <c r="H632" s="19" t="s">
        <v>357</v>
      </c>
      <c r="I632" s="19"/>
      <c r="J632" s="19"/>
      <c r="K632" s="20"/>
      <c r="L632" s="6">
        <v>1</v>
      </c>
      <c r="M632" s="7">
        <v>416.7</v>
      </c>
      <c r="N632" s="8"/>
      <c r="O632" s="9"/>
      <c r="P632" s="10"/>
      <c r="Q632" s="11"/>
      <c r="R632" s="12">
        <v>1000</v>
      </c>
      <c r="S632" s="12">
        <f>M632*R632</f>
        <v>416700</v>
      </c>
      <c r="T632" s="13"/>
      <c r="U632" s="14"/>
      <c r="V632" s="15"/>
      <c r="W632" s="16"/>
      <c r="X632" s="12"/>
      <c r="Y632" s="17"/>
      <c r="Z632" s="18">
        <f t="shared" si="49"/>
        <v>-416700</v>
      </c>
      <c r="AA632" s="17"/>
      <c r="AB632" s="17"/>
      <c r="AC632" s="17"/>
      <c r="AD632" s="17"/>
      <c r="AE632" s="17"/>
    </row>
    <row r="633" spans="1:31" ht="16" customHeight="1" x14ac:dyDescent="0.45">
      <c r="A633" s="1">
        <v>2508</v>
      </c>
      <c r="B633" s="2">
        <v>45874</v>
      </c>
      <c r="D633" s="4" t="s">
        <v>339</v>
      </c>
      <c r="E633" s="5" t="s">
        <v>27</v>
      </c>
      <c r="G633" s="5" t="s">
        <v>28</v>
      </c>
      <c r="H633" s="19" t="s">
        <v>396</v>
      </c>
      <c r="M633" s="7">
        <v>1080.2</v>
      </c>
      <c r="R633" s="12">
        <v>1000</v>
      </c>
      <c r="S633" s="12">
        <f>M633*R633</f>
        <v>1080200</v>
      </c>
      <c r="Z633" s="18">
        <f t="shared" si="49"/>
        <v>-1080200</v>
      </c>
    </row>
    <row r="634" spans="1:31" ht="16" customHeight="1" x14ac:dyDescent="0.45">
      <c r="A634" s="1">
        <v>2508</v>
      </c>
      <c r="B634" s="2">
        <v>45896</v>
      </c>
      <c r="D634" s="4" t="s">
        <v>339</v>
      </c>
      <c r="E634" s="5" t="s">
        <v>27</v>
      </c>
      <c r="G634" s="5" t="s">
        <v>28</v>
      </c>
      <c r="H634" s="19" t="s">
        <v>396</v>
      </c>
      <c r="L634" s="6">
        <v>2</v>
      </c>
      <c r="M634" s="7">
        <v>837.7</v>
      </c>
      <c r="R634" s="12">
        <v>1000</v>
      </c>
      <c r="S634" s="12">
        <f>M634*R634</f>
        <v>837700</v>
      </c>
      <c r="Z634" s="18">
        <f t="shared" si="49"/>
        <v>-837700</v>
      </c>
    </row>
    <row r="635" spans="1:31" ht="16" customHeight="1" x14ac:dyDescent="0.45">
      <c r="A635" s="1">
        <v>2508</v>
      </c>
      <c r="B635" s="2">
        <v>45896</v>
      </c>
      <c r="D635" s="4" t="s">
        <v>339</v>
      </c>
      <c r="E635" s="5" t="s">
        <v>27</v>
      </c>
      <c r="G635" s="5" t="s">
        <v>28</v>
      </c>
      <c r="H635" s="19" t="s">
        <v>357</v>
      </c>
      <c r="L635" s="6">
        <v>1</v>
      </c>
      <c r="M635" s="7">
        <v>417.5</v>
      </c>
      <c r="R635" s="12">
        <v>1000</v>
      </c>
      <c r="S635" s="12">
        <f>M635*R635</f>
        <v>417500</v>
      </c>
      <c r="Z635" s="18">
        <f t="shared" si="49"/>
        <v>-417500</v>
      </c>
    </row>
    <row r="636" spans="1:31" s="21" customFormat="1" ht="16" customHeight="1" x14ac:dyDescent="0.45">
      <c r="A636" s="1">
        <v>2508</v>
      </c>
      <c r="B636" s="2">
        <v>45894</v>
      </c>
      <c r="C636" s="3"/>
      <c r="D636" s="4" t="s">
        <v>430</v>
      </c>
      <c r="E636" s="5" t="s">
        <v>339</v>
      </c>
      <c r="F636" s="5"/>
      <c r="G636" s="5" t="s">
        <v>28</v>
      </c>
      <c r="H636" s="19" t="s">
        <v>95</v>
      </c>
      <c r="I636" s="19" t="s">
        <v>120</v>
      </c>
      <c r="J636" s="19"/>
      <c r="K636" s="20"/>
      <c r="L636" s="6">
        <v>36</v>
      </c>
      <c r="M636" s="7">
        <v>1015.8</v>
      </c>
      <c r="N636" s="8"/>
      <c r="O636" s="9"/>
      <c r="P636" s="10">
        <v>4000</v>
      </c>
      <c r="Q636" s="11">
        <f>M636*P636</f>
        <v>4063200</v>
      </c>
      <c r="R636" s="12"/>
      <c r="S636" s="12"/>
      <c r="T636" s="13"/>
      <c r="U636" s="14"/>
      <c r="V636" s="15"/>
      <c r="W636" s="16"/>
      <c r="X636" s="12"/>
      <c r="Y636" s="17"/>
      <c r="Z636" s="18">
        <f t="shared" si="49"/>
        <v>-4063200</v>
      </c>
      <c r="AA636" s="17"/>
      <c r="AB636" s="17"/>
      <c r="AC636" s="17"/>
      <c r="AD636" s="17"/>
      <c r="AE636" s="17"/>
    </row>
    <row r="637" spans="1:31" s="21" customFormat="1" ht="16" customHeight="1" x14ac:dyDescent="0.45">
      <c r="A637" s="1">
        <v>2508</v>
      </c>
      <c r="B637" s="2">
        <v>45877</v>
      </c>
      <c r="C637" s="3"/>
      <c r="D637" s="4" t="s">
        <v>93</v>
      </c>
      <c r="E637" s="5" t="s">
        <v>463</v>
      </c>
      <c r="F637" s="5"/>
      <c r="G637" s="5" t="s">
        <v>28</v>
      </c>
      <c r="H637" s="19" t="s">
        <v>396</v>
      </c>
      <c r="I637" s="19"/>
      <c r="J637" s="19"/>
      <c r="K637" s="20"/>
      <c r="L637" s="6">
        <v>3</v>
      </c>
      <c r="M637" s="7">
        <v>1233.75</v>
      </c>
      <c r="N637" s="8"/>
      <c r="O637" s="9"/>
      <c r="P637" s="10"/>
      <c r="Q637" s="11"/>
      <c r="R637" s="12">
        <v>1100</v>
      </c>
      <c r="S637" s="12">
        <f t="shared" ref="S637:S643" si="52">M637*R637</f>
        <v>1357125</v>
      </c>
      <c r="T637" s="13"/>
      <c r="U637" s="14"/>
      <c r="V637" s="15"/>
      <c r="W637" s="16"/>
      <c r="X637" s="12"/>
      <c r="Y637" s="17"/>
      <c r="Z637" s="18">
        <f t="shared" si="49"/>
        <v>-1357125</v>
      </c>
      <c r="AA637" s="17"/>
      <c r="AB637" s="17"/>
      <c r="AC637" s="17"/>
      <c r="AD637" s="17"/>
      <c r="AE637" s="17"/>
    </row>
    <row r="638" spans="1:31" s="21" customFormat="1" ht="16" customHeight="1" x14ac:dyDescent="0.45">
      <c r="A638" s="1">
        <v>2508</v>
      </c>
      <c r="B638" s="2">
        <v>45877</v>
      </c>
      <c r="C638" s="3"/>
      <c r="D638" s="4" t="s">
        <v>93</v>
      </c>
      <c r="E638" s="5" t="s">
        <v>463</v>
      </c>
      <c r="F638" s="5"/>
      <c r="G638" s="5" t="s">
        <v>28</v>
      </c>
      <c r="H638" s="19" t="s">
        <v>310</v>
      </c>
      <c r="I638" s="19"/>
      <c r="J638" s="19"/>
      <c r="K638" s="20"/>
      <c r="L638" s="6"/>
      <c r="M638" s="7">
        <v>420</v>
      </c>
      <c r="N638" s="8"/>
      <c r="O638" s="9"/>
      <c r="P638" s="10"/>
      <c r="Q638" s="11"/>
      <c r="R638" s="12">
        <v>1100</v>
      </c>
      <c r="S638" s="12">
        <f t="shared" si="52"/>
        <v>462000</v>
      </c>
      <c r="T638" s="13"/>
      <c r="U638" s="14"/>
      <c r="V638" s="15"/>
      <c r="W638" s="16"/>
      <c r="X638" s="12"/>
      <c r="Y638" s="17"/>
      <c r="Z638" s="18">
        <f t="shared" si="49"/>
        <v>-462000</v>
      </c>
      <c r="AA638" s="17"/>
      <c r="AB638" s="17"/>
      <c r="AC638" s="17"/>
      <c r="AD638" s="17"/>
      <c r="AE638" s="17"/>
    </row>
    <row r="639" spans="1:31" s="21" customFormat="1" ht="16" customHeight="1" x14ac:dyDescent="0.45">
      <c r="A639" s="1">
        <v>2508</v>
      </c>
      <c r="B639" s="2">
        <v>45877</v>
      </c>
      <c r="C639" s="3"/>
      <c r="D639" s="4" t="s">
        <v>93</v>
      </c>
      <c r="E639" s="5" t="s">
        <v>463</v>
      </c>
      <c r="F639" s="5"/>
      <c r="G639" s="5" t="s">
        <v>28</v>
      </c>
      <c r="H639" s="19" t="s">
        <v>95</v>
      </c>
      <c r="I639" s="19"/>
      <c r="J639" s="19"/>
      <c r="K639" s="20"/>
      <c r="L639" s="6"/>
      <c r="M639" s="7">
        <v>355.25</v>
      </c>
      <c r="N639" s="8"/>
      <c r="O639" s="9"/>
      <c r="P639" s="10"/>
      <c r="Q639" s="11"/>
      <c r="R639" s="12">
        <v>1100</v>
      </c>
      <c r="S639" s="12">
        <f t="shared" si="52"/>
        <v>390775</v>
      </c>
      <c r="T639" s="13"/>
      <c r="U639" s="14"/>
      <c r="V639" s="15"/>
      <c r="W639" s="16"/>
      <c r="X639" s="12"/>
      <c r="Y639" s="17"/>
      <c r="Z639" s="18">
        <f t="shared" si="49"/>
        <v>-390775</v>
      </c>
      <c r="AA639" s="17"/>
      <c r="AB639" s="17"/>
      <c r="AC639" s="17"/>
      <c r="AD639" s="17"/>
      <c r="AE639" s="17"/>
    </row>
    <row r="640" spans="1:31" s="21" customFormat="1" ht="16" customHeight="1" x14ac:dyDescent="0.45">
      <c r="A640" s="1">
        <v>2508</v>
      </c>
      <c r="B640" s="2">
        <v>45894</v>
      </c>
      <c r="C640" s="3"/>
      <c r="D640" s="4" t="s">
        <v>93</v>
      </c>
      <c r="E640" s="5" t="s">
        <v>463</v>
      </c>
      <c r="F640" s="5"/>
      <c r="G640" s="5" t="s">
        <v>28</v>
      </c>
      <c r="H640" s="19" t="s">
        <v>95</v>
      </c>
      <c r="I640" s="19"/>
      <c r="J640" s="19"/>
      <c r="K640" s="20"/>
      <c r="L640" s="6"/>
      <c r="M640" s="7">
        <v>158.4</v>
      </c>
      <c r="N640" s="8"/>
      <c r="O640" s="9"/>
      <c r="P640" s="10"/>
      <c r="Q640" s="11"/>
      <c r="R640" s="12">
        <v>1100</v>
      </c>
      <c r="S640" s="12">
        <f t="shared" si="52"/>
        <v>174240</v>
      </c>
      <c r="T640" s="13"/>
      <c r="U640" s="14"/>
      <c r="V640" s="15"/>
      <c r="W640" s="16"/>
      <c r="X640" s="12"/>
      <c r="Y640" s="17"/>
      <c r="Z640" s="18">
        <f t="shared" si="49"/>
        <v>-174240</v>
      </c>
      <c r="AA640" s="17"/>
      <c r="AB640" s="17"/>
      <c r="AC640" s="17"/>
      <c r="AD640" s="17"/>
      <c r="AE640" s="17"/>
    </row>
    <row r="641" spans="1:31" s="21" customFormat="1" ht="16" customHeight="1" x14ac:dyDescent="0.45">
      <c r="A641" s="1">
        <v>2508</v>
      </c>
      <c r="B641" s="2">
        <v>45894</v>
      </c>
      <c r="C641" s="3"/>
      <c r="D641" s="4" t="s">
        <v>93</v>
      </c>
      <c r="E641" s="5" t="s">
        <v>463</v>
      </c>
      <c r="F641" s="5"/>
      <c r="G641" s="5" t="s">
        <v>28</v>
      </c>
      <c r="H641" s="19" t="s">
        <v>310</v>
      </c>
      <c r="I641" s="19"/>
      <c r="J641" s="19"/>
      <c r="K641" s="20"/>
      <c r="L641" s="6"/>
      <c r="M641" s="7">
        <v>112.4</v>
      </c>
      <c r="N641" s="8"/>
      <c r="O641" s="9"/>
      <c r="P641" s="10"/>
      <c r="Q641" s="11"/>
      <c r="R641" s="12">
        <v>1100</v>
      </c>
      <c r="S641" s="12">
        <f t="shared" si="52"/>
        <v>123640</v>
      </c>
      <c r="T641" s="13"/>
      <c r="U641" s="14"/>
      <c r="V641" s="15"/>
      <c r="W641" s="16"/>
      <c r="X641" s="12"/>
      <c r="Y641" s="17"/>
      <c r="Z641" s="18">
        <f t="shared" si="49"/>
        <v>-123640</v>
      </c>
      <c r="AA641" s="17"/>
      <c r="AB641" s="17"/>
      <c r="AC641" s="17"/>
      <c r="AD641" s="17"/>
      <c r="AE641" s="17"/>
    </row>
    <row r="642" spans="1:31" s="21" customFormat="1" ht="16" customHeight="1" x14ac:dyDescent="0.45">
      <c r="A642" s="1">
        <v>2508</v>
      </c>
      <c r="B642" s="2">
        <v>45882</v>
      </c>
      <c r="C642" s="3"/>
      <c r="D642" s="4" t="s">
        <v>27</v>
      </c>
      <c r="E642" s="5" t="s">
        <v>37</v>
      </c>
      <c r="F642" s="5"/>
      <c r="G642" s="5" t="s">
        <v>28</v>
      </c>
      <c r="H642" s="19" t="s">
        <v>33</v>
      </c>
      <c r="I642" s="19"/>
      <c r="J642" s="19"/>
      <c r="K642" s="20"/>
      <c r="L642" s="6">
        <v>273</v>
      </c>
      <c r="M642" s="7">
        <v>4777.5</v>
      </c>
      <c r="N642" s="8"/>
      <c r="O642" s="9"/>
      <c r="P642" s="10"/>
      <c r="Q642" s="11"/>
      <c r="R642" s="12">
        <v>2100</v>
      </c>
      <c r="S642" s="12">
        <f t="shared" si="52"/>
        <v>10032750</v>
      </c>
      <c r="T642" s="13"/>
      <c r="U642" s="14"/>
      <c r="V642" s="15"/>
      <c r="W642" s="16"/>
      <c r="X642" s="12"/>
      <c r="Y642" s="17"/>
      <c r="Z642" s="18">
        <f t="shared" ref="Z642:Z705" si="53">W642-S642-Q642</f>
        <v>-10032750</v>
      </c>
      <c r="AA642" s="17"/>
      <c r="AB642" s="17"/>
      <c r="AC642" s="17"/>
      <c r="AD642" s="17"/>
      <c r="AE642" s="17"/>
    </row>
    <row r="643" spans="1:31" ht="16" customHeight="1" x14ac:dyDescent="0.45">
      <c r="A643" s="1">
        <v>2508</v>
      </c>
      <c r="B643" s="2">
        <v>45876</v>
      </c>
      <c r="D643" s="4" t="s">
        <v>27</v>
      </c>
      <c r="E643" s="5" t="s">
        <v>37</v>
      </c>
      <c r="G643" s="5" t="s">
        <v>28</v>
      </c>
      <c r="H643" s="19" t="s">
        <v>33</v>
      </c>
      <c r="L643" s="6">
        <v>189</v>
      </c>
      <c r="M643" s="7">
        <v>3307.5</v>
      </c>
      <c r="R643" s="12">
        <v>2100</v>
      </c>
      <c r="S643" s="12">
        <f t="shared" si="52"/>
        <v>6945750</v>
      </c>
      <c r="Z643" s="18">
        <f t="shared" si="53"/>
        <v>-6945750</v>
      </c>
    </row>
    <row r="644" spans="1:31" ht="16" customHeight="1" x14ac:dyDescent="0.45">
      <c r="A644" s="1">
        <v>2508</v>
      </c>
      <c r="B644" s="2">
        <v>45900</v>
      </c>
      <c r="D644" s="4" t="s">
        <v>27</v>
      </c>
      <c r="G644" s="5" t="s">
        <v>28</v>
      </c>
      <c r="H644" s="19" t="s">
        <v>456</v>
      </c>
      <c r="M644" s="7">
        <v>1697.9</v>
      </c>
      <c r="P644" s="10">
        <v>2390</v>
      </c>
      <c r="Q644" s="11">
        <f>M644*P644</f>
        <v>4057981</v>
      </c>
      <c r="Z644" s="18">
        <f t="shared" si="53"/>
        <v>-4057981</v>
      </c>
    </row>
    <row r="645" spans="1:31" ht="16" customHeight="1" x14ac:dyDescent="0.45">
      <c r="A645" s="1">
        <v>2508</v>
      </c>
      <c r="B645" s="2">
        <v>45882</v>
      </c>
      <c r="D645" s="4" t="s">
        <v>35</v>
      </c>
      <c r="E645" s="5" t="s">
        <v>10</v>
      </c>
      <c r="G645" s="5" t="s">
        <v>1</v>
      </c>
      <c r="H645" s="19" t="s">
        <v>478</v>
      </c>
      <c r="I645" s="19" t="s">
        <v>53</v>
      </c>
      <c r="L645" s="6">
        <v>6</v>
      </c>
      <c r="M645" s="7">
        <v>85.8</v>
      </c>
      <c r="N645" s="8">
        <v>1224</v>
      </c>
      <c r="R645" s="12">
        <v>900</v>
      </c>
      <c r="S645" s="12">
        <f>N645*R645</f>
        <v>1101600</v>
      </c>
      <c r="Z645" s="18">
        <f t="shared" si="53"/>
        <v>-1101600</v>
      </c>
    </row>
    <row r="646" spans="1:31" ht="16" customHeight="1" x14ac:dyDescent="0.45">
      <c r="A646" s="1">
        <v>2508</v>
      </c>
      <c r="B646" s="2">
        <v>45898</v>
      </c>
      <c r="D646" s="4" t="s">
        <v>35</v>
      </c>
      <c r="E646" s="5" t="s">
        <v>10</v>
      </c>
      <c r="G646" s="5" t="s">
        <v>19</v>
      </c>
      <c r="H646" s="19" t="s">
        <v>104</v>
      </c>
      <c r="I646" s="19" t="s">
        <v>36</v>
      </c>
      <c r="L646" s="6">
        <v>13</v>
      </c>
      <c r="M646" s="7">
        <v>331.78</v>
      </c>
      <c r="N646" s="8">
        <v>6507</v>
      </c>
      <c r="R646" s="12">
        <v>970</v>
      </c>
      <c r="S646" s="12">
        <f>N646*R646</f>
        <v>6311790</v>
      </c>
      <c r="Z646" s="18">
        <f t="shared" si="53"/>
        <v>-6311790</v>
      </c>
    </row>
    <row r="647" spans="1:31" ht="16" customHeight="1" x14ac:dyDescent="0.45">
      <c r="A647" s="1">
        <v>2508</v>
      </c>
      <c r="B647" s="2">
        <v>45897</v>
      </c>
      <c r="D647" s="4" t="s">
        <v>35</v>
      </c>
      <c r="E647" s="5" t="s">
        <v>10</v>
      </c>
      <c r="G647" s="5" t="s">
        <v>19</v>
      </c>
      <c r="H647" s="19" t="s">
        <v>104</v>
      </c>
      <c r="I647" s="19" t="s">
        <v>36</v>
      </c>
      <c r="L647" s="6">
        <v>9</v>
      </c>
      <c r="N647" s="8">
        <v>4520</v>
      </c>
      <c r="R647" s="12">
        <v>970</v>
      </c>
      <c r="S647" s="12">
        <f>N647*R647</f>
        <v>4384400</v>
      </c>
      <c r="Z647" s="18">
        <f t="shared" si="53"/>
        <v>-4384400</v>
      </c>
    </row>
    <row r="648" spans="1:31" ht="16" customHeight="1" x14ac:dyDescent="0.45">
      <c r="A648" s="1">
        <v>2508</v>
      </c>
      <c r="B648" s="2">
        <v>45897</v>
      </c>
      <c r="D648" s="4" t="s">
        <v>35</v>
      </c>
      <c r="E648" s="5" t="s">
        <v>10</v>
      </c>
      <c r="G648" s="5" t="s">
        <v>19</v>
      </c>
      <c r="H648" s="19" t="s">
        <v>104</v>
      </c>
      <c r="I648" s="19" t="s">
        <v>53</v>
      </c>
      <c r="N648" s="8">
        <v>4414</v>
      </c>
      <c r="R648" s="12">
        <v>970</v>
      </c>
      <c r="S648" s="12">
        <f>N648*R648</f>
        <v>4281580</v>
      </c>
      <c r="Z648" s="18">
        <f t="shared" si="53"/>
        <v>-4281580</v>
      </c>
    </row>
    <row r="649" spans="1:31" ht="16" customHeight="1" x14ac:dyDescent="0.45">
      <c r="A649" s="1">
        <v>2508</v>
      </c>
      <c r="B649" s="2">
        <v>45888</v>
      </c>
      <c r="C649" s="24"/>
      <c r="D649" s="4" t="s">
        <v>37</v>
      </c>
      <c r="E649" s="5" t="s">
        <v>28</v>
      </c>
      <c r="G649" s="5" t="s">
        <v>28</v>
      </c>
      <c r="H649" s="19" t="s">
        <v>38</v>
      </c>
      <c r="I649" s="19" t="s">
        <v>39</v>
      </c>
      <c r="K649" s="73" t="s">
        <v>84</v>
      </c>
      <c r="L649" s="6">
        <v>31</v>
      </c>
      <c r="M649" s="7">
        <v>455.3</v>
      </c>
      <c r="O649" s="9">
        <v>721</v>
      </c>
      <c r="P649" s="141"/>
      <c r="Q649" s="95"/>
      <c r="R649" s="12">
        <v>2500</v>
      </c>
      <c r="S649" s="12">
        <f t="shared" ref="S649:S664" si="54">M649*R649</f>
        <v>1138250</v>
      </c>
      <c r="T649" s="33"/>
      <c r="U649" s="34"/>
      <c r="V649" s="15">
        <v>6700</v>
      </c>
      <c r="W649" s="16">
        <f t="shared" ref="W649:W664" si="55">O649*V649</f>
        <v>4830700</v>
      </c>
      <c r="Z649" s="18">
        <f t="shared" si="53"/>
        <v>3692450</v>
      </c>
    </row>
    <row r="650" spans="1:31" ht="16" customHeight="1" x14ac:dyDescent="0.45">
      <c r="A650" s="1">
        <v>2508</v>
      </c>
      <c r="B650" s="2">
        <v>45888</v>
      </c>
      <c r="C650" s="24"/>
      <c r="D650" s="4" t="s">
        <v>37</v>
      </c>
      <c r="E650" s="5" t="s">
        <v>28</v>
      </c>
      <c r="G650" s="5" t="s">
        <v>28</v>
      </c>
      <c r="H650" s="19" t="s">
        <v>38</v>
      </c>
      <c r="I650" s="19" t="s">
        <v>39</v>
      </c>
      <c r="K650" s="73" t="s">
        <v>85</v>
      </c>
      <c r="L650" s="6">
        <v>32</v>
      </c>
      <c r="M650" s="7">
        <v>484.9</v>
      </c>
      <c r="O650" s="9">
        <v>758</v>
      </c>
      <c r="P650" s="141"/>
      <c r="Q650" s="95"/>
      <c r="R650" s="12">
        <v>2500</v>
      </c>
      <c r="S650" s="12">
        <f t="shared" si="54"/>
        <v>1212250</v>
      </c>
      <c r="T650" s="33"/>
      <c r="U650" s="34"/>
      <c r="V650" s="15">
        <v>6700</v>
      </c>
      <c r="W650" s="16">
        <f t="shared" si="55"/>
        <v>5078600</v>
      </c>
      <c r="Z650" s="18">
        <f t="shared" si="53"/>
        <v>3866350</v>
      </c>
    </row>
    <row r="651" spans="1:31" ht="16" customHeight="1" x14ac:dyDescent="0.45">
      <c r="A651" s="1">
        <v>2508</v>
      </c>
      <c r="B651" s="2">
        <v>45888</v>
      </c>
      <c r="C651" s="24"/>
      <c r="D651" s="4" t="s">
        <v>37</v>
      </c>
      <c r="E651" s="5" t="s">
        <v>28</v>
      </c>
      <c r="G651" s="5" t="s">
        <v>28</v>
      </c>
      <c r="H651" s="19" t="s">
        <v>38</v>
      </c>
      <c r="I651" s="19" t="s">
        <v>39</v>
      </c>
      <c r="K651" s="73" t="s">
        <v>71</v>
      </c>
      <c r="L651" s="6">
        <v>32</v>
      </c>
      <c r="M651" s="7">
        <v>476.6</v>
      </c>
      <c r="O651" s="9">
        <v>749</v>
      </c>
      <c r="P651" s="141"/>
      <c r="Q651" s="95"/>
      <c r="R651" s="12">
        <v>2500</v>
      </c>
      <c r="S651" s="12">
        <f t="shared" si="54"/>
        <v>1191500</v>
      </c>
      <c r="T651" s="33"/>
      <c r="U651" s="34"/>
      <c r="V651" s="15">
        <v>6700</v>
      </c>
      <c r="W651" s="16">
        <f t="shared" si="55"/>
        <v>5018300</v>
      </c>
      <c r="Z651" s="18">
        <f t="shared" si="53"/>
        <v>3826800</v>
      </c>
    </row>
    <row r="652" spans="1:31" ht="16" customHeight="1" x14ac:dyDescent="0.45">
      <c r="A652" s="1">
        <v>2508</v>
      </c>
      <c r="B652" s="2">
        <v>45888</v>
      </c>
      <c r="C652" s="24"/>
      <c r="D652" s="4" t="s">
        <v>37</v>
      </c>
      <c r="E652" s="5" t="s">
        <v>28</v>
      </c>
      <c r="G652" s="5" t="s">
        <v>28</v>
      </c>
      <c r="H652" s="19" t="s">
        <v>38</v>
      </c>
      <c r="I652" s="19" t="s">
        <v>39</v>
      </c>
      <c r="K652" s="73" t="s">
        <v>73</v>
      </c>
      <c r="L652" s="6">
        <v>32</v>
      </c>
      <c r="M652" s="7">
        <v>480.3</v>
      </c>
      <c r="O652" s="9">
        <v>750</v>
      </c>
      <c r="P652" s="141"/>
      <c r="Q652" s="95"/>
      <c r="R652" s="12">
        <v>2500</v>
      </c>
      <c r="S652" s="12">
        <f t="shared" si="54"/>
        <v>1200750</v>
      </c>
      <c r="T652" s="33"/>
      <c r="U652" s="34"/>
      <c r="V652" s="15">
        <v>6700</v>
      </c>
      <c r="W652" s="16">
        <f t="shared" si="55"/>
        <v>5025000</v>
      </c>
      <c r="Z652" s="18">
        <f t="shared" si="53"/>
        <v>3824250</v>
      </c>
    </row>
    <row r="653" spans="1:31" ht="16" customHeight="1" x14ac:dyDescent="0.45">
      <c r="A653" s="1">
        <v>2508</v>
      </c>
      <c r="B653" s="2">
        <v>45883</v>
      </c>
      <c r="C653" s="24"/>
      <c r="D653" s="4" t="s">
        <v>37</v>
      </c>
      <c r="E653" s="5" t="s">
        <v>28</v>
      </c>
      <c r="G653" s="5" t="s">
        <v>28</v>
      </c>
      <c r="H653" s="19" t="s">
        <v>38</v>
      </c>
      <c r="I653" s="19" t="s">
        <v>39</v>
      </c>
      <c r="K653" s="73" t="s">
        <v>49</v>
      </c>
      <c r="L653" s="6">
        <v>32</v>
      </c>
      <c r="M653" s="7">
        <v>450.6</v>
      </c>
      <c r="O653" s="9">
        <v>714</v>
      </c>
      <c r="P653" s="141"/>
      <c r="Q653" s="95"/>
      <c r="R653" s="12">
        <v>2500</v>
      </c>
      <c r="S653" s="12">
        <f t="shared" si="54"/>
        <v>1126500</v>
      </c>
      <c r="T653" s="33"/>
      <c r="U653" s="34"/>
      <c r="V653" s="15">
        <v>6700</v>
      </c>
      <c r="W653" s="16">
        <f t="shared" si="55"/>
        <v>4783800</v>
      </c>
      <c r="Z653" s="18">
        <f t="shared" si="53"/>
        <v>3657300</v>
      </c>
    </row>
    <row r="654" spans="1:31" ht="16" customHeight="1" x14ac:dyDescent="0.45">
      <c r="A654" s="1">
        <v>2508</v>
      </c>
      <c r="B654" s="2">
        <v>45881</v>
      </c>
      <c r="C654" s="24"/>
      <c r="D654" s="4" t="s">
        <v>37</v>
      </c>
      <c r="E654" s="5" t="s">
        <v>28</v>
      </c>
      <c r="G654" s="5" t="s">
        <v>28</v>
      </c>
      <c r="H654" s="19" t="s">
        <v>38</v>
      </c>
      <c r="I654" s="19" t="s">
        <v>39</v>
      </c>
      <c r="K654" s="73" t="s">
        <v>46</v>
      </c>
      <c r="L654" s="6">
        <v>32</v>
      </c>
      <c r="M654" s="7">
        <v>474.5</v>
      </c>
      <c r="O654" s="9">
        <v>741</v>
      </c>
      <c r="P654" s="141"/>
      <c r="Q654" s="95"/>
      <c r="R654" s="12">
        <v>2500</v>
      </c>
      <c r="S654" s="12">
        <f t="shared" si="54"/>
        <v>1186250</v>
      </c>
      <c r="T654" s="33"/>
      <c r="U654" s="34"/>
      <c r="V654" s="15">
        <v>6700</v>
      </c>
      <c r="W654" s="16">
        <f t="shared" si="55"/>
        <v>4964700</v>
      </c>
      <c r="Z654" s="18">
        <f t="shared" si="53"/>
        <v>3778450</v>
      </c>
    </row>
    <row r="655" spans="1:31" ht="16" customHeight="1" x14ac:dyDescent="0.45">
      <c r="A655" s="1">
        <v>2508</v>
      </c>
      <c r="B655" s="2">
        <v>45881</v>
      </c>
      <c r="C655" s="24"/>
      <c r="D655" s="4" t="s">
        <v>37</v>
      </c>
      <c r="E655" s="5" t="s">
        <v>28</v>
      </c>
      <c r="G655" s="5" t="s">
        <v>28</v>
      </c>
      <c r="H655" s="19" t="s">
        <v>38</v>
      </c>
      <c r="I655" s="19" t="s">
        <v>39</v>
      </c>
      <c r="K655" s="73" t="s">
        <v>48</v>
      </c>
      <c r="L655" s="6">
        <v>32</v>
      </c>
      <c r="M655" s="7">
        <v>478.4</v>
      </c>
      <c r="O655" s="9">
        <v>738</v>
      </c>
      <c r="P655" s="141"/>
      <c r="Q655" s="95"/>
      <c r="R655" s="12">
        <v>2500</v>
      </c>
      <c r="S655" s="12">
        <f t="shared" si="54"/>
        <v>1196000</v>
      </c>
      <c r="T655" s="33"/>
      <c r="U655" s="34"/>
      <c r="V655" s="15">
        <v>6700</v>
      </c>
      <c r="W655" s="16">
        <f t="shared" si="55"/>
        <v>4944600</v>
      </c>
      <c r="Z655" s="18">
        <f t="shared" si="53"/>
        <v>3748600</v>
      </c>
    </row>
    <row r="656" spans="1:31" ht="16" customHeight="1" x14ac:dyDescent="0.45">
      <c r="A656" s="1">
        <v>2508</v>
      </c>
      <c r="B656" s="2">
        <v>45881</v>
      </c>
      <c r="C656" s="24"/>
      <c r="D656" s="4" t="s">
        <v>37</v>
      </c>
      <c r="E656" s="5" t="s">
        <v>28</v>
      </c>
      <c r="G656" s="5" t="s">
        <v>28</v>
      </c>
      <c r="H656" s="19" t="s">
        <v>38</v>
      </c>
      <c r="I656" s="19" t="s">
        <v>39</v>
      </c>
      <c r="K656" s="73" t="s">
        <v>50</v>
      </c>
      <c r="L656" s="6">
        <v>32</v>
      </c>
      <c r="M656" s="7">
        <v>489</v>
      </c>
      <c r="O656" s="9">
        <v>759</v>
      </c>
      <c r="P656" s="141"/>
      <c r="Q656" s="95"/>
      <c r="R656" s="12">
        <v>2500</v>
      </c>
      <c r="S656" s="12">
        <f t="shared" si="54"/>
        <v>1222500</v>
      </c>
      <c r="T656" s="33"/>
      <c r="U656" s="34"/>
      <c r="V656" s="15">
        <v>6700</v>
      </c>
      <c r="W656" s="16">
        <f t="shared" si="55"/>
        <v>5085300</v>
      </c>
      <c r="Z656" s="18">
        <f t="shared" si="53"/>
        <v>3862800</v>
      </c>
    </row>
    <row r="657" spans="1:26" ht="16" customHeight="1" x14ac:dyDescent="0.45">
      <c r="A657" s="1">
        <v>2508</v>
      </c>
      <c r="B657" s="2">
        <v>45881</v>
      </c>
      <c r="C657" s="24"/>
      <c r="D657" s="4" t="s">
        <v>37</v>
      </c>
      <c r="E657" s="5" t="s">
        <v>28</v>
      </c>
      <c r="G657" s="5" t="s">
        <v>28</v>
      </c>
      <c r="H657" s="19" t="s">
        <v>38</v>
      </c>
      <c r="I657" s="19" t="s">
        <v>39</v>
      </c>
      <c r="K657" s="73" t="s">
        <v>51</v>
      </c>
      <c r="L657" s="6">
        <v>32</v>
      </c>
      <c r="M657" s="7">
        <v>481</v>
      </c>
      <c r="O657" s="9">
        <v>740</v>
      </c>
      <c r="P657" s="141"/>
      <c r="Q657" s="95"/>
      <c r="R657" s="12">
        <v>2500</v>
      </c>
      <c r="S657" s="12">
        <f t="shared" si="54"/>
        <v>1202500</v>
      </c>
      <c r="T657" s="33"/>
      <c r="U657" s="34"/>
      <c r="V657" s="15">
        <v>6700</v>
      </c>
      <c r="W657" s="16">
        <f t="shared" si="55"/>
        <v>4958000</v>
      </c>
      <c r="Z657" s="18">
        <f t="shared" si="53"/>
        <v>3755500</v>
      </c>
    </row>
    <row r="658" spans="1:26" ht="16" customHeight="1" x14ac:dyDescent="0.45">
      <c r="A658" s="1">
        <v>2508</v>
      </c>
      <c r="B658" s="2">
        <v>45881</v>
      </c>
      <c r="C658" s="24"/>
      <c r="D658" s="4" t="s">
        <v>37</v>
      </c>
      <c r="E658" s="5" t="s">
        <v>28</v>
      </c>
      <c r="G658" s="5" t="s">
        <v>28</v>
      </c>
      <c r="H658" s="19" t="s">
        <v>38</v>
      </c>
      <c r="I658" s="19" t="s">
        <v>39</v>
      </c>
      <c r="K658" s="73" t="s">
        <v>83</v>
      </c>
      <c r="L658" s="6">
        <v>32</v>
      </c>
      <c r="M658" s="7">
        <v>480.6</v>
      </c>
      <c r="O658" s="9">
        <v>758</v>
      </c>
      <c r="P658" s="141"/>
      <c r="Q658" s="95"/>
      <c r="R658" s="12">
        <v>2500</v>
      </c>
      <c r="S658" s="12">
        <f t="shared" si="54"/>
        <v>1201500</v>
      </c>
      <c r="T658" s="33"/>
      <c r="U658" s="34"/>
      <c r="V658" s="15">
        <v>6700</v>
      </c>
      <c r="W658" s="16">
        <f t="shared" si="55"/>
        <v>5078600</v>
      </c>
      <c r="Z658" s="18">
        <f t="shared" si="53"/>
        <v>3877100</v>
      </c>
    </row>
    <row r="659" spans="1:26" ht="16" customHeight="1" x14ac:dyDescent="0.45">
      <c r="A659" s="1">
        <v>2508</v>
      </c>
      <c r="B659" s="2">
        <v>45875</v>
      </c>
      <c r="C659" s="24"/>
      <c r="D659" s="4" t="s">
        <v>37</v>
      </c>
      <c r="E659" s="5" t="s">
        <v>28</v>
      </c>
      <c r="G659" s="5" t="s">
        <v>28</v>
      </c>
      <c r="H659" s="19" t="s">
        <v>38</v>
      </c>
      <c r="I659" s="19" t="s">
        <v>39</v>
      </c>
      <c r="K659" s="73" t="s">
        <v>40</v>
      </c>
      <c r="L659" s="6">
        <v>32</v>
      </c>
      <c r="M659" s="7">
        <v>478.4</v>
      </c>
      <c r="O659" s="9">
        <v>736</v>
      </c>
      <c r="P659" s="141"/>
      <c r="Q659" s="95"/>
      <c r="R659" s="12">
        <v>2500</v>
      </c>
      <c r="S659" s="12">
        <f t="shared" si="54"/>
        <v>1196000</v>
      </c>
      <c r="T659" s="33"/>
      <c r="U659" s="34"/>
      <c r="V659" s="15">
        <v>6700</v>
      </c>
      <c r="W659" s="16">
        <f t="shared" si="55"/>
        <v>4931200</v>
      </c>
      <c r="Z659" s="18">
        <f t="shared" si="53"/>
        <v>3735200</v>
      </c>
    </row>
    <row r="660" spans="1:26" ht="16" customHeight="1" x14ac:dyDescent="0.45">
      <c r="A660" s="1">
        <v>2508</v>
      </c>
      <c r="B660" s="2">
        <v>45875</v>
      </c>
      <c r="C660" s="24"/>
      <c r="D660" s="4" t="s">
        <v>37</v>
      </c>
      <c r="E660" s="5" t="s">
        <v>28</v>
      </c>
      <c r="G660" s="5" t="s">
        <v>28</v>
      </c>
      <c r="H660" s="19" t="s">
        <v>38</v>
      </c>
      <c r="I660" s="19" t="s">
        <v>39</v>
      </c>
      <c r="K660" s="73" t="s">
        <v>41</v>
      </c>
      <c r="L660" s="6">
        <v>32</v>
      </c>
      <c r="M660" s="7">
        <v>488.8</v>
      </c>
      <c r="O660" s="9">
        <v>784</v>
      </c>
      <c r="P660" s="141"/>
      <c r="Q660" s="95"/>
      <c r="R660" s="12">
        <v>2500</v>
      </c>
      <c r="S660" s="12">
        <f t="shared" si="54"/>
        <v>1222000</v>
      </c>
      <c r="T660" s="33"/>
      <c r="U660" s="34"/>
      <c r="V660" s="15">
        <v>6700</v>
      </c>
      <c r="W660" s="16">
        <f t="shared" si="55"/>
        <v>5252800</v>
      </c>
      <c r="Z660" s="18">
        <f t="shared" si="53"/>
        <v>4030800</v>
      </c>
    </row>
    <row r="661" spans="1:26" ht="16" customHeight="1" x14ac:dyDescent="0.45">
      <c r="A661" s="1">
        <v>2508</v>
      </c>
      <c r="B661" s="2">
        <v>45875</v>
      </c>
      <c r="C661" s="24"/>
      <c r="D661" s="4" t="s">
        <v>37</v>
      </c>
      <c r="E661" s="5" t="s">
        <v>28</v>
      </c>
      <c r="G661" s="5" t="s">
        <v>28</v>
      </c>
      <c r="H661" s="19" t="s">
        <v>38</v>
      </c>
      <c r="I661" s="19" t="s">
        <v>39</v>
      </c>
      <c r="K661" s="73" t="s">
        <v>42</v>
      </c>
      <c r="L661" s="6">
        <v>32</v>
      </c>
      <c r="M661" s="7">
        <v>486.8</v>
      </c>
      <c r="O661" s="9">
        <v>777</v>
      </c>
      <c r="P661" s="141"/>
      <c r="Q661" s="95"/>
      <c r="R661" s="12">
        <v>2500</v>
      </c>
      <c r="S661" s="12">
        <f t="shared" si="54"/>
        <v>1217000</v>
      </c>
      <c r="T661" s="33"/>
      <c r="U661" s="34"/>
      <c r="V661" s="15">
        <v>6700</v>
      </c>
      <c r="W661" s="16">
        <f t="shared" si="55"/>
        <v>5205900</v>
      </c>
      <c r="Z661" s="18">
        <f t="shared" si="53"/>
        <v>3988900</v>
      </c>
    </row>
    <row r="662" spans="1:26" ht="16" customHeight="1" x14ac:dyDescent="0.45">
      <c r="A662" s="1">
        <v>2508</v>
      </c>
      <c r="B662" s="2">
        <v>45875</v>
      </c>
      <c r="C662" s="24"/>
      <c r="D662" s="4" t="s">
        <v>37</v>
      </c>
      <c r="E662" s="5" t="s">
        <v>28</v>
      </c>
      <c r="G662" s="5" t="s">
        <v>28</v>
      </c>
      <c r="H662" s="19" t="s">
        <v>38</v>
      </c>
      <c r="I662" s="19" t="s">
        <v>39</v>
      </c>
      <c r="K662" s="73" t="s">
        <v>43</v>
      </c>
      <c r="L662" s="6">
        <v>32</v>
      </c>
      <c r="M662" s="7">
        <v>464.1</v>
      </c>
      <c r="O662" s="9">
        <v>724</v>
      </c>
      <c r="P662" s="141"/>
      <c r="Q662" s="95"/>
      <c r="R662" s="12">
        <v>2500</v>
      </c>
      <c r="S662" s="12">
        <f t="shared" si="54"/>
        <v>1160250</v>
      </c>
      <c r="T662" s="33"/>
      <c r="U662" s="34"/>
      <c r="V662" s="15">
        <v>6700</v>
      </c>
      <c r="W662" s="16">
        <f t="shared" si="55"/>
        <v>4850800</v>
      </c>
      <c r="Z662" s="18">
        <f t="shared" si="53"/>
        <v>3690550</v>
      </c>
    </row>
    <row r="663" spans="1:26" ht="16" customHeight="1" x14ac:dyDescent="0.45">
      <c r="A663" s="1">
        <v>2508</v>
      </c>
      <c r="B663" s="2">
        <v>45875</v>
      </c>
      <c r="C663" s="24"/>
      <c r="D663" s="4" t="s">
        <v>37</v>
      </c>
      <c r="E663" s="5" t="s">
        <v>28</v>
      </c>
      <c r="G663" s="5" t="s">
        <v>28</v>
      </c>
      <c r="H663" s="19" t="s">
        <v>38</v>
      </c>
      <c r="I663" s="19" t="s">
        <v>39</v>
      </c>
      <c r="K663" s="73" t="s">
        <v>44</v>
      </c>
      <c r="L663" s="6">
        <v>32</v>
      </c>
      <c r="M663" s="7">
        <v>486.7</v>
      </c>
      <c r="O663" s="9">
        <v>771</v>
      </c>
      <c r="P663" s="141"/>
      <c r="Q663" s="95"/>
      <c r="R663" s="12">
        <v>2500</v>
      </c>
      <c r="S663" s="12">
        <f t="shared" si="54"/>
        <v>1216750</v>
      </c>
      <c r="T663" s="33"/>
      <c r="U663" s="34"/>
      <c r="V663" s="15">
        <v>6700</v>
      </c>
      <c r="W663" s="16">
        <f t="shared" si="55"/>
        <v>5165700</v>
      </c>
      <c r="Z663" s="18">
        <f t="shared" si="53"/>
        <v>3948950</v>
      </c>
    </row>
    <row r="664" spans="1:26" ht="16" customHeight="1" x14ac:dyDescent="0.45">
      <c r="A664" s="1">
        <v>2508</v>
      </c>
      <c r="B664" s="2">
        <v>45875</v>
      </c>
      <c r="C664" s="24"/>
      <c r="D664" s="4" t="s">
        <v>37</v>
      </c>
      <c r="E664" s="5" t="s">
        <v>28</v>
      </c>
      <c r="G664" s="5" t="s">
        <v>28</v>
      </c>
      <c r="H664" s="19" t="s">
        <v>38</v>
      </c>
      <c r="I664" s="19" t="s">
        <v>39</v>
      </c>
      <c r="K664" s="73" t="s">
        <v>45</v>
      </c>
      <c r="L664" s="6">
        <v>32</v>
      </c>
      <c r="M664" s="7">
        <v>485.9</v>
      </c>
      <c r="O664" s="9">
        <v>763</v>
      </c>
      <c r="P664" s="141"/>
      <c r="Q664" s="95"/>
      <c r="R664" s="12">
        <v>2500</v>
      </c>
      <c r="S664" s="12">
        <f t="shared" si="54"/>
        <v>1214750</v>
      </c>
      <c r="T664" s="33"/>
      <c r="U664" s="34"/>
      <c r="V664" s="15">
        <v>6700</v>
      </c>
      <c r="W664" s="16">
        <f t="shared" si="55"/>
        <v>5112100</v>
      </c>
      <c r="Z664" s="18">
        <f t="shared" si="53"/>
        <v>3897350</v>
      </c>
    </row>
    <row r="665" spans="1:26" ht="16" customHeight="1" x14ac:dyDescent="0.45">
      <c r="A665" s="1">
        <v>2508</v>
      </c>
      <c r="B665" s="23">
        <v>45863</v>
      </c>
      <c r="C665" s="24"/>
      <c r="D665" s="25" t="s">
        <v>70</v>
      </c>
      <c r="E665" s="26" t="s">
        <v>19</v>
      </c>
      <c r="F665" s="26"/>
      <c r="G665" s="26" t="s">
        <v>19</v>
      </c>
      <c r="H665" s="27" t="s">
        <v>465</v>
      </c>
      <c r="I665" s="27" t="s">
        <v>39</v>
      </c>
      <c r="J665" s="27" t="s">
        <v>390</v>
      </c>
      <c r="K665" s="28"/>
      <c r="L665" s="29"/>
      <c r="M665" s="30"/>
      <c r="N665" s="31">
        <v>235</v>
      </c>
      <c r="O665" s="32"/>
      <c r="P665" s="91"/>
      <c r="Q665" s="92"/>
      <c r="R665" s="93"/>
      <c r="S665" s="93">
        <v>750000</v>
      </c>
      <c r="T665" s="33"/>
      <c r="U665" s="34"/>
      <c r="V665" s="35"/>
      <c r="W665" s="36">
        <v>750000</v>
      </c>
      <c r="X665" s="93"/>
      <c r="Y665" s="21"/>
      <c r="Z665" s="18">
        <f t="shared" si="53"/>
        <v>0</v>
      </c>
    </row>
    <row r="666" spans="1:26" ht="16" customHeight="1" x14ac:dyDescent="0.45">
      <c r="A666" s="1">
        <v>2508</v>
      </c>
      <c r="B666" s="2">
        <v>45900</v>
      </c>
      <c r="D666" s="4" t="s">
        <v>159</v>
      </c>
      <c r="G666" s="5" t="s">
        <v>28</v>
      </c>
      <c r="H666" s="19" t="s">
        <v>189</v>
      </c>
      <c r="N666" s="8">
        <v>13105</v>
      </c>
      <c r="R666" s="12">
        <v>130</v>
      </c>
      <c r="S666" s="12">
        <f>N666*R666</f>
        <v>1703650</v>
      </c>
      <c r="Z666" s="18">
        <f t="shared" si="53"/>
        <v>-1703650</v>
      </c>
    </row>
    <row r="667" spans="1:26" ht="16" customHeight="1" x14ac:dyDescent="0.45">
      <c r="A667" s="1">
        <v>2508</v>
      </c>
      <c r="B667" s="2">
        <v>45894</v>
      </c>
      <c r="D667" s="4" t="s">
        <v>3</v>
      </c>
      <c r="E667" s="5" t="s">
        <v>10</v>
      </c>
      <c r="G667" s="5" t="s">
        <v>19</v>
      </c>
      <c r="H667" s="19" t="s">
        <v>227</v>
      </c>
      <c r="I667" s="19" t="s">
        <v>36</v>
      </c>
      <c r="L667" s="6">
        <v>8</v>
      </c>
      <c r="M667" s="7">
        <v>109.9</v>
      </c>
      <c r="N667" s="8">
        <v>638</v>
      </c>
      <c r="R667" s="12">
        <v>4700</v>
      </c>
      <c r="S667" s="12">
        <f>M667*R667</f>
        <v>516530</v>
      </c>
      <c r="Z667" s="18">
        <f t="shared" si="53"/>
        <v>-516530</v>
      </c>
    </row>
    <row r="668" spans="1:26" ht="16" customHeight="1" x14ac:dyDescent="0.45">
      <c r="A668" s="1">
        <v>2508</v>
      </c>
      <c r="B668" s="2">
        <v>45894</v>
      </c>
      <c r="D668" s="4" t="s">
        <v>3</v>
      </c>
      <c r="E668" s="5" t="s">
        <v>10</v>
      </c>
      <c r="G668" s="5" t="s">
        <v>19</v>
      </c>
      <c r="H668" s="19" t="s">
        <v>227</v>
      </c>
      <c r="I668" s="19" t="s">
        <v>36</v>
      </c>
      <c r="L668" s="6">
        <v>8</v>
      </c>
      <c r="M668" s="7">
        <v>101</v>
      </c>
      <c r="N668" s="8">
        <v>585</v>
      </c>
      <c r="R668" s="12">
        <v>4700</v>
      </c>
      <c r="S668" s="12">
        <f>M668*R668</f>
        <v>474700</v>
      </c>
      <c r="Z668" s="18">
        <f t="shared" si="53"/>
        <v>-474700</v>
      </c>
    </row>
    <row r="669" spans="1:26" ht="16" customHeight="1" x14ac:dyDescent="0.45">
      <c r="A669" s="1">
        <v>2508</v>
      </c>
      <c r="B669" s="2">
        <v>45876</v>
      </c>
      <c r="D669" s="4" t="s">
        <v>3</v>
      </c>
      <c r="E669" s="5" t="s">
        <v>211</v>
      </c>
      <c r="G669" s="5" t="s">
        <v>211</v>
      </c>
      <c r="H669" s="19" t="s">
        <v>2</v>
      </c>
      <c r="I669" s="19" t="s">
        <v>56</v>
      </c>
      <c r="M669" s="7">
        <v>94.1</v>
      </c>
      <c r="N669" s="8">
        <v>1398</v>
      </c>
      <c r="R669" s="12">
        <v>500</v>
      </c>
      <c r="S669" s="12">
        <f t="shared" ref="S669:S677" si="56">N669*R669</f>
        <v>699000</v>
      </c>
      <c r="Z669" s="18">
        <f t="shared" si="53"/>
        <v>-699000</v>
      </c>
    </row>
    <row r="670" spans="1:26" ht="16" customHeight="1" x14ac:dyDescent="0.45">
      <c r="A670" s="1">
        <v>2508</v>
      </c>
      <c r="B670" s="2">
        <v>45876</v>
      </c>
      <c r="D670" s="4" t="s">
        <v>3</v>
      </c>
      <c r="E670" s="5" t="s">
        <v>211</v>
      </c>
      <c r="G670" s="5" t="s">
        <v>211</v>
      </c>
      <c r="H670" s="19" t="s">
        <v>2</v>
      </c>
      <c r="I670" s="19" t="s">
        <v>56</v>
      </c>
      <c r="M670" s="7">
        <v>93.7</v>
      </c>
      <c r="N670" s="8">
        <v>1458</v>
      </c>
      <c r="R670" s="12">
        <v>500</v>
      </c>
      <c r="S670" s="12">
        <f t="shared" si="56"/>
        <v>729000</v>
      </c>
      <c r="Z670" s="18">
        <f t="shared" si="53"/>
        <v>-729000</v>
      </c>
    </row>
    <row r="671" spans="1:26" ht="16" customHeight="1" x14ac:dyDescent="0.45">
      <c r="A671" s="1">
        <v>2508</v>
      </c>
      <c r="B671" s="2">
        <v>45883</v>
      </c>
      <c r="D671" s="4" t="s">
        <v>3</v>
      </c>
      <c r="E671" s="5" t="s">
        <v>211</v>
      </c>
      <c r="G671" s="5" t="s">
        <v>1</v>
      </c>
      <c r="H671" s="19" t="s">
        <v>2</v>
      </c>
      <c r="I671" s="19" t="s">
        <v>56</v>
      </c>
      <c r="L671" s="6">
        <v>6</v>
      </c>
      <c r="M671" s="7">
        <v>93.7</v>
      </c>
      <c r="N671" s="8">
        <v>1452</v>
      </c>
      <c r="R671" s="12">
        <v>500</v>
      </c>
      <c r="S671" s="12">
        <f t="shared" si="56"/>
        <v>726000</v>
      </c>
      <c r="Z671" s="18">
        <f t="shared" si="53"/>
        <v>-726000</v>
      </c>
    </row>
    <row r="672" spans="1:26" ht="16" customHeight="1" x14ac:dyDescent="0.45">
      <c r="A672" s="1">
        <v>2508</v>
      </c>
      <c r="B672" s="2">
        <v>45883</v>
      </c>
      <c r="D672" s="4" t="s">
        <v>3</v>
      </c>
      <c r="E672" s="5" t="s">
        <v>211</v>
      </c>
      <c r="G672" s="5" t="s">
        <v>1</v>
      </c>
      <c r="H672" s="19" t="s">
        <v>2</v>
      </c>
      <c r="I672" s="19" t="s">
        <v>56</v>
      </c>
      <c r="L672" s="6">
        <v>7</v>
      </c>
      <c r="M672" s="7">
        <v>93.5</v>
      </c>
      <c r="N672" s="8">
        <v>1445</v>
      </c>
      <c r="R672" s="12">
        <v>500</v>
      </c>
      <c r="S672" s="12">
        <f t="shared" si="56"/>
        <v>722500</v>
      </c>
      <c r="Z672" s="18">
        <f t="shared" si="53"/>
        <v>-722500</v>
      </c>
    </row>
    <row r="673" spans="1:31" ht="16" customHeight="1" x14ac:dyDescent="0.45">
      <c r="A673" s="1">
        <v>2508</v>
      </c>
      <c r="B673" s="2">
        <v>45891</v>
      </c>
      <c r="D673" s="4" t="s">
        <v>3</v>
      </c>
      <c r="E673" s="5" t="s">
        <v>211</v>
      </c>
      <c r="G673" s="5" t="s">
        <v>1</v>
      </c>
      <c r="H673" s="19" t="s">
        <v>2</v>
      </c>
      <c r="I673" s="19" t="s">
        <v>147</v>
      </c>
      <c r="L673" s="6">
        <v>6</v>
      </c>
      <c r="M673" s="7">
        <v>93.9</v>
      </c>
      <c r="N673" s="8">
        <v>1443</v>
      </c>
      <c r="R673" s="12">
        <v>500</v>
      </c>
      <c r="S673" s="12">
        <f t="shared" si="56"/>
        <v>721500</v>
      </c>
      <c r="Z673" s="18">
        <f t="shared" si="53"/>
        <v>-721500</v>
      </c>
    </row>
    <row r="674" spans="1:31" s="21" customFormat="1" ht="16" customHeight="1" x14ac:dyDescent="0.45">
      <c r="A674" s="1">
        <v>2508</v>
      </c>
      <c r="B674" s="2">
        <v>45891</v>
      </c>
      <c r="C674" s="3"/>
      <c r="D674" s="4" t="s">
        <v>3</v>
      </c>
      <c r="E674" s="5" t="s">
        <v>211</v>
      </c>
      <c r="F674" s="5"/>
      <c r="G674" s="5" t="s">
        <v>1</v>
      </c>
      <c r="H674" s="19" t="s">
        <v>2</v>
      </c>
      <c r="I674" s="19" t="s">
        <v>54</v>
      </c>
      <c r="J674" s="19"/>
      <c r="K674" s="20"/>
      <c r="L674" s="6">
        <v>11</v>
      </c>
      <c r="M674" s="7">
        <v>156.80000000000001</v>
      </c>
      <c r="N674" s="8">
        <v>2435</v>
      </c>
      <c r="O674" s="9"/>
      <c r="P674" s="10"/>
      <c r="Q674" s="11"/>
      <c r="R674" s="12">
        <v>500</v>
      </c>
      <c r="S674" s="12">
        <f t="shared" si="56"/>
        <v>1217500</v>
      </c>
      <c r="T674" s="13"/>
      <c r="U674" s="14"/>
      <c r="V674" s="15"/>
      <c r="W674" s="16"/>
      <c r="X674" s="12"/>
      <c r="Y674" s="17"/>
      <c r="Z674" s="18">
        <f t="shared" si="53"/>
        <v>-1217500</v>
      </c>
      <c r="AA674" s="17"/>
      <c r="AB674" s="17"/>
      <c r="AC674" s="17"/>
      <c r="AD674" s="17"/>
      <c r="AE674" s="17"/>
    </row>
    <row r="675" spans="1:31" ht="16" customHeight="1" x14ac:dyDescent="0.45">
      <c r="A675" s="1">
        <v>2508</v>
      </c>
      <c r="B675" s="2">
        <v>45891</v>
      </c>
      <c r="D675" s="4" t="s">
        <v>3</v>
      </c>
      <c r="E675" s="5" t="s">
        <v>211</v>
      </c>
      <c r="G675" s="5" t="s">
        <v>1</v>
      </c>
      <c r="H675" s="19" t="s">
        <v>2</v>
      </c>
      <c r="I675" s="19" t="s">
        <v>54</v>
      </c>
      <c r="L675" s="6">
        <v>1</v>
      </c>
      <c r="M675" s="7">
        <v>16.3</v>
      </c>
      <c r="N675" s="8">
        <v>238</v>
      </c>
      <c r="R675" s="12">
        <v>500</v>
      </c>
      <c r="S675" s="12">
        <f t="shared" si="56"/>
        <v>119000</v>
      </c>
      <c r="Z675" s="18">
        <f t="shared" si="53"/>
        <v>-119000</v>
      </c>
    </row>
    <row r="676" spans="1:31" ht="16" customHeight="1" x14ac:dyDescent="0.45">
      <c r="A676" s="1">
        <v>2508</v>
      </c>
      <c r="B676" s="2">
        <v>45896</v>
      </c>
      <c r="D676" s="4" t="s">
        <v>3</v>
      </c>
      <c r="E676" s="5" t="s">
        <v>211</v>
      </c>
      <c r="G676" s="5" t="s">
        <v>1</v>
      </c>
      <c r="H676" s="19" t="s">
        <v>2</v>
      </c>
      <c r="I676" s="19" t="s">
        <v>118</v>
      </c>
      <c r="K676" s="20">
        <v>4</v>
      </c>
      <c r="L676" s="6">
        <v>5</v>
      </c>
      <c r="M676" s="7">
        <v>77.8</v>
      </c>
      <c r="N676" s="8">
        <v>1189</v>
      </c>
      <c r="R676" s="12">
        <v>500</v>
      </c>
      <c r="S676" s="12">
        <f t="shared" si="56"/>
        <v>594500</v>
      </c>
      <c r="Z676" s="18">
        <f t="shared" si="53"/>
        <v>-594500</v>
      </c>
    </row>
    <row r="677" spans="1:31" ht="16" customHeight="1" x14ac:dyDescent="0.45">
      <c r="A677" s="1">
        <v>2508</v>
      </c>
      <c r="B677" s="2">
        <v>45896</v>
      </c>
      <c r="D677" s="4" t="s">
        <v>3</v>
      </c>
      <c r="E677" s="5" t="s">
        <v>211</v>
      </c>
      <c r="G677" s="5" t="s">
        <v>1</v>
      </c>
      <c r="H677" s="19" t="s">
        <v>2</v>
      </c>
      <c r="I677" s="19" t="s">
        <v>118</v>
      </c>
      <c r="K677" s="20">
        <v>3</v>
      </c>
      <c r="L677" s="6">
        <v>5</v>
      </c>
      <c r="M677" s="7">
        <v>78</v>
      </c>
      <c r="N677" s="8">
        <v>1205</v>
      </c>
      <c r="R677" s="12">
        <v>500</v>
      </c>
      <c r="S677" s="12">
        <f t="shared" si="56"/>
        <v>602500</v>
      </c>
      <c r="Z677" s="18">
        <f t="shared" si="53"/>
        <v>-602500</v>
      </c>
    </row>
    <row r="678" spans="1:31" ht="16" customHeight="1" x14ac:dyDescent="0.45">
      <c r="A678" s="1">
        <v>2508</v>
      </c>
      <c r="B678" s="2">
        <v>45887</v>
      </c>
      <c r="D678" s="4" t="s">
        <v>109</v>
      </c>
      <c r="E678" s="5" t="s">
        <v>479</v>
      </c>
      <c r="G678" s="5" t="s">
        <v>479</v>
      </c>
      <c r="H678" s="19" t="s">
        <v>480</v>
      </c>
      <c r="I678" s="19" t="s">
        <v>122</v>
      </c>
      <c r="L678" s="6">
        <v>1</v>
      </c>
      <c r="N678" s="8">
        <v>20</v>
      </c>
      <c r="R678" s="12">
        <v>0</v>
      </c>
      <c r="S678" s="12">
        <v>0</v>
      </c>
      <c r="Z678" s="18">
        <f t="shared" si="53"/>
        <v>0</v>
      </c>
    </row>
    <row r="679" spans="1:31" ht="16" customHeight="1" x14ac:dyDescent="0.45">
      <c r="A679" s="1">
        <v>2508</v>
      </c>
      <c r="B679" s="23">
        <v>45887</v>
      </c>
      <c r="C679" s="24"/>
      <c r="D679" s="25" t="s">
        <v>109</v>
      </c>
      <c r="E679" s="26" t="s">
        <v>183</v>
      </c>
      <c r="F679" s="26"/>
      <c r="G679" s="26" t="s">
        <v>183</v>
      </c>
      <c r="H679" s="27" t="s">
        <v>172</v>
      </c>
      <c r="I679" s="27" t="s">
        <v>53</v>
      </c>
      <c r="J679" s="27"/>
      <c r="K679" s="28"/>
      <c r="L679" s="29"/>
      <c r="M679" s="30"/>
      <c r="N679" s="31">
        <v>200</v>
      </c>
      <c r="O679" s="32"/>
      <c r="P679" s="91"/>
      <c r="Q679" s="92"/>
      <c r="R679" s="93" t="s">
        <v>481</v>
      </c>
      <c r="S679" s="93"/>
      <c r="T679" s="33"/>
      <c r="U679" s="34"/>
      <c r="V679" s="35">
        <v>1200</v>
      </c>
      <c r="W679" s="36">
        <f>N679*V679</f>
        <v>240000</v>
      </c>
      <c r="X679" s="93"/>
      <c r="Y679" s="21"/>
      <c r="Z679" s="18">
        <f t="shared" si="53"/>
        <v>240000</v>
      </c>
    </row>
    <row r="680" spans="1:31" s="21" customFormat="1" ht="16" customHeight="1" x14ac:dyDescent="0.45">
      <c r="A680" s="1">
        <v>2508</v>
      </c>
      <c r="B680" s="23">
        <v>45874</v>
      </c>
      <c r="C680" s="24"/>
      <c r="D680" s="25"/>
      <c r="E680" s="26" t="s">
        <v>5</v>
      </c>
      <c r="F680" s="26"/>
      <c r="G680" s="26" t="s">
        <v>5</v>
      </c>
      <c r="H680" s="27" t="s">
        <v>6</v>
      </c>
      <c r="I680" s="27" t="s">
        <v>9</v>
      </c>
      <c r="J680" s="27"/>
      <c r="K680" s="28">
        <v>131</v>
      </c>
      <c r="L680" s="29">
        <v>9</v>
      </c>
      <c r="M680" s="30"/>
      <c r="N680" s="31"/>
      <c r="O680" s="32">
        <v>574</v>
      </c>
      <c r="P680" s="91"/>
      <c r="Q680" s="92"/>
      <c r="R680" s="93" t="s">
        <v>217</v>
      </c>
      <c r="S680" s="93"/>
      <c r="T680" s="33"/>
      <c r="U680" s="34"/>
      <c r="V680" s="35">
        <v>6200</v>
      </c>
      <c r="W680" s="36">
        <f t="shared" ref="W680:W686" si="57">O680*V680</f>
        <v>3558800</v>
      </c>
      <c r="X680" s="93"/>
      <c r="Z680" s="18">
        <f t="shared" si="53"/>
        <v>3558800</v>
      </c>
      <c r="AA680" s="17"/>
      <c r="AB680" s="17"/>
      <c r="AC680" s="17"/>
      <c r="AD680" s="17"/>
      <c r="AE680" s="17"/>
    </row>
    <row r="681" spans="1:31" ht="16" customHeight="1" x14ac:dyDescent="0.45">
      <c r="A681" s="1">
        <v>2508</v>
      </c>
      <c r="B681" s="23">
        <v>45874</v>
      </c>
      <c r="C681" s="24"/>
      <c r="D681" s="25"/>
      <c r="E681" s="26" t="s">
        <v>5</v>
      </c>
      <c r="F681" s="26"/>
      <c r="G681" s="26" t="s">
        <v>5</v>
      </c>
      <c r="H681" s="27" t="s">
        <v>6</v>
      </c>
      <c r="I681" s="27" t="s">
        <v>206</v>
      </c>
      <c r="J681" s="27"/>
      <c r="K681" s="28">
        <v>102</v>
      </c>
      <c r="L681" s="29">
        <v>5</v>
      </c>
      <c r="M681" s="30"/>
      <c r="N681" s="31"/>
      <c r="O681" s="32">
        <v>398</v>
      </c>
      <c r="P681" s="91"/>
      <c r="Q681" s="92"/>
      <c r="R681" s="93" t="s">
        <v>217</v>
      </c>
      <c r="S681" s="93"/>
      <c r="T681" s="33"/>
      <c r="U681" s="34"/>
      <c r="V681" s="35">
        <v>6200</v>
      </c>
      <c r="W681" s="36">
        <f t="shared" si="57"/>
        <v>2467600</v>
      </c>
      <c r="X681" s="93"/>
      <c r="Y681" s="21"/>
      <c r="Z681" s="18">
        <f t="shared" si="53"/>
        <v>2467600</v>
      </c>
    </row>
    <row r="682" spans="1:31" ht="16" customHeight="1" x14ac:dyDescent="0.45">
      <c r="A682" s="1">
        <v>2508</v>
      </c>
      <c r="B682" s="23">
        <v>45874</v>
      </c>
      <c r="C682" s="24"/>
      <c r="D682" s="25"/>
      <c r="E682" s="26" t="s">
        <v>5</v>
      </c>
      <c r="F682" s="26"/>
      <c r="G682" s="26" t="s">
        <v>5</v>
      </c>
      <c r="H682" s="27" t="s">
        <v>6</v>
      </c>
      <c r="I682" s="27" t="s">
        <v>125</v>
      </c>
      <c r="J682" s="27"/>
      <c r="K682" s="28">
        <v>104</v>
      </c>
      <c r="L682" s="29">
        <v>5</v>
      </c>
      <c r="M682" s="30"/>
      <c r="N682" s="31"/>
      <c r="O682" s="32">
        <v>410</v>
      </c>
      <c r="P682" s="91"/>
      <c r="Q682" s="92"/>
      <c r="R682" s="93" t="s">
        <v>217</v>
      </c>
      <c r="S682" s="93"/>
      <c r="T682" s="33"/>
      <c r="U682" s="34"/>
      <c r="V682" s="35">
        <v>6200</v>
      </c>
      <c r="W682" s="36">
        <f t="shared" si="57"/>
        <v>2542000</v>
      </c>
      <c r="X682" s="93"/>
      <c r="Y682" s="21"/>
      <c r="Z682" s="18">
        <f t="shared" si="53"/>
        <v>2542000</v>
      </c>
    </row>
    <row r="683" spans="1:31" ht="16" customHeight="1" x14ac:dyDescent="0.45">
      <c r="A683" s="1">
        <v>2508</v>
      </c>
      <c r="B683" s="23">
        <v>45874</v>
      </c>
      <c r="C683" s="24"/>
      <c r="D683" s="25"/>
      <c r="E683" s="26" t="s">
        <v>5</v>
      </c>
      <c r="F683" s="26"/>
      <c r="G683" s="26" t="s">
        <v>5</v>
      </c>
      <c r="H683" s="27" t="s">
        <v>6</v>
      </c>
      <c r="I683" s="27" t="s">
        <v>115</v>
      </c>
      <c r="J683" s="27"/>
      <c r="K683" s="28"/>
      <c r="L683" s="29"/>
      <c r="M683" s="30"/>
      <c r="N683" s="31"/>
      <c r="O683" s="32">
        <v>2</v>
      </c>
      <c r="P683" s="91"/>
      <c r="Q683" s="92"/>
      <c r="R683" s="93" t="s">
        <v>217</v>
      </c>
      <c r="S683" s="93"/>
      <c r="T683" s="33"/>
      <c r="U683" s="34"/>
      <c r="V683" s="35">
        <v>250000</v>
      </c>
      <c r="W683" s="36">
        <f t="shared" si="57"/>
        <v>500000</v>
      </c>
      <c r="X683" s="93"/>
      <c r="Y683" s="21"/>
      <c r="Z683" s="18">
        <f t="shared" si="53"/>
        <v>500000</v>
      </c>
    </row>
    <row r="684" spans="1:31" ht="16" customHeight="1" x14ac:dyDescent="0.45">
      <c r="A684" s="1">
        <v>2508</v>
      </c>
      <c r="B684" s="23">
        <v>45874</v>
      </c>
      <c r="C684" s="24"/>
      <c r="D684" s="25"/>
      <c r="E684" s="26" t="s">
        <v>5</v>
      </c>
      <c r="F684" s="26"/>
      <c r="G684" s="26" t="s">
        <v>5</v>
      </c>
      <c r="H684" s="27" t="s">
        <v>129</v>
      </c>
      <c r="I684" s="27" t="s">
        <v>482</v>
      </c>
      <c r="J684" s="27"/>
      <c r="K684" s="28"/>
      <c r="L684" s="29"/>
      <c r="M684" s="30"/>
      <c r="N684" s="31"/>
      <c r="O684" s="32">
        <v>1649</v>
      </c>
      <c r="P684" s="91"/>
      <c r="Q684" s="92"/>
      <c r="R684" s="93" t="s">
        <v>217</v>
      </c>
      <c r="S684" s="93"/>
      <c r="T684" s="33"/>
      <c r="U684" s="34"/>
      <c r="V684" s="35">
        <v>1270</v>
      </c>
      <c r="W684" s="36">
        <f t="shared" si="57"/>
        <v>2094230</v>
      </c>
      <c r="X684" s="93"/>
      <c r="Y684" s="21"/>
      <c r="Z684" s="18">
        <f t="shared" si="53"/>
        <v>2094230</v>
      </c>
    </row>
    <row r="685" spans="1:31" ht="16" customHeight="1" x14ac:dyDescent="0.45">
      <c r="A685" s="1">
        <v>2508</v>
      </c>
      <c r="B685" s="2">
        <v>45899</v>
      </c>
      <c r="C685" s="24"/>
      <c r="E685" s="5" t="s">
        <v>31</v>
      </c>
      <c r="G685" s="5" t="s">
        <v>31</v>
      </c>
      <c r="H685" s="19" t="s">
        <v>76</v>
      </c>
      <c r="I685" s="19" t="s">
        <v>483</v>
      </c>
      <c r="O685" s="9">
        <v>-14</v>
      </c>
      <c r="P685" s="141"/>
      <c r="Q685" s="95"/>
      <c r="T685" s="33"/>
      <c r="U685" s="34"/>
      <c r="V685" s="15">
        <v>3000</v>
      </c>
      <c r="W685" s="16">
        <f t="shared" si="57"/>
        <v>-42000</v>
      </c>
      <c r="Z685" s="18">
        <f t="shared" si="53"/>
        <v>-42000</v>
      </c>
    </row>
    <row r="686" spans="1:31" ht="16" customHeight="1" x14ac:dyDescent="0.45">
      <c r="A686" s="1">
        <v>2508</v>
      </c>
      <c r="B686" s="2">
        <v>45899</v>
      </c>
      <c r="C686" s="24"/>
      <c r="E686" s="5" t="s">
        <v>31</v>
      </c>
      <c r="G686" s="5" t="s">
        <v>31</v>
      </c>
      <c r="H686" s="19" t="s">
        <v>163</v>
      </c>
      <c r="I686" s="19" t="s">
        <v>483</v>
      </c>
      <c r="O686" s="9">
        <v>-13</v>
      </c>
      <c r="P686" s="141"/>
      <c r="Q686" s="95"/>
      <c r="T686" s="33"/>
      <c r="U686" s="34"/>
      <c r="V686" s="15">
        <v>2450</v>
      </c>
      <c r="W686" s="16">
        <f t="shared" si="57"/>
        <v>-31850</v>
      </c>
      <c r="Z686" s="18">
        <f t="shared" si="53"/>
        <v>-31850</v>
      </c>
    </row>
    <row r="687" spans="1:31" ht="16" customHeight="1" x14ac:dyDescent="0.45">
      <c r="A687" s="1">
        <v>2509</v>
      </c>
      <c r="B687" s="2">
        <v>45911</v>
      </c>
      <c r="D687" s="4" t="s">
        <v>0</v>
      </c>
      <c r="E687" s="5" t="s">
        <v>3</v>
      </c>
      <c r="G687" s="5" t="s">
        <v>1</v>
      </c>
      <c r="H687" s="19" t="s">
        <v>2</v>
      </c>
      <c r="M687" s="7">
        <v>86.5</v>
      </c>
      <c r="R687" s="12">
        <v>3800</v>
      </c>
      <c r="S687" s="12">
        <f>M687*R687</f>
        <v>328700</v>
      </c>
      <c r="Z687" s="18">
        <f t="shared" si="53"/>
        <v>-328700</v>
      </c>
    </row>
    <row r="688" spans="1:31" s="21" customFormat="1" ht="16" customHeight="1" x14ac:dyDescent="0.45">
      <c r="A688" s="1">
        <v>2509</v>
      </c>
      <c r="B688" s="2">
        <v>45922</v>
      </c>
      <c r="C688" s="3"/>
      <c r="D688" s="4" t="s">
        <v>0</v>
      </c>
      <c r="E688" s="5" t="s">
        <v>3</v>
      </c>
      <c r="F688" s="5"/>
      <c r="G688" s="5" t="s">
        <v>1</v>
      </c>
      <c r="H688" s="19" t="s">
        <v>2</v>
      </c>
      <c r="I688" s="19"/>
      <c r="J688" s="19"/>
      <c r="K688" s="20"/>
      <c r="L688" s="6">
        <v>12</v>
      </c>
      <c r="M688" s="7">
        <v>210</v>
      </c>
      <c r="N688" s="8"/>
      <c r="O688" s="9"/>
      <c r="P688" s="10"/>
      <c r="Q688" s="11"/>
      <c r="R688" s="12">
        <v>3800</v>
      </c>
      <c r="S688" s="12">
        <f>M688*R688</f>
        <v>798000</v>
      </c>
      <c r="T688" s="13"/>
      <c r="U688" s="14"/>
      <c r="V688" s="15"/>
      <c r="W688" s="16"/>
      <c r="X688" s="12"/>
      <c r="Y688" s="17"/>
      <c r="Z688" s="18">
        <f t="shared" si="53"/>
        <v>-798000</v>
      </c>
      <c r="AA688" s="17"/>
      <c r="AB688" s="17"/>
      <c r="AC688" s="17"/>
      <c r="AD688" s="17"/>
      <c r="AE688" s="17"/>
    </row>
    <row r="689" spans="1:31" s="21" customFormat="1" ht="16" customHeight="1" x14ac:dyDescent="0.45">
      <c r="A689" s="1">
        <v>2509</v>
      </c>
      <c r="B689" s="2">
        <v>45926</v>
      </c>
      <c r="C689" s="3"/>
      <c r="D689" s="4" t="s">
        <v>0</v>
      </c>
      <c r="E689" s="5" t="s">
        <v>3</v>
      </c>
      <c r="F689" s="5"/>
      <c r="G689" s="5" t="s">
        <v>1</v>
      </c>
      <c r="H689" s="19" t="s">
        <v>2</v>
      </c>
      <c r="I689" s="19"/>
      <c r="J689" s="19"/>
      <c r="K689" s="20"/>
      <c r="L689" s="6">
        <v>6</v>
      </c>
      <c r="M689" s="7">
        <v>105</v>
      </c>
      <c r="N689" s="8"/>
      <c r="O689" s="9"/>
      <c r="P689" s="10"/>
      <c r="Q689" s="11"/>
      <c r="R689" s="12">
        <v>3800</v>
      </c>
      <c r="S689" s="12">
        <f>M689*R689</f>
        <v>399000</v>
      </c>
      <c r="T689" s="13"/>
      <c r="U689" s="14"/>
      <c r="V689" s="15"/>
      <c r="W689" s="16"/>
      <c r="X689" s="12"/>
      <c r="Y689" s="17"/>
      <c r="Z689" s="18">
        <f t="shared" si="53"/>
        <v>-399000</v>
      </c>
      <c r="AA689" s="17"/>
      <c r="AB689" s="17"/>
      <c r="AC689" s="17"/>
      <c r="AD689" s="17"/>
      <c r="AE689" s="17"/>
    </row>
    <row r="690" spans="1:31" ht="16" customHeight="1" x14ac:dyDescent="0.45">
      <c r="A690" s="1">
        <v>2509</v>
      </c>
      <c r="B690" s="2">
        <v>45930</v>
      </c>
      <c r="D690" s="4" t="s">
        <v>226</v>
      </c>
      <c r="E690" s="5" t="s">
        <v>3</v>
      </c>
      <c r="G690" s="5" t="s">
        <v>1</v>
      </c>
      <c r="H690" s="19" t="s">
        <v>244</v>
      </c>
      <c r="L690" s="6">
        <v>12</v>
      </c>
      <c r="M690" s="7">
        <v>120</v>
      </c>
      <c r="R690" s="12">
        <v>18500</v>
      </c>
      <c r="S690" s="12">
        <f>M690*R690</f>
        <v>2220000</v>
      </c>
      <c r="Z690" s="18">
        <f t="shared" si="53"/>
        <v>-2220000</v>
      </c>
    </row>
    <row r="691" spans="1:31" ht="16" customHeight="1" x14ac:dyDescent="0.45">
      <c r="A691" s="1">
        <v>2509</v>
      </c>
      <c r="B691" s="2">
        <v>45910</v>
      </c>
      <c r="D691" s="4" t="s">
        <v>463</v>
      </c>
      <c r="E691" s="5" t="s">
        <v>37</v>
      </c>
      <c r="G691" s="5" t="s">
        <v>28</v>
      </c>
      <c r="H691" s="19" t="s">
        <v>38</v>
      </c>
      <c r="L691" s="6">
        <v>110</v>
      </c>
      <c r="M691" s="7">
        <v>2288.6</v>
      </c>
      <c r="R691" s="12">
        <v>2000</v>
      </c>
      <c r="S691" s="12">
        <f>M691*R691</f>
        <v>4577200</v>
      </c>
      <c r="Z691" s="18">
        <f t="shared" si="53"/>
        <v>-4577200</v>
      </c>
    </row>
    <row r="692" spans="1:31" s="21" customFormat="1" ht="16" customHeight="1" x14ac:dyDescent="0.45">
      <c r="A692" s="1">
        <v>2509</v>
      </c>
      <c r="B692" s="2">
        <v>45902</v>
      </c>
      <c r="C692" s="3"/>
      <c r="D692" s="4" t="s">
        <v>181</v>
      </c>
      <c r="E692" s="5" t="s">
        <v>339</v>
      </c>
      <c r="F692" s="5"/>
      <c r="G692" s="5" t="s">
        <v>28</v>
      </c>
      <c r="H692" s="19" t="s">
        <v>484</v>
      </c>
      <c r="I692" s="19"/>
      <c r="J692" s="19" t="s">
        <v>200</v>
      </c>
      <c r="K692" s="20"/>
      <c r="L692" s="6">
        <v>4</v>
      </c>
      <c r="M692" s="7">
        <v>1500</v>
      </c>
      <c r="N692" s="8"/>
      <c r="O692" s="9"/>
      <c r="P692" s="10">
        <v>2205</v>
      </c>
      <c r="Q692" s="11">
        <f>M692*P692</f>
        <v>3307500</v>
      </c>
      <c r="R692" s="12"/>
      <c r="S692" s="12"/>
      <c r="T692" s="13"/>
      <c r="U692" s="14"/>
      <c r="V692" s="15"/>
      <c r="W692" s="16"/>
      <c r="X692" s="12"/>
      <c r="Y692" s="17"/>
      <c r="Z692" s="18">
        <f t="shared" si="53"/>
        <v>-3307500</v>
      </c>
      <c r="AA692" s="17"/>
      <c r="AB692" s="17"/>
      <c r="AC692" s="17"/>
      <c r="AD692" s="17"/>
      <c r="AE692" s="17"/>
    </row>
    <row r="693" spans="1:31" s="21" customFormat="1" ht="16" customHeight="1" x14ac:dyDescent="0.45">
      <c r="A693" s="1">
        <v>2509</v>
      </c>
      <c r="B693" s="2">
        <v>45902</v>
      </c>
      <c r="C693" s="3"/>
      <c r="D693" s="4" t="s">
        <v>181</v>
      </c>
      <c r="E693" s="5" t="s">
        <v>93</v>
      </c>
      <c r="F693" s="5"/>
      <c r="G693" s="5" t="s">
        <v>28</v>
      </c>
      <c r="H693" s="19" t="s">
        <v>484</v>
      </c>
      <c r="I693" s="19"/>
      <c r="J693" s="19" t="s">
        <v>200</v>
      </c>
      <c r="K693" s="20"/>
      <c r="L693" s="6"/>
      <c r="M693" s="7">
        <v>3734.6</v>
      </c>
      <c r="N693" s="8"/>
      <c r="O693" s="9"/>
      <c r="P693" s="10">
        <v>2205</v>
      </c>
      <c r="Q693" s="11">
        <f>M693*P693</f>
        <v>8234793</v>
      </c>
      <c r="R693" s="12"/>
      <c r="S693" s="12"/>
      <c r="T693" s="13"/>
      <c r="U693" s="14"/>
      <c r="V693" s="15"/>
      <c r="W693" s="16"/>
      <c r="X693" s="12"/>
      <c r="Y693" s="17"/>
      <c r="Z693" s="18">
        <f t="shared" si="53"/>
        <v>-8234793</v>
      </c>
      <c r="AA693" s="17"/>
      <c r="AB693" s="17"/>
      <c r="AC693" s="17"/>
      <c r="AD693" s="17"/>
      <c r="AE693" s="17"/>
    </row>
    <row r="694" spans="1:31" s="21" customFormat="1" ht="16" customHeight="1" x14ac:dyDescent="0.45">
      <c r="A694" s="1">
        <v>2509</v>
      </c>
      <c r="B694" s="23">
        <v>45908</v>
      </c>
      <c r="C694" s="24"/>
      <c r="D694" s="25" t="s">
        <v>10</v>
      </c>
      <c r="E694" s="26" t="s">
        <v>19</v>
      </c>
      <c r="F694" s="26"/>
      <c r="G694" s="26" t="s">
        <v>19</v>
      </c>
      <c r="H694" s="27" t="s">
        <v>20</v>
      </c>
      <c r="I694" s="27" t="s">
        <v>21</v>
      </c>
      <c r="J694" s="27"/>
      <c r="K694" s="28"/>
      <c r="L694" s="29"/>
      <c r="M694" s="30"/>
      <c r="N694" s="31"/>
      <c r="O694" s="32">
        <v>3948</v>
      </c>
      <c r="P694" s="91"/>
      <c r="Q694" s="92"/>
      <c r="R694" s="93">
        <v>1850</v>
      </c>
      <c r="S694" s="93">
        <f>O694*R694</f>
        <v>7303800</v>
      </c>
      <c r="T694" s="33"/>
      <c r="U694" s="34"/>
      <c r="V694" s="35">
        <v>3595</v>
      </c>
      <c r="W694" s="36">
        <f>O694*V694</f>
        <v>14193060</v>
      </c>
      <c r="X694" s="93"/>
      <c r="Z694" s="18">
        <f t="shared" si="53"/>
        <v>6889260</v>
      </c>
      <c r="AA694" s="17"/>
      <c r="AB694" s="17"/>
      <c r="AC694" s="17"/>
      <c r="AD694" s="17"/>
      <c r="AE694" s="17"/>
    </row>
    <row r="695" spans="1:31" s="21" customFormat="1" ht="16" customHeight="1" x14ac:dyDescent="0.45">
      <c r="A695" s="1">
        <v>2509</v>
      </c>
      <c r="B695" s="23">
        <v>45908</v>
      </c>
      <c r="C695" s="24"/>
      <c r="D695" s="25" t="s">
        <v>10</v>
      </c>
      <c r="E695" s="26" t="s">
        <v>19</v>
      </c>
      <c r="F695" s="26"/>
      <c r="G695" s="26" t="s">
        <v>19</v>
      </c>
      <c r="H695" s="27" t="s">
        <v>20</v>
      </c>
      <c r="I695" s="27" t="s">
        <v>16</v>
      </c>
      <c r="J695" s="27"/>
      <c r="K695" s="28"/>
      <c r="L695" s="29"/>
      <c r="M695" s="30"/>
      <c r="N695" s="31"/>
      <c r="O695" s="32">
        <v>4056</v>
      </c>
      <c r="P695" s="91"/>
      <c r="Q695" s="92"/>
      <c r="R695" s="93">
        <v>1850</v>
      </c>
      <c r="S695" s="93">
        <f>O695*R695</f>
        <v>7503600</v>
      </c>
      <c r="T695" s="33"/>
      <c r="U695" s="34"/>
      <c r="V695" s="35">
        <v>3595</v>
      </c>
      <c r="W695" s="36">
        <f>O695*V695</f>
        <v>14581320</v>
      </c>
      <c r="X695" s="93"/>
      <c r="Z695" s="18">
        <f t="shared" si="53"/>
        <v>7077720</v>
      </c>
      <c r="AA695" s="17"/>
      <c r="AB695" s="17"/>
      <c r="AC695" s="17"/>
      <c r="AD695" s="17"/>
      <c r="AE695" s="17"/>
    </row>
    <row r="696" spans="1:31" ht="16" customHeight="1" x14ac:dyDescent="0.45">
      <c r="A696" s="1">
        <v>2509</v>
      </c>
      <c r="B696" s="23">
        <v>45902</v>
      </c>
      <c r="C696" s="24"/>
      <c r="D696" s="25" t="s">
        <v>10</v>
      </c>
      <c r="E696" s="26" t="s">
        <v>19</v>
      </c>
      <c r="F696" s="26"/>
      <c r="G696" s="26" t="s">
        <v>19</v>
      </c>
      <c r="H696" s="27" t="s">
        <v>229</v>
      </c>
      <c r="I696" s="27" t="s">
        <v>16</v>
      </c>
      <c r="J696" s="27"/>
      <c r="K696" s="28"/>
      <c r="L696" s="29">
        <v>2</v>
      </c>
      <c r="M696" s="30"/>
      <c r="N696" s="31"/>
      <c r="O696" s="32">
        <v>1174</v>
      </c>
      <c r="P696" s="91"/>
      <c r="Q696" s="92"/>
      <c r="R696" s="93">
        <v>1850</v>
      </c>
      <c r="S696" s="93">
        <f>O696*R696</f>
        <v>2171900</v>
      </c>
      <c r="T696" s="33"/>
      <c r="U696" s="34"/>
      <c r="V696" s="35">
        <v>6550</v>
      </c>
      <c r="W696" s="36">
        <f>O696*V696</f>
        <v>7689700</v>
      </c>
      <c r="X696" s="93"/>
      <c r="Y696" s="21"/>
      <c r="Z696" s="18">
        <f t="shared" si="53"/>
        <v>5517800</v>
      </c>
    </row>
    <row r="697" spans="1:31" ht="16" customHeight="1" x14ac:dyDescent="0.45">
      <c r="A697" s="1">
        <v>2509</v>
      </c>
      <c r="B697" s="23">
        <v>45909</v>
      </c>
      <c r="C697" s="24"/>
      <c r="D697" s="25" t="s">
        <v>10</v>
      </c>
      <c r="E697" s="26" t="s">
        <v>19</v>
      </c>
      <c r="F697" s="26"/>
      <c r="G697" s="26" t="s">
        <v>19</v>
      </c>
      <c r="H697" s="27" t="s">
        <v>20</v>
      </c>
      <c r="I697" s="27"/>
      <c r="J697" s="27"/>
      <c r="K697" s="28"/>
      <c r="L697" s="29">
        <v>7</v>
      </c>
      <c r="M697" s="30"/>
      <c r="N697" s="31"/>
      <c r="O697" s="32">
        <v>5619</v>
      </c>
      <c r="P697" s="91"/>
      <c r="Q697" s="92"/>
      <c r="R697" s="93">
        <v>1850</v>
      </c>
      <c r="S697" s="93">
        <f>O697*R697</f>
        <v>10395150</v>
      </c>
      <c r="T697" s="33"/>
      <c r="U697" s="34"/>
      <c r="V697" s="35">
        <v>3595</v>
      </c>
      <c r="W697" s="36">
        <f>O697*V697</f>
        <v>20200305</v>
      </c>
      <c r="X697" s="93"/>
      <c r="Y697" s="21"/>
      <c r="Z697" s="18">
        <f t="shared" si="53"/>
        <v>9805155</v>
      </c>
    </row>
    <row r="698" spans="1:31" ht="16" customHeight="1" x14ac:dyDescent="0.45">
      <c r="A698" s="1">
        <v>2509</v>
      </c>
      <c r="B698" s="23">
        <v>45909</v>
      </c>
      <c r="C698" s="24"/>
      <c r="D698" s="25" t="s">
        <v>10</v>
      </c>
      <c r="E698" s="26" t="s">
        <v>19</v>
      </c>
      <c r="F698" s="26"/>
      <c r="G698" s="26" t="s">
        <v>19</v>
      </c>
      <c r="H698" s="27" t="s">
        <v>485</v>
      </c>
      <c r="I698" s="27"/>
      <c r="J698" s="27"/>
      <c r="K698" s="28"/>
      <c r="L698" s="29">
        <v>1</v>
      </c>
      <c r="M698" s="30"/>
      <c r="N698" s="31"/>
      <c r="O698" s="32">
        <v>64</v>
      </c>
      <c r="P698" s="91"/>
      <c r="Q698" s="92"/>
      <c r="R698" s="93">
        <v>1850</v>
      </c>
      <c r="S698" s="93">
        <f>O698*R698</f>
        <v>118400</v>
      </c>
      <c r="T698" s="33"/>
      <c r="U698" s="34"/>
      <c r="V698" s="35">
        <v>2250</v>
      </c>
      <c r="W698" s="36">
        <f>O698*V698</f>
        <v>144000</v>
      </c>
      <c r="X698" s="93"/>
      <c r="Y698" s="21"/>
      <c r="Z698" s="18">
        <f t="shared" si="53"/>
        <v>25600</v>
      </c>
    </row>
    <row r="699" spans="1:31" ht="16" customHeight="1" x14ac:dyDescent="0.45">
      <c r="A699" s="1">
        <v>2509</v>
      </c>
      <c r="B699" s="23">
        <v>45908</v>
      </c>
      <c r="C699" s="24"/>
      <c r="D699" s="25" t="s">
        <v>66</v>
      </c>
      <c r="E699" s="26" t="s">
        <v>486</v>
      </c>
      <c r="F699" s="26"/>
      <c r="G699" s="26" t="s">
        <v>486</v>
      </c>
      <c r="H699" s="27" t="s">
        <v>172</v>
      </c>
      <c r="I699" s="27" t="s">
        <v>487</v>
      </c>
      <c r="J699" s="27"/>
      <c r="K699" s="28"/>
      <c r="L699" s="29"/>
      <c r="M699" s="30"/>
      <c r="N699" s="31">
        <v>10487</v>
      </c>
      <c r="O699" s="32"/>
      <c r="P699" s="91"/>
      <c r="Q699" s="92"/>
      <c r="R699" s="93">
        <v>800</v>
      </c>
      <c r="S699" s="93">
        <f>N699*R699</f>
        <v>8389600</v>
      </c>
      <c r="T699" s="33"/>
      <c r="U699" s="34"/>
      <c r="V699" s="35">
        <v>1200</v>
      </c>
      <c r="W699" s="36">
        <f>N699*V699</f>
        <v>12584400</v>
      </c>
      <c r="X699" s="93"/>
      <c r="Y699" s="21"/>
      <c r="Z699" s="18">
        <f t="shared" si="53"/>
        <v>4194800</v>
      </c>
    </row>
    <row r="700" spans="1:31" ht="16" customHeight="1" x14ac:dyDescent="0.45">
      <c r="A700" s="1">
        <v>2509</v>
      </c>
      <c r="B700" s="23">
        <v>45904</v>
      </c>
      <c r="C700" s="24"/>
      <c r="D700" s="25" t="s">
        <v>66</v>
      </c>
      <c r="E700" s="26" t="s">
        <v>185</v>
      </c>
      <c r="F700" s="26"/>
      <c r="G700" s="26" t="s">
        <v>185</v>
      </c>
      <c r="H700" s="27" t="s">
        <v>172</v>
      </c>
      <c r="I700" s="27" t="s">
        <v>488</v>
      </c>
      <c r="J700" s="27"/>
      <c r="K700" s="28"/>
      <c r="L700" s="29"/>
      <c r="M700" s="30"/>
      <c r="N700" s="31">
        <v>1718</v>
      </c>
      <c r="O700" s="32"/>
      <c r="P700" s="91"/>
      <c r="Q700" s="92"/>
      <c r="R700" s="93">
        <v>800</v>
      </c>
      <c r="S700" s="93">
        <f>N700*R700</f>
        <v>1374400</v>
      </c>
      <c r="T700" s="33"/>
      <c r="U700" s="34"/>
      <c r="V700" s="35">
        <v>1200</v>
      </c>
      <c r="W700" s="36">
        <f>N700*V700</f>
        <v>2061600</v>
      </c>
      <c r="X700" s="93"/>
      <c r="Y700" s="21"/>
      <c r="Z700" s="18">
        <f t="shared" si="53"/>
        <v>687200</v>
      </c>
    </row>
    <row r="701" spans="1:31" ht="16" customHeight="1" x14ac:dyDescent="0.45">
      <c r="A701" s="1">
        <v>2509</v>
      </c>
      <c r="B701" s="23">
        <v>45919</v>
      </c>
      <c r="C701" s="24"/>
      <c r="D701" s="25" t="s">
        <v>66</v>
      </c>
      <c r="E701" s="26" t="s">
        <v>117</v>
      </c>
      <c r="F701" s="26"/>
      <c r="G701" s="26" t="s">
        <v>117</v>
      </c>
      <c r="H701" s="27" t="s">
        <v>224</v>
      </c>
      <c r="I701" s="27" t="s">
        <v>53</v>
      </c>
      <c r="J701" s="27"/>
      <c r="K701" s="28"/>
      <c r="L701" s="29"/>
      <c r="M701" s="30"/>
      <c r="N701" s="31">
        <v>300</v>
      </c>
      <c r="O701" s="32"/>
      <c r="P701" s="91"/>
      <c r="Q701" s="92"/>
      <c r="R701" s="93">
        <v>950</v>
      </c>
      <c r="S701" s="93">
        <f>N701*R701</f>
        <v>285000</v>
      </c>
      <c r="T701" s="33"/>
      <c r="U701" s="34"/>
      <c r="V701" s="35">
        <v>1600</v>
      </c>
      <c r="W701" s="36">
        <f>N701*V701</f>
        <v>480000</v>
      </c>
      <c r="X701" s="93"/>
      <c r="Y701" s="21"/>
      <c r="Z701" s="18">
        <f t="shared" si="53"/>
        <v>195000</v>
      </c>
    </row>
    <row r="702" spans="1:31" s="21" customFormat="1" ht="16" customHeight="1" x14ac:dyDescent="0.45">
      <c r="A702" s="1">
        <v>2509</v>
      </c>
      <c r="B702" s="2">
        <v>45917</v>
      </c>
      <c r="C702" s="3"/>
      <c r="D702" s="4" t="s">
        <v>66</v>
      </c>
      <c r="E702" s="5" t="s">
        <v>109</v>
      </c>
      <c r="F702" s="5"/>
      <c r="G702" s="5" t="s">
        <v>230</v>
      </c>
      <c r="H702" s="19" t="s">
        <v>172</v>
      </c>
      <c r="I702" s="19"/>
      <c r="J702" s="19"/>
      <c r="K702" s="20"/>
      <c r="L702" s="6"/>
      <c r="M702" s="7"/>
      <c r="N702" s="8">
        <v>860</v>
      </c>
      <c r="O702" s="9"/>
      <c r="P702" s="10"/>
      <c r="Q702" s="11"/>
      <c r="R702" s="12">
        <v>800</v>
      </c>
      <c r="S702" s="12">
        <f>N702*R702</f>
        <v>688000</v>
      </c>
      <c r="T702" s="13"/>
      <c r="U702" s="14"/>
      <c r="V702" s="15" t="s">
        <v>232</v>
      </c>
      <c r="W702" s="16"/>
      <c r="X702" s="12"/>
      <c r="Y702" s="17"/>
      <c r="Z702" s="18">
        <f t="shared" si="53"/>
        <v>-688000</v>
      </c>
      <c r="AA702" s="17"/>
      <c r="AB702" s="17"/>
      <c r="AC702" s="17"/>
      <c r="AD702" s="17"/>
      <c r="AE702" s="17"/>
    </row>
    <row r="703" spans="1:31" ht="16" customHeight="1" x14ac:dyDescent="0.45">
      <c r="A703" s="1">
        <v>2509</v>
      </c>
      <c r="B703" s="2">
        <v>45903</v>
      </c>
      <c r="D703" s="4" t="s">
        <v>80</v>
      </c>
      <c r="E703" s="5" t="s">
        <v>30</v>
      </c>
      <c r="G703" s="5" t="s">
        <v>31</v>
      </c>
      <c r="H703" s="19" t="s">
        <v>100</v>
      </c>
      <c r="L703" s="6">
        <v>2</v>
      </c>
      <c r="M703" s="7">
        <v>1032</v>
      </c>
      <c r="P703" s="141">
        <v>2535</v>
      </c>
      <c r="Q703" s="95">
        <f>M703*P703</f>
        <v>2616120</v>
      </c>
      <c r="Z703" s="18">
        <f t="shared" si="53"/>
        <v>-2616120</v>
      </c>
    </row>
    <row r="704" spans="1:31" s="21" customFormat="1" ht="16" customHeight="1" x14ac:dyDescent="0.45">
      <c r="A704" s="1">
        <v>2509</v>
      </c>
      <c r="B704" s="23">
        <v>45896</v>
      </c>
      <c r="C704" s="24"/>
      <c r="D704" s="25" t="s">
        <v>211</v>
      </c>
      <c r="E704" s="26" t="s">
        <v>1</v>
      </c>
      <c r="F704" s="26"/>
      <c r="G704" s="26" t="s">
        <v>1</v>
      </c>
      <c r="H704" s="27" t="s">
        <v>383</v>
      </c>
      <c r="I704" s="27" t="s">
        <v>14</v>
      </c>
      <c r="J704" s="27"/>
      <c r="K704" s="28">
        <v>26</v>
      </c>
      <c r="L704" s="29">
        <v>4</v>
      </c>
      <c r="M704" s="30"/>
      <c r="N704" s="31"/>
      <c r="O704" s="32">
        <v>1390</v>
      </c>
      <c r="P704" s="91"/>
      <c r="Q704" s="92"/>
      <c r="R704" s="93" t="s">
        <v>218</v>
      </c>
      <c r="S704" s="93"/>
      <c r="T704" s="33"/>
      <c r="U704" s="34"/>
      <c r="V704" s="35">
        <v>4700</v>
      </c>
      <c r="W704" s="36">
        <f>O704*V704</f>
        <v>6533000</v>
      </c>
      <c r="X704" s="93"/>
      <c r="Z704" s="18">
        <f t="shared" si="53"/>
        <v>6533000</v>
      </c>
      <c r="AA704" s="17"/>
      <c r="AB704" s="17"/>
      <c r="AC704" s="17"/>
      <c r="AD704" s="17"/>
      <c r="AE704" s="17"/>
    </row>
    <row r="705" spans="1:31" s="21" customFormat="1" ht="16" customHeight="1" x14ac:dyDescent="0.45">
      <c r="A705" s="1">
        <v>2509</v>
      </c>
      <c r="B705" s="23">
        <v>45902</v>
      </c>
      <c r="C705" s="24"/>
      <c r="D705" s="25" t="s">
        <v>211</v>
      </c>
      <c r="E705" s="26" t="s">
        <v>1</v>
      </c>
      <c r="F705" s="26"/>
      <c r="G705" s="26" t="s">
        <v>1</v>
      </c>
      <c r="H705" s="27" t="s">
        <v>383</v>
      </c>
      <c r="I705" s="27" t="s">
        <v>142</v>
      </c>
      <c r="J705" s="27"/>
      <c r="K705" s="28"/>
      <c r="L705" s="29"/>
      <c r="M705" s="30"/>
      <c r="N705" s="31"/>
      <c r="O705" s="32">
        <v>2747</v>
      </c>
      <c r="P705" s="91"/>
      <c r="Q705" s="92"/>
      <c r="R705" s="93">
        <v>2350</v>
      </c>
      <c r="S705" s="93">
        <f t="shared" ref="S705:S711" si="58">O705*R705</f>
        <v>6455450</v>
      </c>
      <c r="T705" s="33"/>
      <c r="U705" s="34"/>
      <c r="V705" s="35">
        <v>4700</v>
      </c>
      <c r="W705" s="36">
        <f>O705*V705</f>
        <v>12910900</v>
      </c>
      <c r="X705" s="93"/>
      <c r="Z705" s="18">
        <f t="shared" si="53"/>
        <v>6455450</v>
      </c>
      <c r="AA705" s="17"/>
      <c r="AB705" s="17"/>
      <c r="AC705" s="17"/>
      <c r="AD705" s="17"/>
      <c r="AE705" s="17"/>
    </row>
    <row r="706" spans="1:31" s="21" customFormat="1" ht="16" customHeight="1" x14ac:dyDescent="0.45">
      <c r="A706" s="1">
        <v>2509</v>
      </c>
      <c r="B706" s="23">
        <v>45902</v>
      </c>
      <c r="C706" s="24"/>
      <c r="D706" s="25" t="s">
        <v>211</v>
      </c>
      <c r="E706" s="26" t="s">
        <v>1</v>
      </c>
      <c r="F706" s="26" t="s">
        <v>489</v>
      </c>
      <c r="G706" s="26" t="s">
        <v>1</v>
      </c>
      <c r="H706" s="27" t="s">
        <v>383</v>
      </c>
      <c r="I706" s="27" t="s">
        <v>116</v>
      </c>
      <c r="J706" s="27"/>
      <c r="K706" s="28"/>
      <c r="L706" s="29"/>
      <c r="M706" s="30"/>
      <c r="N706" s="31"/>
      <c r="O706" s="32">
        <v>2336</v>
      </c>
      <c r="P706" s="91"/>
      <c r="Q706" s="92"/>
      <c r="R706" s="93">
        <v>2350</v>
      </c>
      <c r="S706" s="93">
        <f t="shared" si="58"/>
        <v>5489600</v>
      </c>
      <c r="T706" s="33"/>
      <c r="U706" s="34"/>
      <c r="V706" s="35">
        <v>4700</v>
      </c>
      <c r="W706" s="36">
        <f>O706*V706</f>
        <v>10979200</v>
      </c>
      <c r="X706" s="93"/>
      <c r="Z706" s="18">
        <f t="shared" ref="Z706:Z769" si="59">W706-S706-Q706</f>
        <v>5489600</v>
      </c>
      <c r="AA706" s="17"/>
      <c r="AB706" s="17"/>
      <c r="AC706" s="17"/>
      <c r="AD706" s="17"/>
      <c r="AE706" s="17"/>
    </row>
    <row r="707" spans="1:31" s="21" customFormat="1" ht="16" customHeight="1" x14ac:dyDescent="0.45">
      <c r="A707" s="1">
        <v>2509</v>
      </c>
      <c r="B707" s="23">
        <v>45904</v>
      </c>
      <c r="C707" s="24"/>
      <c r="D707" s="25" t="s">
        <v>211</v>
      </c>
      <c r="E707" s="26" t="s">
        <v>1</v>
      </c>
      <c r="F707" s="26"/>
      <c r="G707" s="26" t="s">
        <v>1</v>
      </c>
      <c r="H707" s="27" t="s">
        <v>383</v>
      </c>
      <c r="I707" s="27" t="s">
        <v>62</v>
      </c>
      <c r="J707" s="27"/>
      <c r="K707" s="28"/>
      <c r="L707" s="29"/>
      <c r="M707" s="30"/>
      <c r="N707" s="31"/>
      <c r="O707" s="32">
        <v>2465</v>
      </c>
      <c r="P707" s="91"/>
      <c r="Q707" s="92"/>
      <c r="R707" s="93">
        <v>2350</v>
      </c>
      <c r="S707" s="93">
        <f t="shared" si="58"/>
        <v>5792750</v>
      </c>
      <c r="T707" s="33"/>
      <c r="U707" s="34"/>
      <c r="V707" s="35">
        <v>4700</v>
      </c>
      <c r="W707" s="36">
        <f>O707*V707</f>
        <v>11585500</v>
      </c>
      <c r="X707" s="93"/>
      <c r="Z707" s="18">
        <f t="shared" si="59"/>
        <v>5792750</v>
      </c>
      <c r="AA707" s="17"/>
      <c r="AB707" s="17"/>
      <c r="AC707" s="17"/>
      <c r="AD707" s="17"/>
      <c r="AE707" s="17"/>
    </row>
    <row r="708" spans="1:31" s="21" customFormat="1" ht="16" customHeight="1" x14ac:dyDescent="0.45">
      <c r="A708" s="1">
        <v>2509</v>
      </c>
      <c r="B708" s="23">
        <v>45909</v>
      </c>
      <c r="C708" s="24"/>
      <c r="D708" s="25" t="s">
        <v>211</v>
      </c>
      <c r="E708" s="26" t="s">
        <v>1</v>
      </c>
      <c r="F708" s="26" t="s">
        <v>489</v>
      </c>
      <c r="G708" s="26" t="s">
        <v>1</v>
      </c>
      <c r="H708" s="27" t="s">
        <v>383</v>
      </c>
      <c r="I708" s="27" t="s">
        <v>77</v>
      </c>
      <c r="J708" s="27"/>
      <c r="K708" s="28"/>
      <c r="L708" s="29"/>
      <c r="M708" s="30"/>
      <c r="N708" s="31"/>
      <c r="O708" s="32">
        <v>1374</v>
      </c>
      <c r="P708" s="91"/>
      <c r="Q708" s="92"/>
      <c r="R708" s="93">
        <v>2350</v>
      </c>
      <c r="S708" s="93">
        <f t="shared" si="58"/>
        <v>3228900</v>
      </c>
      <c r="T708" s="33"/>
      <c r="U708" s="34"/>
      <c r="V708" s="35">
        <v>4700</v>
      </c>
      <c r="W708" s="36">
        <f>O708*V708</f>
        <v>6457800</v>
      </c>
      <c r="X708" s="93"/>
      <c r="Z708" s="18">
        <f t="shared" si="59"/>
        <v>3228900</v>
      </c>
      <c r="AA708" s="17"/>
      <c r="AB708" s="17"/>
      <c r="AC708" s="17"/>
      <c r="AD708" s="17"/>
      <c r="AE708" s="17"/>
    </row>
    <row r="709" spans="1:31" s="21" customFormat="1" ht="16" customHeight="1" x14ac:dyDescent="0.45">
      <c r="A709" s="1">
        <v>2509</v>
      </c>
      <c r="B709" s="23">
        <v>45930</v>
      </c>
      <c r="C709" s="24"/>
      <c r="D709" s="25" t="s">
        <v>211</v>
      </c>
      <c r="E709" s="26" t="s">
        <v>1</v>
      </c>
      <c r="F709" s="26"/>
      <c r="G709" s="26" t="s">
        <v>1</v>
      </c>
      <c r="H709" s="27" t="s">
        <v>490</v>
      </c>
      <c r="I709" s="27" t="s">
        <v>21</v>
      </c>
      <c r="J709" s="27" t="s">
        <v>491</v>
      </c>
      <c r="K709" s="28"/>
      <c r="L709" s="29"/>
      <c r="M709" s="30"/>
      <c r="N709" s="31"/>
      <c r="O709" s="32">
        <v>203</v>
      </c>
      <c r="P709" s="91"/>
      <c r="Q709" s="92"/>
      <c r="R709" s="93">
        <v>2350</v>
      </c>
      <c r="S709" s="93">
        <f t="shared" si="58"/>
        <v>477050</v>
      </c>
      <c r="T709" s="33"/>
      <c r="U709" s="34"/>
      <c r="V709" s="35" t="s">
        <v>236</v>
      </c>
      <c r="W709" s="36"/>
      <c r="X709" s="93"/>
      <c r="Z709" s="18">
        <f t="shared" si="59"/>
        <v>-477050</v>
      </c>
      <c r="AA709" s="17"/>
      <c r="AB709" s="17"/>
      <c r="AC709" s="17"/>
      <c r="AD709" s="17"/>
      <c r="AE709" s="17"/>
    </row>
    <row r="710" spans="1:31" s="21" customFormat="1" ht="16" customHeight="1" x14ac:dyDescent="0.45">
      <c r="A710" s="1">
        <v>2509</v>
      </c>
      <c r="B710" s="23">
        <v>45930</v>
      </c>
      <c r="C710" s="24"/>
      <c r="D710" s="25" t="s">
        <v>211</v>
      </c>
      <c r="E710" s="26" t="s">
        <v>1</v>
      </c>
      <c r="F710" s="26"/>
      <c r="G710" s="26" t="s">
        <v>1</v>
      </c>
      <c r="H710" s="27" t="s">
        <v>383</v>
      </c>
      <c r="I710" s="27" t="s">
        <v>492</v>
      </c>
      <c r="J710" s="27"/>
      <c r="K710" s="28"/>
      <c r="L710" s="29"/>
      <c r="M710" s="30"/>
      <c r="N710" s="31"/>
      <c r="O710" s="32">
        <v>266</v>
      </c>
      <c r="P710" s="91"/>
      <c r="Q710" s="92"/>
      <c r="R710" s="93">
        <v>2350</v>
      </c>
      <c r="S710" s="93">
        <f t="shared" si="58"/>
        <v>625100</v>
      </c>
      <c r="T710" s="33"/>
      <c r="U710" s="34"/>
      <c r="V710" s="35">
        <v>4700</v>
      </c>
      <c r="W710" s="36">
        <f>O710*V710</f>
        <v>1250200</v>
      </c>
      <c r="X710" s="93"/>
      <c r="Z710" s="18">
        <f t="shared" si="59"/>
        <v>625100</v>
      </c>
      <c r="AA710" s="17"/>
      <c r="AB710" s="17"/>
      <c r="AC710" s="17"/>
      <c r="AD710" s="17"/>
      <c r="AE710" s="17"/>
    </row>
    <row r="711" spans="1:31" s="21" customFormat="1" ht="16" customHeight="1" x14ac:dyDescent="0.45">
      <c r="A711" s="1">
        <v>2509</v>
      </c>
      <c r="B711" s="23">
        <v>45930</v>
      </c>
      <c r="C711" s="24"/>
      <c r="D711" s="25" t="s">
        <v>211</v>
      </c>
      <c r="E711" s="26" t="s">
        <v>1</v>
      </c>
      <c r="F711" s="26"/>
      <c r="G711" s="26" t="s">
        <v>1</v>
      </c>
      <c r="H711" s="27" t="s">
        <v>383</v>
      </c>
      <c r="I711" s="27" t="s">
        <v>493</v>
      </c>
      <c r="J711" s="27"/>
      <c r="K711" s="28"/>
      <c r="L711" s="29"/>
      <c r="M711" s="30"/>
      <c r="N711" s="31"/>
      <c r="O711" s="32">
        <v>870</v>
      </c>
      <c r="P711" s="91"/>
      <c r="Q711" s="92"/>
      <c r="R711" s="93">
        <v>2350</v>
      </c>
      <c r="S711" s="93">
        <f t="shared" si="58"/>
        <v>2044500</v>
      </c>
      <c r="T711" s="33"/>
      <c r="U711" s="34"/>
      <c r="V711" s="35">
        <v>4700</v>
      </c>
      <c r="W711" s="36">
        <f>O711*V711</f>
        <v>4089000</v>
      </c>
      <c r="X711" s="93"/>
      <c r="Z711" s="18">
        <f t="shared" si="59"/>
        <v>2044500</v>
      </c>
      <c r="AA711" s="17"/>
      <c r="AB711" s="17"/>
      <c r="AC711" s="17"/>
      <c r="AD711" s="17"/>
      <c r="AE711" s="17"/>
    </row>
    <row r="712" spans="1:31" ht="16" customHeight="1" x14ac:dyDescent="0.45">
      <c r="A712" s="1">
        <v>2509</v>
      </c>
      <c r="B712" s="2">
        <v>45908</v>
      </c>
      <c r="D712" s="4" t="s">
        <v>339</v>
      </c>
      <c r="E712" s="5" t="s">
        <v>463</v>
      </c>
      <c r="G712" s="5" t="s">
        <v>28</v>
      </c>
      <c r="H712" s="19" t="s">
        <v>494</v>
      </c>
      <c r="L712" s="6">
        <v>3</v>
      </c>
      <c r="M712" s="7">
        <v>1271.4000000000001</v>
      </c>
      <c r="R712" s="12">
        <v>1000</v>
      </c>
      <c r="S712" s="12">
        <f t="shared" ref="S712:S724" si="60">M712*R712</f>
        <v>1271400</v>
      </c>
      <c r="Z712" s="18">
        <f t="shared" si="59"/>
        <v>-1271400</v>
      </c>
    </row>
    <row r="713" spans="1:31" ht="19" customHeight="1" x14ac:dyDescent="0.45">
      <c r="A713" s="1">
        <v>2509</v>
      </c>
      <c r="B713" s="2">
        <v>45904</v>
      </c>
      <c r="D713" s="4" t="s">
        <v>339</v>
      </c>
      <c r="E713" s="5" t="s">
        <v>463</v>
      </c>
      <c r="G713" s="5" t="s">
        <v>28</v>
      </c>
      <c r="H713" s="19" t="s">
        <v>94</v>
      </c>
      <c r="L713" s="6">
        <v>2</v>
      </c>
      <c r="M713" s="7">
        <v>1070.0999999999999</v>
      </c>
      <c r="R713" s="12">
        <v>1000</v>
      </c>
      <c r="S713" s="12">
        <f t="shared" si="60"/>
        <v>1070100</v>
      </c>
      <c r="Z713" s="18">
        <f t="shared" si="59"/>
        <v>-1070100</v>
      </c>
    </row>
    <row r="714" spans="1:31" ht="16" customHeight="1" x14ac:dyDescent="0.45">
      <c r="A714" s="1">
        <v>2509</v>
      </c>
      <c r="B714" s="2">
        <v>45902</v>
      </c>
      <c r="D714" s="4" t="s">
        <v>339</v>
      </c>
      <c r="E714" s="5" t="s">
        <v>463</v>
      </c>
      <c r="G714" s="5" t="s">
        <v>28</v>
      </c>
      <c r="H714" s="19" t="s">
        <v>494</v>
      </c>
      <c r="L714" s="6">
        <v>3</v>
      </c>
      <c r="M714" s="7">
        <v>1272.7</v>
      </c>
      <c r="R714" s="12">
        <v>1000</v>
      </c>
      <c r="S714" s="12">
        <f t="shared" si="60"/>
        <v>1272700</v>
      </c>
      <c r="Z714" s="18">
        <f t="shared" si="59"/>
        <v>-1272700</v>
      </c>
    </row>
    <row r="715" spans="1:31" ht="16" customHeight="1" x14ac:dyDescent="0.45">
      <c r="A715" s="1">
        <v>2509</v>
      </c>
      <c r="B715" s="2">
        <v>45901</v>
      </c>
      <c r="D715" s="4" t="s">
        <v>339</v>
      </c>
      <c r="E715" s="5" t="s">
        <v>27</v>
      </c>
      <c r="G715" s="5" t="s">
        <v>28</v>
      </c>
      <c r="H715" s="19" t="s">
        <v>94</v>
      </c>
      <c r="L715" s="6">
        <v>1</v>
      </c>
      <c r="M715" s="7">
        <v>422.6</v>
      </c>
      <c r="R715" s="12">
        <v>1000</v>
      </c>
      <c r="S715" s="12">
        <f t="shared" si="60"/>
        <v>422600</v>
      </c>
      <c r="Z715" s="18">
        <f t="shared" si="59"/>
        <v>-422600</v>
      </c>
    </row>
    <row r="716" spans="1:31" ht="16" customHeight="1" x14ac:dyDescent="0.45">
      <c r="A716" s="1">
        <v>2509</v>
      </c>
      <c r="B716" s="2">
        <v>45901</v>
      </c>
      <c r="D716" s="4" t="s">
        <v>339</v>
      </c>
      <c r="E716" s="5" t="s">
        <v>27</v>
      </c>
      <c r="G716" s="5" t="s">
        <v>28</v>
      </c>
      <c r="H716" s="19" t="s">
        <v>357</v>
      </c>
      <c r="L716" s="6">
        <v>1</v>
      </c>
      <c r="M716" s="7">
        <v>415.2</v>
      </c>
      <c r="R716" s="12">
        <v>1000</v>
      </c>
      <c r="S716" s="12">
        <f t="shared" si="60"/>
        <v>415200</v>
      </c>
      <c r="Z716" s="18">
        <f t="shared" si="59"/>
        <v>-415200</v>
      </c>
    </row>
    <row r="717" spans="1:31" ht="16" customHeight="1" x14ac:dyDescent="0.45">
      <c r="A717" s="1">
        <v>2509</v>
      </c>
      <c r="B717" s="2">
        <v>45901</v>
      </c>
      <c r="D717" s="4" t="s">
        <v>339</v>
      </c>
      <c r="E717" s="5" t="s">
        <v>27</v>
      </c>
      <c r="G717" s="5" t="s">
        <v>28</v>
      </c>
      <c r="H717" s="19" t="s">
        <v>199</v>
      </c>
      <c r="L717" s="6">
        <v>1</v>
      </c>
      <c r="M717" s="7">
        <v>223.9</v>
      </c>
      <c r="R717" s="12">
        <v>1000</v>
      </c>
      <c r="S717" s="12">
        <f t="shared" si="60"/>
        <v>223900</v>
      </c>
      <c r="Z717" s="18">
        <f t="shared" si="59"/>
        <v>-223900</v>
      </c>
    </row>
    <row r="718" spans="1:31" s="21" customFormat="1" ht="16" customHeight="1" x14ac:dyDescent="0.45">
      <c r="A718" s="1">
        <v>2509</v>
      </c>
      <c r="B718" s="2">
        <v>45912</v>
      </c>
      <c r="C718" s="3"/>
      <c r="D718" s="4" t="s">
        <v>339</v>
      </c>
      <c r="E718" s="5" t="s">
        <v>27</v>
      </c>
      <c r="F718" s="5"/>
      <c r="G718" s="5" t="s">
        <v>28</v>
      </c>
      <c r="H718" s="19" t="s">
        <v>94</v>
      </c>
      <c r="I718" s="19"/>
      <c r="J718" s="19"/>
      <c r="K718" s="20"/>
      <c r="L718" s="6">
        <v>1</v>
      </c>
      <c r="M718" s="7">
        <v>425</v>
      </c>
      <c r="N718" s="8"/>
      <c r="O718" s="9"/>
      <c r="P718" s="10"/>
      <c r="Q718" s="11"/>
      <c r="R718" s="12">
        <v>1000</v>
      </c>
      <c r="S718" s="12">
        <f t="shared" si="60"/>
        <v>425000</v>
      </c>
      <c r="T718" s="13"/>
      <c r="U718" s="14"/>
      <c r="V718" s="15"/>
      <c r="W718" s="16"/>
      <c r="X718" s="12"/>
      <c r="Y718" s="17"/>
      <c r="Z718" s="18">
        <f t="shared" si="59"/>
        <v>-425000</v>
      </c>
      <c r="AA718" s="17"/>
      <c r="AB718" s="17"/>
      <c r="AC718" s="17"/>
      <c r="AD718" s="17"/>
      <c r="AE718" s="17"/>
    </row>
    <row r="719" spans="1:31" s="21" customFormat="1" ht="16" customHeight="1" x14ac:dyDescent="0.45">
      <c r="A719" s="1">
        <v>2509</v>
      </c>
      <c r="B719" s="2">
        <v>45912</v>
      </c>
      <c r="C719" s="3"/>
      <c r="D719" s="4" t="s">
        <v>339</v>
      </c>
      <c r="E719" s="5" t="s">
        <v>27</v>
      </c>
      <c r="F719" s="5"/>
      <c r="G719" s="5" t="s">
        <v>28</v>
      </c>
      <c r="H719" s="19" t="s">
        <v>245</v>
      </c>
      <c r="I719" s="19"/>
      <c r="J719" s="19"/>
      <c r="K719" s="20"/>
      <c r="L719" s="6">
        <v>2</v>
      </c>
      <c r="M719" s="7">
        <v>455.3</v>
      </c>
      <c r="N719" s="8"/>
      <c r="O719" s="9"/>
      <c r="P719" s="10"/>
      <c r="Q719" s="11"/>
      <c r="R719" s="12">
        <v>1000</v>
      </c>
      <c r="S719" s="12">
        <f t="shared" si="60"/>
        <v>455300</v>
      </c>
      <c r="T719" s="13"/>
      <c r="U719" s="14"/>
      <c r="V719" s="15"/>
      <c r="W719" s="16"/>
      <c r="X719" s="12"/>
      <c r="Y719" s="17"/>
      <c r="Z719" s="18">
        <f t="shared" si="59"/>
        <v>-455300</v>
      </c>
      <c r="AA719" s="17"/>
      <c r="AB719" s="17"/>
      <c r="AC719" s="17"/>
      <c r="AD719" s="17"/>
      <c r="AE719" s="17"/>
    </row>
    <row r="720" spans="1:31" s="21" customFormat="1" ht="16" customHeight="1" x14ac:dyDescent="0.45">
      <c r="A720" s="1">
        <v>2509</v>
      </c>
      <c r="B720" s="2">
        <v>45926</v>
      </c>
      <c r="C720" s="3"/>
      <c r="D720" s="4" t="s">
        <v>339</v>
      </c>
      <c r="E720" s="5" t="s">
        <v>27</v>
      </c>
      <c r="F720" s="5"/>
      <c r="G720" s="5" t="s">
        <v>28</v>
      </c>
      <c r="H720" s="19" t="s">
        <v>94</v>
      </c>
      <c r="I720" s="19"/>
      <c r="J720" s="19"/>
      <c r="K720" s="20"/>
      <c r="L720" s="6"/>
      <c r="M720" s="7">
        <v>424.5</v>
      </c>
      <c r="N720" s="8"/>
      <c r="O720" s="9"/>
      <c r="P720" s="10"/>
      <c r="Q720" s="11"/>
      <c r="R720" s="12">
        <v>1000</v>
      </c>
      <c r="S720" s="12">
        <f t="shared" si="60"/>
        <v>424500</v>
      </c>
      <c r="T720" s="13"/>
      <c r="U720" s="14"/>
      <c r="V720" s="15"/>
      <c r="W720" s="16"/>
      <c r="X720" s="12"/>
      <c r="Y720" s="17"/>
      <c r="Z720" s="18">
        <f t="shared" si="59"/>
        <v>-424500</v>
      </c>
      <c r="AA720" s="17"/>
      <c r="AB720" s="17"/>
      <c r="AC720" s="17"/>
      <c r="AD720" s="17"/>
      <c r="AE720" s="17"/>
    </row>
    <row r="721" spans="1:31" s="21" customFormat="1" ht="16" customHeight="1" x14ac:dyDescent="0.45">
      <c r="A721" s="1">
        <v>2509</v>
      </c>
      <c r="B721" s="2">
        <v>45926</v>
      </c>
      <c r="C721" s="3"/>
      <c r="D721" s="4" t="s">
        <v>339</v>
      </c>
      <c r="E721" s="5" t="s">
        <v>27</v>
      </c>
      <c r="F721" s="5"/>
      <c r="G721" s="5" t="s">
        <v>28</v>
      </c>
      <c r="H721" s="19" t="s">
        <v>357</v>
      </c>
      <c r="I721" s="19"/>
      <c r="J721" s="19"/>
      <c r="K721" s="20"/>
      <c r="L721" s="6"/>
      <c r="M721" s="7">
        <v>417.8</v>
      </c>
      <c r="N721" s="8"/>
      <c r="O721" s="9"/>
      <c r="P721" s="10"/>
      <c r="Q721" s="11"/>
      <c r="R721" s="12">
        <v>1000</v>
      </c>
      <c r="S721" s="12">
        <f t="shared" si="60"/>
        <v>417800</v>
      </c>
      <c r="T721" s="13"/>
      <c r="U721" s="14"/>
      <c r="V721" s="15"/>
      <c r="W721" s="16"/>
      <c r="X721" s="12"/>
      <c r="Y721" s="17"/>
      <c r="Z721" s="18">
        <f t="shared" si="59"/>
        <v>-417800</v>
      </c>
      <c r="AA721" s="17"/>
      <c r="AB721" s="17"/>
      <c r="AC721" s="17"/>
      <c r="AD721" s="17"/>
      <c r="AE721" s="17"/>
    </row>
    <row r="722" spans="1:31" ht="16" customHeight="1" x14ac:dyDescent="0.45">
      <c r="A722" s="1">
        <v>2509</v>
      </c>
      <c r="B722" s="2">
        <v>45926</v>
      </c>
      <c r="D722" s="4" t="s">
        <v>339</v>
      </c>
      <c r="E722" s="5" t="s">
        <v>27</v>
      </c>
      <c r="G722" s="5" t="s">
        <v>28</v>
      </c>
      <c r="H722" s="19" t="s">
        <v>245</v>
      </c>
      <c r="M722" s="7">
        <v>253.5</v>
      </c>
      <c r="R722" s="12">
        <v>1000</v>
      </c>
      <c r="S722" s="12">
        <f t="shared" si="60"/>
        <v>253500</v>
      </c>
      <c r="Z722" s="18">
        <f t="shared" si="59"/>
        <v>-253500</v>
      </c>
    </row>
    <row r="723" spans="1:31" ht="16" customHeight="1" x14ac:dyDescent="0.45">
      <c r="A723" s="1">
        <v>2509</v>
      </c>
      <c r="B723" s="2">
        <v>45925</v>
      </c>
      <c r="D723" s="4" t="s">
        <v>339</v>
      </c>
      <c r="E723" s="5" t="s">
        <v>27</v>
      </c>
      <c r="G723" s="5" t="s">
        <v>28</v>
      </c>
      <c r="H723" s="19" t="s">
        <v>495</v>
      </c>
      <c r="M723" s="7">
        <v>649</v>
      </c>
      <c r="R723" s="12">
        <v>1000</v>
      </c>
      <c r="S723" s="12">
        <f t="shared" si="60"/>
        <v>649000</v>
      </c>
      <c r="Z723" s="18">
        <f t="shared" si="59"/>
        <v>-649000</v>
      </c>
    </row>
    <row r="724" spans="1:31" ht="16" customHeight="1" x14ac:dyDescent="0.45">
      <c r="A724" s="1">
        <v>2509</v>
      </c>
      <c r="B724" s="2">
        <v>45925</v>
      </c>
      <c r="D724" s="4" t="s">
        <v>339</v>
      </c>
      <c r="E724" s="5" t="s">
        <v>27</v>
      </c>
      <c r="G724" s="5" t="s">
        <v>28</v>
      </c>
      <c r="H724" s="19" t="s">
        <v>386</v>
      </c>
      <c r="M724" s="7">
        <v>418.9</v>
      </c>
      <c r="R724" s="12">
        <v>1000</v>
      </c>
      <c r="S724" s="12">
        <f t="shared" si="60"/>
        <v>418900</v>
      </c>
      <c r="Z724" s="18">
        <f t="shared" si="59"/>
        <v>-418900</v>
      </c>
    </row>
    <row r="725" spans="1:31" ht="16" customHeight="1" x14ac:dyDescent="0.45">
      <c r="A725" s="1">
        <v>2509</v>
      </c>
      <c r="B725" s="2">
        <v>45910</v>
      </c>
      <c r="D725" s="4" t="s">
        <v>430</v>
      </c>
      <c r="E725" s="5" t="s">
        <v>93</v>
      </c>
      <c r="G725" s="5" t="s">
        <v>28</v>
      </c>
      <c r="H725" s="19" t="s">
        <v>95</v>
      </c>
      <c r="I725" s="19" t="s">
        <v>120</v>
      </c>
      <c r="M725" s="7">
        <v>1009.2</v>
      </c>
      <c r="P725" s="10">
        <v>4000</v>
      </c>
      <c r="Q725" s="11">
        <f>M725*P725</f>
        <v>4036800</v>
      </c>
      <c r="Z725" s="18">
        <f t="shared" si="59"/>
        <v>-4036800</v>
      </c>
    </row>
    <row r="726" spans="1:31" ht="16" customHeight="1" x14ac:dyDescent="0.45">
      <c r="A726" s="1">
        <v>2509</v>
      </c>
      <c r="B726" s="2">
        <v>45910</v>
      </c>
      <c r="D726" s="4" t="s">
        <v>430</v>
      </c>
      <c r="E726" s="5" t="s">
        <v>93</v>
      </c>
      <c r="G726" s="5" t="s">
        <v>28</v>
      </c>
      <c r="H726" s="19" t="s">
        <v>95</v>
      </c>
      <c r="I726" s="19" t="s">
        <v>120</v>
      </c>
      <c r="M726" s="7">
        <v>1002.5</v>
      </c>
      <c r="P726" s="10">
        <v>4000</v>
      </c>
      <c r="Q726" s="11">
        <f>M726*P726</f>
        <v>4010000</v>
      </c>
      <c r="Z726" s="18">
        <f t="shared" si="59"/>
        <v>-4010000</v>
      </c>
    </row>
    <row r="727" spans="1:31" ht="16" customHeight="1" x14ac:dyDescent="0.45">
      <c r="A727" s="1">
        <v>2509</v>
      </c>
      <c r="B727" s="2">
        <v>45903</v>
      </c>
      <c r="D727" s="4" t="s">
        <v>93</v>
      </c>
      <c r="E727" s="5" t="s">
        <v>463</v>
      </c>
      <c r="G727" s="5" t="s">
        <v>28</v>
      </c>
      <c r="H727" s="19" t="s">
        <v>310</v>
      </c>
      <c r="L727" s="6">
        <v>2</v>
      </c>
      <c r="M727" s="7">
        <v>857.5</v>
      </c>
      <c r="R727" s="12">
        <v>1050</v>
      </c>
      <c r="S727" s="12">
        <f>M727*R727</f>
        <v>900375</v>
      </c>
      <c r="Z727" s="18">
        <f t="shared" si="59"/>
        <v>-900375</v>
      </c>
    </row>
    <row r="728" spans="1:31" ht="16" customHeight="1" x14ac:dyDescent="0.45">
      <c r="A728" s="1">
        <v>2509</v>
      </c>
      <c r="B728" s="2">
        <v>45915</v>
      </c>
      <c r="D728" s="4" t="s">
        <v>93</v>
      </c>
      <c r="E728" s="5" t="s">
        <v>463</v>
      </c>
      <c r="G728" s="5" t="s">
        <v>28</v>
      </c>
      <c r="H728" s="19" t="s">
        <v>310</v>
      </c>
      <c r="L728" s="6">
        <v>2</v>
      </c>
      <c r="M728" s="7">
        <v>875</v>
      </c>
      <c r="R728" s="12">
        <v>1050</v>
      </c>
      <c r="S728" s="12">
        <f>M728*R728</f>
        <v>918750</v>
      </c>
      <c r="Z728" s="18">
        <f t="shared" si="59"/>
        <v>-918750</v>
      </c>
    </row>
    <row r="729" spans="1:31" ht="16" customHeight="1" x14ac:dyDescent="0.45">
      <c r="A729" s="1">
        <v>2509</v>
      </c>
      <c r="B729" s="2">
        <v>45915</v>
      </c>
      <c r="D729" s="4" t="s">
        <v>93</v>
      </c>
      <c r="E729" s="5" t="s">
        <v>463</v>
      </c>
      <c r="G729" s="5" t="s">
        <v>28</v>
      </c>
      <c r="H729" s="19" t="s">
        <v>95</v>
      </c>
      <c r="M729" s="7">
        <v>357</v>
      </c>
      <c r="R729" s="12">
        <v>1050</v>
      </c>
      <c r="S729" s="12">
        <f>M729*R729</f>
        <v>374850</v>
      </c>
      <c r="Z729" s="18">
        <f t="shared" si="59"/>
        <v>-374850</v>
      </c>
    </row>
    <row r="730" spans="1:31" ht="16" customHeight="1" x14ac:dyDescent="0.45">
      <c r="A730" s="1">
        <v>2509</v>
      </c>
      <c r="B730" s="23">
        <v>45922</v>
      </c>
      <c r="C730" s="24"/>
      <c r="D730" s="25" t="s">
        <v>93</v>
      </c>
      <c r="E730" s="26" t="s">
        <v>187</v>
      </c>
      <c r="F730" s="26"/>
      <c r="G730" s="26" t="s">
        <v>187</v>
      </c>
      <c r="H730" s="27" t="s">
        <v>496</v>
      </c>
      <c r="I730" s="27"/>
      <c r="J730" s="27"/>
      <c r="K730" s="28"/>
      <c r="L730" s="29"/>
      <c r="M730" s="30">
        <v>2646</v>
      </c>
      <c r="N730" s="31"/>
      <c r="O730" s="32"/>
      <c r="P730" s="91"/>
      <c r="Q730" s="92"/>
      <c r="R730" s="93">
        <v>1100</v>
      </c>
      <c r="S730" s="93">
        <f>M730*R730</f>
        <v>2910600</v>
      </c>
      <c r="T730" s="33"/>
      <c r="U730" s="34"/>
      <c r="V730" s="35">
        <v>4350</v>
      </c>
      <c r="W730" s="36">
        <f>M730*V730</f>
        <v>11510100</v>
      </c>
      <c r="X730" s="93"/>
      <c r="Y730" s="21"/>
      <c r="Z730" s="18">
        <f t="shared" si="59"/>
        <v>8599500</v>
      </c>
    </row>
    <row r="731" spans="1:31" s="21" customFormat="1" ht="16" customHeight="1" x14ac:dyDescent="0.45">
      <c r="A731" s="1">
        <v>2509</v>
      </c>
      <c r="B731" s="2">
        <v>45924</v>
      </c>
      <c r="C731" s="3"/>
      <c r="D731" s="4" t="s">
        <v>26</v>
      </c>
      <c r="E731" s="5" t="s">
        <v>463</v>
      </c>
      <c r="F731" s="5"/>
      <c r="G731" s="5" t="s">
        <v>28</v>
      </c>
      <c r="H731" s="19" t="s">
        <v>497</v>
      </c>
      <c r="I731" s="19"/>
      <c r="J731" s="19"/>
      <c r="K731" s="20"/>
      <c r="L731" s="6"/>
      <c r="M731" s="7">
        <v>1624</v>
      </c>
      <c r="N731" s="8"/>
      <c r="O731" s="9"/>
      <c r="P731" s="10">
        <v>4800</v>
      </c>
      <c r="Q731" s="11">
        <f>M731*P731</f>
        <v>7795200</v>
      </c>
      <c r="R731" s="12"/>
      <c r="S731" s="12"/>
      <c r="T731" s="13"/>
      <c r="U731" s="14"/>
      <c r="V731" s="15"/>
      <c r="W731" s="16"/>
      <c r="X731" s="12"/>
      <c r="Y731" s="17"/>
      <c r="Z731" s="18">
        <f t="shared" si="59"/>
        <v>-7795200</v>
      </c>
      <c r="AA731" s="17"/>
      <c r="AB731" s="17"/>
      <c r="AC731" s="17"/>
      <c r="AD731" s="17"/>
      <c r="AE731" s="17"/>
    </row>
    <row r="732" spans="1:31" ht="16" customHeight="1" x14ac:dyDescent="0.45">
      <c r="A732" s="1">
        <v>2509</v>
      </c>
      <c r="B732" s="2">
        <v>45922</v>
      </c>
      <c r="C732" s="24"/>
      <c r="D732" s="4" t="s">
        <v>30</v>
      </c>
      <c r="E732" s="5" t="s">
        <v>31</v>
      </c>
      <c r="G732" s="5" t="s">
        <v>31</v>
      </c>
      <c r="H732" s="19" t="s">
        <v>96</v>
      </c>
      <c r="O732" s="9">
        <v>1000</v>
      </c>
      <c r="P732" s="141"/>
      <c r="Q732" s="95"/>
      <c r="R732" s="12">
        <v>1113</v>
      </c>
      <c r="S732" s="12">
        <f t="shared" ref="S732:S738" si="61">O732*R732</f>
        <v>1113000</v>
      </c>
      <c r="T732" s="33"/>
      <c r="U732" s="34"/>
      <c r="V732" s="15">
        <v>2200</v>
      </c>
      <c r="W732" s="16">
        <f t="shared" ref="W732:W739" si="62">O732*V732</f>
        <v>2200000</v>
      </c>
      <c r="Z732" s="18">
        <f t="shared" si="59"/>
        <v>1087000</v>
      </c>
    </row>
    <row r="733" spans="1:31" ht="16" customHeight="1" x14ac:dyDescent="0.45">
      <c r="A733" s="1">
        <v>2509</v>
      </c>
      <c r="B733" s="2">
        <v>45922</v>
      </c>
      <c r="C733" s="24"/>
      <c r="D733" s="4" t="s">
        <v>30</v>
      </c>
      <c r="E733" s="5" t="s">
        <v>31</v>
      </c>
      <c r="G733" s="5" t="s">
        <v>31</v>
      </c>
      <c r="H733" s="19" t="s">
        <v>103</v>
      </c>
      <c r="O733" s="9">
        <v>1000</v>
      </c>
      <c r="P733" s="141"/>
      <c r="Q733" s="95"/>
      <c r="R733" s="12">
        <v>1410</v>
      </c>
      <c r="S733" s="12">
        <f t="shared" si="61"/>
        <v>1410000</v>
      </c>
      <c r="T733" s="33"/>
      <c r="U733" s="34"/>
      <c r="V733" s="15">
        <v>2900</v>
      </c>
      <c r="W733" s="16">
        <f t="shared" si="62"/>
        <v>2900000</v>
      </c>
      <c r="Z733" s="18">
        <f t="shared" si="59"/>
        <v>1490000</v>
      </c>
    </row>
    <row r="734" spans="1:31" ht="16" customHeight="1" x14ac:dyDescent="0.45">
      <c r="A734" s="1">
        <v>2509</v>
      </c>
      <c r="B734" s="2">
        <v>45922</v>
      </c>
      <c r="C734" s="24"/>
      <c r="D734" s="4" t="s">
        <v>30</v>
      </c>
      <c r="E734" s="5" t="s">
        <v>31</v>
      </c>
      <c r="G734" s="5" t="s">
        <v>31</v>
      </c>
      <c r="H734" s="19" t="s">
        <v>113</v>
      </c>
      <c r="O734" s="9">
        <v>4000</v>
      </c>
      <c r="P734" s="141"/>
      <c r="Q734" s="95"/>
      <c r="R734" s="12">
        <v>1230</v>
      </c>
      <c r="S734" s="12">
        <f t="shared" si="61"/>
        <v>4920000</v>
      </c>
      <c r="T734" s="33"/>
      <c r="U734" s="34"/>
      <c r="V734" s="15">
        <v>1380</v>
      </c>
      <c r="W734" s="16">
        <f t="shared" si="62"/>
        <v>5520000</v>
      </c>
      <c r="Z734" s="18">
        <f t="shared" si="59"/>
        <v>600000</v>
      </c>
    </row>
    <row r="735" spans="1:31" ht="16" customHeight="1" x14ac:dyDescent="0.45">
      <c r="A735" s="1">
        <v>2509</v>
      </c>
      <c r="B735" s="2">
        <v>45922</v>
      </c>
      <c r="C735" s="24"/>
      <c r="D735" s="4" t="s">
        <v>30</v>
      </c>
      <c r="E735" s="5" t="s">
        <v>31</v>
      </c>
      <c r="G735" s="5" t="s">
        <v>31</v>
      </c>
      <c r="H735" s="19" t="s">
        <v>133</v>
      </c>
      <c r="O735" s="9">
        <v>3500</v>
      </c>
      <c r="P735" s="141"/>
      <c r="Q735" s="95"/>
      <c r="R735" s="12">
        <v>1470</v>
      </c>
      <c r="S735" s="12">
        <f t="shared" si="61"/>
        <v>5145000</v>
      </c>
      <c r="T735" s="33"/>
      <c r="U735" s="34"/>
      <c r="V735" s="15">
        <v>2450</v>
      </c>
      <c r="W735" s="16">
        <f t="shared" si="62"/>
        <v>8575000</v>
      </c>
      <c r="Z735" s="18">
        <f t="shared" si="59"/>
        <v>3430000</v>
      </c>
    </row>
    <row r="736" spans="1:31" ht="16" customHeight="1" x14ac:dyDescent="0.45">
      <c r="A736" s="1">
        <v>2509</v>
      </c>
      <c r="B736" s="2">
        <v>45922</v>
      </c>
      <c r="C736" s="24"/>
      <c r="D736" s="4" t="s">
        <v>30</v>
      </c>
      <c r="E736" s="5" t="s">
        <v>31</v>
      </c>
      <c r="G736" s="5" t="s">
        <v>31</v>
      </c>
      <c r="H736" s="19" t="s">
        <v>498</v>
      </c>
      <c r="I736" s="19" t="s">
        <v>499</v>
      </c>
      <c r="O736" s="9">
        <v>480</v>
      </c>
      <c r="P736" s="141"/>
      <c r="Q736" s="95"/>
      <c r="S736" s="12">
        <f t="shared" si="61"/>
        <v>0</v>
      </c>
      <c r="T736" s="33"/>
      <c r="U736" s="34"/>
      <c r="V736" s="15">
        <v>4400</v>
      </c>
      <c r="W736" s="16">
        <f t="shared" si="62"/>
        <v>2112000</v>
      </c>
      <c r="Z736" s="18">
        <f t="shared" si="59"/>
        <v>2112000</v>
      </c>
    </row>
    <row r="737" spans="1:31" ht="16" customHeight="1" x14ac:dyDescent="0.45">
      <c r="A737" s="1">
        <v>2509</v>
      </c>
      <c r="B737" s="2">
        <v>45922</v>
      </c>
      <c r="C737" s="24"/>
      <c r="D737" s="4" t="s">
        <v>30</v>
      </c>
      <c r="E737" s="5" t="s">
        <v>31</v>
      </c>
      <c r="G737" s="5" t="s">
        <v>31</v>
      </c>
      <c r="H737" s="19" t="s">
        <v>498</v>
      </c>
      <c r="I737" s="19" t="s">
        <v>500</v>
      </c>
      <c r="O737" s="9">
        <v>485</v>
      </c>
      <c r="P737" s="141"/>
      <c r="Q737" s="95"/>
      <c r="S737" s="12">
        <f t="shared" si="61"/>
        <v>0</v>
      </c>
      <c r="T737" s="33"/>
      <c r="U737" s="34"/>
      <c r="V737" s="15">
        <v>4400</v>
      </c>
      <c r="W737" s="16">
        <f t="shared" si="62"/>
        <v>2134000</v>
      </c>
      <c r="Z737" s="18">
        <f t="shared" si="59"/>
        <v>2134000</v>
      </c>
    </row>
    <row r="738" spans="1:31" ht="16" customHeight="1" x14ac:dyDescent="0.45">
      <c r="A738" s="1">
        <v>2509</v>
      </c>
      <c r="B738" s="2">
        <v>45922</v>
      </c>
      <c r="C738" s="24"/>
      <c r="D738" s="4" t="s">
        <v>30</v>
      </c>
      <c r="E738" s="5" t="s">
        <v>31</v>
      </c>
      <c r="G738" s="5" t="s">
        <v>31</v>
      </c>
      <c r="H738" s="19" t="s">
        <v>498</v>
      </c>
      <c r="I738" s="19" t="s">
        <v>501</v>
      </c>
      <c r="O738" s="9">
        <v>470</v>
      </c>
      <c r="P738" s="141"/>
      <c r="Q738" s="95"/>
      <c r="S738" s="12">
        <f t="shared" si="61"/>
        <v>0</v>
      </c>
      <c r="T738" s="33"/>
      <c r="U738" s="34"/>
      <c r="V738" s="15">
        <v>4150</v>
      </c>
      <c r="W738" s="16">
        <f t="shared" si="62"/>
        <v>1950500</v>
      </c>
      <c r="Z738" s="18">
        <f t="shared" si="59"/>
        <v>1950500</v>
      </c>
    </row>
    <row r="739" spans="1:31" ht="16" customHeight="1" x14ac:dyDescent="0.45">
      <c r="A739" s="1">
        <v>2509</v>
      </c>
      <c r="B739" s="2">
        <v>45925</v>
      </c>
      <c r="C739" s="24"/>
      <c r="D739" s="4" t="s">
        <v>30</v>
      </c>
      <c r="E739" s="5" t="s">
        <v>31</v>
      </c>
      <c r="G739" s="5" t="s">
        <v>31</v>
      </c>
      <c r="H739" s="19" t="s">
        <v>498</v>
      </c>
      <c r="I739" s="19" t="s">
        <v>405</v>
      </c>
      <c r="O739" s="9">
        <v>465</v>
      </c>
      <c r="P739" s="141"/>
      <c r="Q739" s="95"/>
      <c r="T739" s="33"/>
      <c r="U739" s="34"/>
      <c r="V739" s="15">
        <v>4400</v>
      </c>
      <c r="W739" s="16">
        <f t="shared" si="62"/>
        <v>2046000</v>
      </c>
      <c r="Z739" s="18">
        <f t="shared" si="59"/>
        <v>2046000</v>
      </c>
    </row>
    <row r="740" spans="1:31" s="21" customFormat="1" ht="16" customHeight="1" x14ac:dyDescent="0.45">
      <c r="A740" s="1">
        <v>2509</v>
      </c>
      <c r="B740" s="2">
        <v>45901</v>
      </c>
      <c r="C740" s="3"/>
      <c r="D740" s="4" t="s">
        <v>27</v>
      </c>
      <c r="E740" s="5" t="s">
        <v>37</v>
      </c>
      <c r="F740" s="5"/>
      <c r="G740" s="5" t="s">
        <v>28</v>
      </c>
      <c r="H740" s="19" t="s">
        <v>32</v>
      </c>
      <c r="I740" s="19"/>
      <c r="J740" s="19"/>
      <c r="K740" s="20"/>
      <c r="L740" s="6">
        <v>42</v>
      </c>
      <c r="M740" s="7">
        <v>735</v>
      </c>
      <c r="N740" s="8"/>
      <c r="O740" s="9"/>
      <c r="P740" s="10"/>
      <c r="Q740" s="11"/>
      <c r="R740" s="12">
        <v>2100</v>
      </c>
      <c r="S740" s="12">
        <f>M740*R740</f>
        <v>1543500</v>
      </c>
      <c r="T740" s="13"/>
      <c r="U740" s="14"/>
      <c r="V740" s="15"/>
      <c r="W740" s="16"/>
      <c r="X740" s="12"/>
      <c r="Y740" s="17"/>
      <c r="Z740" s="18">
        <f t="shared" si="59"/>
        <v>-1543500</v>
      </c>
      <c r="AA740" s="17"/>
      <c r="AB740" s="17"/>
      <c r="AC740" s="17"/>
      <c r="AD740" s="17"/>
      <c r="AE740" s="17"/>
    </row>
    <row r="741" spans="1:31" s="21" customFormat="1" ht="16" customHeight="1" x14ac:dyDescent="0.45">
      <c r="A741" s="1">
        <v>2509</v>
      </c>
      <c r="B741" s="2">
        <v>45909</v>
      </c>
      <c r="C741" s="3"/>
      <c r="D741" s="4" t="s">
        <v>27</v>
      </c>
      <c r="E741" s="5" t="s">
        <v>37</v>
      </c>
      <c r="F741" s="5"/>
      <c r="G741" s="5" t="s">
        <v>28</v>
      </c>
      <c r="H741" s="19" t="s">
        <v>33</v>
      </c>
      <c r="I741" s="19"/>
      <c r="J741" s="19"/>
      <c r="K741" s="20"/>
      <c r="L741" s="6">
        <v>147</v>
      </c>
      <c r="M741" s="7">
        <v>2572.5</v>
      </c>
      <c r="N741" s="8"/>
      <c r="O741" s="9"/>
      <c r="P741" s="10"/>
      <c r="Q741" s="11"/>
      <c r="R741" s="12">
        <v>2100</v>
      </c>
      <c r="S741" s="12">
        <f>M741*R741</f>
        <v>5402250</v>
      </c>
      <c r="T741" s="13"/>
      <c r="U741" s="14"/>
      <c r="V741" s="15"/>
      <c r="W741" s="16"/>
      <c r="X741" s="12"/>
      <c r="Y741" s="17"/>
      <c r="Z741" s="18">
        <f t="shared" si="59"/>
        <v>-5402250</v>
      </c>
      <c r="AA741" s="17"/>
      <c r="AB741" s="17"/>
      <c r="AC741" s="17"/>
      <c r="AD741" s="17"/>
      <c r="AE741" s="17"/>
    </row>
    <row r="742" spans="1:31" s="21" customFormat="1" ht="16" customHeight="1" x14ac:dyDescent="0.45">
      <c r="A742" s="1">
        <v>2509</v>
      </c>
      <c r="B742" s="2">
        <v>45929</v>
      </c>
      <c r="C742" s="3"/>
      <c r="D742" s="4" t="s">
        <v>27</v>
      </c>
      <c r="E742" s="5" t="s">
        <v>37</v>
      </c>
      <c r="F742" s="5"/>
      <c r="G742" s="5" t="s">
        <v>28</v>
      </c>
      <c r="H742" s="19" t="s">
        <v>32</v>
      </c>
      <c r="I742" s="19"/>
      <c r="J742" s="19"/>
      <c r="K742" s="20"/>
      <c r="L742" s="6">
        <v>16</v>
      </c>
      <c r="M742" s="7">
        <v>280</v>
      </c>
      <c r="N742" s="8"/>
      <c r="O742" s="9"/>
      <c r="P742" s="10"/>
      <c r="Q742" s="11"/>
      <c r="R742" s="12">
        <v>2100</v>
      </c>
      <c r="S742" s="12">
        <f>M742*R742</f>
        <v>588000</v>
      </c>
      <c r="T742" s="13"/>
      <c r="U742" s="14"/>
      <c r="V742" s="15"/>
      <c r="W742" s="16"/>
      <c r="X742" s="12"/>
      <c r="Y742" s="17"/>
      <c r="Z742" s="18">
        <f t="shared" si="59"/>
        <v>-588000</v>
      </c>
      <c r="AA742" s="17"/>
      <c r="AB742" s="17"/>
      <c r="AC742" s="17"/>
      <c r="AD742" s="17"/>
      <c r="AE742" s="17"/>
    </row>
    <row r="743" spans="1:31" s="21" customFormat="1" ht="16" customHeight="1" x14ac:dyDescent="0.45">
      <c r="A743" s="1">
        <v>2509</v>
      </c>
      <c r="B743" s="2">
        <v>45930</v>
      </c>
      <c r="C743" s="3"/>
      <c r="D743" s="4" t="s">
        <v>27</v>
      </c>
      <c r="E743" s="5"/>
      <c r="F743" s="5"/>
      <c r="G743" s="5" t="s">
        <v>28</v>
      </c>
      <c r="H743" s="19" t="s">
        <v>201</v>
      </c>
      <c r="I743" s="19"/>
      <c r="J743" s="19"/>
      <c r="K743" s="20"/>
      <c r="L743" s="6"/>
      <c r="M743" s="7">
        <v>913.2</v>
      </c>
      <c r="N743" s="8"/>
      <c r="O743" s="9"/>
      <c r="P743" s="10">
        <v>2390</v>
      </c>
      <c r="Q743" s="11">
        <f>M743*P743</f>
        <v>2182548</v>
      </c>
      <c r="R743" s="12"/>
      <c r="S743" s="12"/>
      <c r="T743" s="13"/>
      <c r="U743" s="14"/>
      <c r="V743" s="15"/>
      <c r="W743" s="16"/>
      <c r="X743" s="12"/>
      <c r="Y743" s="17"/>
      <c r="Z743" s="18">
        <f t="shared" si="59"/>
        <v>-2182548</v>
      </c>
      <c r="AA743" s="17"/>
      <c r="AB743" s="17"/>
      <c r="AC743" s="17"/>
      <c r="AD743" s="17"/>
      <c r="AE743" s="17"/>
    </row>
    <row r="744" spans="1:31" ht="16" customHeight="1" x14ac:dyDescent="0.45">
      <c r="A744" s="1">
        <v>2509</v>
      </c>
      <c r="B744" s="2">
        <v>45904</v>
      </c>
      <c r="D744" s="4" t="s">
        <v>502</v>
      </c>
      <c r="E744" s="5" t="s">
        <v>30</v>
      </c>
      <c r="G744" s="5" t="s">
        <v>31</v>
      </c>
      <c r="H744" s="19" t="s">
        <v>503</v>
      </c>
      <c r="I744" s="19" t="s">
        <v>501</v>
      </c>
      <c r="L744" s="6">
        <v>5</v>
      </c>
      <c r="M744" s="7">
        <v>119</v>
      </c>
      <c r="P744" s="141"/>
      <c r="Q744" s="95"/>
      <c r="R744" s="12">
        <v>1000</v>
      </c>
      <c r="S744" s="12">
        <f>M744*R744</f>
        <v>119000</v>
      </c>
      <c r="Z744" s="18">
        <f t="shared" si="59"/>
        <v>-119000</v>
      </c>
    </row>
    <row r="745" spans="1:31" ht="16" customHeight="1" x14ac:dyDescent="0.45">
      <c r="A745" s="1">
        <v>2509</v>
      </c>
      <c r="B745" s="2">
        <v>45904</v>
      </c>
      <c r="D745" s="4" t="s">
        <v>502</v>
      </c>
      <c r="E745" s="5" t="s">
        <v>30</v>
      </c>
      <c r="G745" s="5" t="s">
        <v>31</v>
      </c>
      <c r="H745" s="19" t="s">
        <v>503</v>
      </c>
      <c r="I745" s="19" t="s">
        <v>504</v>
      </c>
      <c r="L745" s="6">
        <v>6</v>
      </c>
      <c r="M745" s="7">
        <v>138</v>
      </c>
      <c r="P745" s="141"/>
      <c r="Q745" s="95"/>
      <c r="R745" s="12">
        <v>1000</v>
      </c>
      <c r="S745" s="12">
        <f>M745*R745</f>
        <v>138000</v>
      </c>
      <c r="Z745" s="18">
        <f t="shared" si="59"/>
        <v>-138000</v>
      </c>
    </row>
    <row r="746" spans="1:31" ht="16" customHeight="1" x14ac:dyDescent="0.45">
      <c r="A746" s="1">
        <v>2509</v>
      </c>
      <c r="B746" s="2">
        <v>45904</v>
      </c>
      <c r="D746" s="4" t="s">
        <v>502</v>
      </c>
      <c r="E746" s="5" t="s">
        <v>30</v>
      </c>
      <c r="G746" s="5" t="s">
        <v>31</v>
      </c>
      <c r="H746" s="19" t="s">
        <v>503</v>
      </c>
      <c r="I746" s="19" t="s">
        <v>499</v>
      </c>
      <c r="L746" s="6">
        <v>6</v>
      </c>
      <c r="M746" s="7">
        <v>139</v>
      </c>
      <c r="P746" s="141"/>
      <c r="Q746" s="95"/>
      <c r="R746" s="12">
        <v>1000</v>
      </c>
      <c r="S746" s="12">
        <f>M746*R746</f>
        <v>139000</v>
      </c>
      <c r="Z746" s="18">
        <f t="shared" si="59"/>
        <v>-139000</v>
      </c>
    </row>
    <row r="747" spans="1:31" ht="16" customHeight="1" x14ac:dyDescent="0.45">
      <c r="A747" s="1">
        <v>2509</v>
      </c>
      <c r="B747" s="2">
        <v>45918</v>
      </c>
      <c r="D747" s="4" t="s">
        <v>502</v>
      </c>
      <c r="E747" s="5" t="s">
        <v>30</v>
      </c>
      <c r="G747" s="5" t="s">
        <v>31</v>
      </c>
      <c r="H747" s="19" t="s">
        <v>505</v>
      </c>
      <c r="I747" s="19" t="s">
        <v>501</v>
      </c>
      <c r="M747" s="7">
        <v>134</v>
      </c>
      <c r="P747" s="141"/>
      <c r="Q747" s="95"/>
      <c r="R747" s="12">
        <v>1000</v>
      </c>
      <c r="S747" s="12">
        <f>M747*R747</f>
        <v>134000</v>
      </c>
      <c r="Z747" s="18">
        <f t="shared" si="59"/>
        <v>-134000</v>
      </c>
    </row>
    <row r="748" spans="1:31" s="21" customFormat="1" ht="16" customHeight="1" x14ac:dyDescent="0.45">
      <c r="A748" s="1">
        <v>2509</v>
      </c>
      <c r="B748" s="2">
        <v>45929</v>
      </c>
      <c r="C748" s="3"/>
      <c r="D748" s="4" t="s">
        <v>35</v>
      </c>
      <c r="E748" s="5" t="s">
        <v>10</v>
      </c>
      <c r="F748" s="5"/>
      <c r="G748" s="5" t="s">
        <v>19</v>
      </c>
      <c r="H748" s="19" t="s">
        <v>104</v>
      </c>
      <c r="I748" s="19" t="s">
        <v>99</v>
      </c>
      <c r="J748" s="19"/>
      <c r="K748" s="20"/>
      <c r="L748" s="6">
        <v>4</v>
      </c>
      <c r="M748" s="7">
        <v>97.4</v>
      </c>
      <c r="N748" s="8">
        <v>1908</v>
      </c>
      <c r="O748" s="9"/>
      <c r="P748" s="10"/>
      <c r="Q748" s="11"/>
      <c r="R748" s="12">
        <v>970</v>
      </c>
      <c r="S748" s="12">
        <f>N748*R748</f>
        <v>1850760</v>
      </c>
      <c r="T748" s="13"/>
      <c r="U748" s="14"/>
      <c r="V748" s="15"/>
      <c r="W748" s="16"/>
      <c r="X748" s="12"/>
      <c r="Y748" s="17"/>
      <c r="Z748" s="18"/>
      <c r="AA748" s="17"/>
      <c r="AB748" s="17"/>
      <c r="AC748" s="17"/>
      <c r="AD748" s="17"/>
      <c r="AE748" s="17"/>
    </row>
    <row r="749" spans="1:31" s="21" customFormat="1" ht="16" customHeight="1" x14ac:dyDescent="0.45">
      <c r="A749" s="1">
        <v>2509</v>
      </c>
      <c r="B749" s="2">
        <v>45922</v>
      </c>
      <c r="C749" s="3"/>
      <c r="D749" s="4" t="s">
        <v>37</v>
      </c>
      <c r="E749" s="5" t="s">
        <v>211</v>
      </c>
      <c r="F749" s="5"/>
      <c r="G749" s="5" t="s">
        <v>1</v>
      </c>
      <c r="H749" s="19" t="s">
        <v>2</v>
      </c>
      <c r="I749" s="19" t="s">
        <v>506</v>
      </c>
      <c r="J749" s="19"/>
      <c r="K749" s="20"/>
      <c r="L749" s="6"/>
      <c r="M749" s="7"/>
      <c r="N749" s="8">
        <v>240</v>
      </c>
      <c r="O749" s="9"/>
      <c r="P749" s="10"/>
      <c r="Q749" s="11"/>
      <c r="R749" s="12"/>
      <c r="S749" s="12"/>
      <c r="T749" s="13"/>
      <c r="U749" s="14"/>
      <c r="V749" s="15"/>
      <c r="W749" s="16"/>
      <c r="X749" s="12"/>
      <c r="Y749" s="17"/>
      <c r="Z749" s="18"/>
      <c r="AA749" s="17"/>
      <c r="AB749" s="17"/>
      <c r="AC749" s="17"/>
      <c r="AD749" s="17"/>
      <c r="AE749" s="17"/>
    </row>
    <row r="750" spans="1:31" ht="16" customHeight="1" x14ac:dyDescent="0.45">
      <c r="A750" s="1">
        <v>2509</v>
      </c>
      <c r="B750" s="2">
        <v>45902</v>
      </c>
      <c r="C750" s="24"/>
      <c r="D750" s="4" t="s">
        <v>37</v>
      </c>
      <c r="E750" s="5" t="s">
        <v>28</v>
      </c>
      <c r="G750" s="5" t="s">
        <v>28</v>
      </c>
      <c r="H750" s="19" t="s">
        <v>38</v>
      </c>
      <c r="I750" s="19" t="s">
        <v>39</v>
      </c>
      <c r="K750" s="73" t="s">
        <v>72</v>
      </c>
      <c r="L750" s="6">
        <v>29</v>
      </c>
      <c r="M750" s="7">
        <v>441.1</v>
      </c>
      <c r="O750" s="9">
        <v>690</v>
      </c>
      <c r="P750" s="141"/>
      <c r="Q750" s="95"/>
      <c r="R750" s="12">
        <v>2500</v>
      </c>
      <c r="S750" s="12">
        <f t="shared" ref="S750:S756" si="63">M750*R750</f>
        <v>1102750</v>
      </c>
      <c r="T750" s="33"/>
      <c r="U750" s="34"/>
      <c r="V750" s="15">
        <v>6566</v>
      </c>
      <c r="W750" s="16">
        <f t="shared" ref="W750:W775" si="64">O750*V750</f>
        <v>4530540</v>
      </c>
      <c r="Z750" s="18">
        <f t="shared" ref="Z750:Z772" si="65">W750-S750-Q750</f>
        <v>3427790</v>
      </c>
    </row>
    <row r="751" spans="1:31" ht="16" customHeight="1" x14ac:dyDescent="0.45">
      <c r="A751" s="1">
        <v>2509</v>
      </c>
      <c r="B751" s="2">
        <v>45902</v>
      </c>
      <c r="C751" s="24"/>
      <c r="D751" s="4" t="s">
        <v>37</v>
      </c>
      <c r="E751" s="5" t="s">
        <v>28</v>
      </c>
      <c r="G751" s="5" t="s">
        <v>28</v>
      </c>
      <c r="H751" s="19" t="s">
        <v>38</v>
      </c>
      <c r="I751" s="19" t="s">
        <v>39</v>
      </c>
      <c r="K751" s="73" t="s">
        <v>106</v>
      </c>
      <c r="L751" s="6">
        <v>32</v>
      </c>
      <c r="M751" s="7">
        <v>487.1</v>
      </c>
      <c r="O751" s="9">
        <v>747</v>
      </c>
      <c r="P751" s="141"/>
      <c r="Q751" s="95"/>
      <c r="R751" s="12">
        <v>2500</v>
      </c>
      <c r="S751" s="12">
        <f t="shared" si="63"/>
        <v>1217750</v>
      </c>
      <c r="T751" s="33"/>
      <c r="U751" s="34"/>
      <c r="V751" s="15">
        <v>6566</v>
      </c>
      <c r="W751" s="16">
        <f t="shared" si="64"/>
        <v>4904802</v>
      </c>
      <c r="Z751" s="18">
        <f t="shared" si="65"/>
        <v>3687052</v>
      </c>
    </row>
    <row r="752" spans="1:31" ht="16" customHeight="1" x14ac:dyDescent="0.45">
      <c r="A752" s="1">
        <v>2509</v>
      </c>
      <c r="B752" s="2">
        <v>45902</v>
      </c>
      <c r="C752" s="24"/>
      <c r="D752" s="4" t="s">
        <v>37</v>
      </c>
      <c r="E752" s="5" t="s">
        <v>28</v>
      </c>
      <c r="G752" s="5" t="s">
        <v>28</v>
      </c>
      <c r="H752" s="19" t="s">
        <v>38</v>
      </c>
      <c r="I752" s="19" t="s">
        <v>39</v>
      </c>
      <c r="K752" s="73" t="s">
        <v>136</v>
      </c>
      <c r="L752" s="6">
        <v>32</v>
      </c>
      <c r="M752" s="7">
        <v>476.8</v>
      </c>
      <c r="O752" s="9">
        <v>735</v>
      </c>
      <c r="P752" s="141"/>
      <c r="Q752" s="95"/>
      <c r="R752" s="12">
        <v>2500</v>
      </c>
      <c r="S752" s="12">
        <f t="shared" si="63"/>
        <v>1192000</v>
      </c>
      <c r="T752" s="33"/>
      <c r="U752" s="34"/>
      <c r="V752" s="15">
        <v>6566</v>
      </c>
      <c r="W752" s="16">
        <f t="shared" si="64"/>
        <v>4826010</v>
      </c>
      <c r="Z752" s="18">
        <f t="shared" si="65"/>
        <v>3634010</v>
      </c>
    </row>
    <row r="753" spans="1:31" ht="16" customHeight="1" x14ac:dyDescent="0.45">
      <c r="A753" s="1">
        <v>2509</v>
      </c>
      <c r="B753" s="2">
        <v>45902</v>
      </c>
      <c r="C753" s="24"/>
      <c r="D753" s="4" t="s">
        <v>37</v>
      </c>
      <c r="E753" s="5" t="s">
        <v>28</v>
      </c>
      <c r="G753" s="5" t="s">
        <v>28</v>
      </c>
      <c r="H753" s="19" t="s">
        <v>38</v>
      </c>
      <c r="I753" s="19" t="s">
        <v>39</v>
      </c>
      <c r="K753" s="73" t="s">
        <v>107</v>
      </c>
      <c r="L753" s="6">
        <v>32</v>
      </c>
      <c r="M753" s="7">
        <v>474.5</v>
      </c>
      <c r="O753" s="9">
        <v>752</v>
      </c>
      <c r="P753" s="141"/>
      <c r="Q753" s="95"/>
      <c r="R753" s="12">
        <v>2500</v>
      </c>
      <c r="S753" s="12">
        <f t="shared" si="63"/>
        <v>1186250</v>
      </c>
      <c r="T753" s="33"/>
      <c r="U753" s="34"/>
      <c r="V753" s="15">
        <v>6566</v>
      </c>
      <c r="W753" s="16">
        <f t="shared" si="64"/>
        <v>4937632</v>
      </c>
      <c r="Z753" s="18">
        <f t="shared" si="65"/>
        <v>3751382</v>
      </c>
    </row>
    <row r="754" spans="1:31" ht="16" customHeight="1" x14ac:dyDescent="0.45">
      <c r="A754" s="1">
        <v>2509</v>
      </c>
      <c r="B754" s="2">
        <v>45902</v>
      </c>
      <c r="C754" s="24"/>
      <c r="D754" s="4" t="s">
        <v>37</v>
      </c>
      <c r="E754" s="5" t="s">
        <v>28</v>
      </c>
      <c r="G754" s="5" t="s">
        <v>28</v>
      </c>
      <c r="H754" s="19" t="s">
        <v>38</v>
      </c>
      <c r="I754" s="19" t="s">
        <v>39</v>
      </c>
      <c r="K754" s="73" t="s">
        <v>139</v>
      </c>
      <c r="L754" s="6">
        <v>32</v>
      </c>
      <c r="M754" s="7">
        <v>478.6</v>
      </c>
      <c r="O754" s="9">
        <v>739</v>
      </c>
      <c r="P754" s="141"/>
      <c r="Q754" s="95"/>
      <c r="R754" s="12">
        <v>2500</v>
      </c>
      <c r="S754" s="12">
        <f t="shared" si="63"/>
        <v>1196500</v>
      </c>
      <c r="T754" s="33"/>
      <c r="U754" s="34"/>
      <c r="V754" s="15">
        <v>6566</v>
      </c>
      <c r="W754" s="16">
        <f t="shared" si="64"/>
        <v>4852274</v>
      </c>
      <c r="Z754" s="18">
        <f t="shared" si="65"/>
        <v>3655774</v>
      </c>
    </row>
    <row r="755" spans="1:31" s="21" customFormat="1" ht="16" customHeight="1" x14ac:dyDescent="0.45">
      <c r="A755" s="1">
        <v>2509</v>
      </c>
      <c r="B755" s="23">
        <v>45902</v>
      </c>
      <c r="C755" s="24"/>
      <c r="D755" s="25" t="s">
        <v>37</v>
      </c>
      <c r="E755" s="26" t="s">
        <v>28</v>
      </c>
      <c r="F755" s="26"/>
      <c r="G755" s="26" t="s">
        <v>28</v>
      </c>
      <c r="H755" s="27" t="s">
        <v>32</v>
      </c>
      <c r="I755" s="27" t="s">
        <v>47</v>
      </c>
      <c r="J755" s="27"/>
      <c r="K755" s="38" t="s">
        <v>43</v>
      </c>
      <c r="L755" s="29">
        <v>21</v>
      </c>
      <c r="M755" s="30">
        <v>338.2</v>
      </c>
      <c r="N755" s="31"/>
      <c r="O755" s="32">
        <v>582</v>
      </c>
      <c r="P755" s="91"/>
      <c r="Q755" s="92"/>
      <c r="R755" s="93">
        <v>2500</v>
      </c>
      <c r="S755" s="93">
        <f t="shared" si="63"/>
        <v>845500</v>
      </c>
      <c r="T755" s="33"/>
      <c r="U755" s="34"/>
      <c r="V755" s="35">
        <v>5750</v>
      </c>
      <c r="W755" s="36">
        <f t="shared" si="64"/>
        <v>3346500</v>
      </c>
      <c r="X755" s="93"/>
      <c r="Z755" s="18">
        <f t="shared" si="65"/>
        <v>2501000</v>
      </c>
      <c r="AA755" s="17"/>
      <c r="AB755" s="17"/>
      <c r="AC755" s="17"/>
      <c r="AD755" s="17"/>
      <c r="AE755" s="17"/>
    </row>
    <row r="756" spans="1:31" s="21" customFormat="1" ht="16" customHeight="1" x14ac:dyDescent="0.45">
      <c r="A756" s="1">
        <v>2509</v>
      </c>
      <c r="B756" s="23">
        <v>45902</v>
      </c>
      <c r="C756" s="24"/>
      <c r="D756" s="25" t="s">
        <v>37</v>
      </c>
      <c r="E756" s="26" t="s">
        <v>28</v>
      </c>
      <c r="F756" s="26"/>
      <c r="G756" s="26" t="s">
        <v>28</v>
      </c>
      <c r="H756" s="27" t="s">
        <v>32</v>
      </c>
      <c r="I756" s="27" t="s">
        <v>47</v>
      </c>
      <c r="J756" s="27"/>
      <c r="K756" s="38" t="s">
        <v>44</v>
      </c>
      <c r="L756" s="29">
        <v>21</v>
      </c>
      <c r="M756" s="30">
        <v>333.6</v>
      </c>
      <c r="N756" s="31"/>
      <c r="O756" s="32">
        <v>604</v>
      </c>
      <c r="P756" s="91"/>
      <c r="Q756" s="92"/>
      <c r="R756" s="93">
        <v>2500</v>
      </c>
      <c r="S756" s="93">
        <f t="shared" si="63"/>
        <v>834000</v>
      </c>
      <c r="T756" s="33"/>
      <c r="U756" s="34"/>
      <c r="V756" s="35">
        <v>5750</v>
      </c>
      <c r="W756" s="36">
        <f t="shared" si="64"/>
        <v>3473000</v>
      </c>
      <c r="X756" s="93"/>
      <c r="Z756" s="18">
        <f t="shared" si="65"/>
        <v>2639000</v>
      </c>
      <c r="AA756" s="17"/>
      <c r="AB756" s="17"/>
      <c r="AC756" s="17"/>
      <c r="AD756" s="17"/>
      <c r="AE756" s="17"/>
    </row>
    <row r="757" spans="1:31" ht="16" customHeight="1" x14ac:dyDescent="0.45">
      <c r="A757" s="1">
        <v>2509</v>
      </c>
      <c r="B757" s="2">
        <v>45916</v>
      </c>
      <c r="C757" s="24"/>
      <c r="D757" s="4" t="s">
        <v>37</v>
      </c>
      <c r="E757" s="5" t="s">
        <v>28</v>
      </c>
      <c r="G757" s="5" t="s">
        <v>28</v>
      </c>
      <c r="H757" s="19" t="s">
        <v>38</v>
      </c>
      <c r="I757" s="19" t="s">
        <v>39</v>
      </c>
      <c r="J757" s="19" t="s">
        <v>507</v>
      </c>
      <c r="K757" s="73" t="s">
        <v>144</v>
      </c>
      <c r="L757" s="74">
        <v>33</v>
      </c>
      <c r="M757" s="7">
        <v>496.1</v>
      </c>
      <c r="O757" s="9">
        <v>786</v>
      </c>
      <c r="P757" s="141"/>
      <c r="Q757" s="95"/>
      <c r="R757" s="12">
        <v>2500</v>
      </c>
      <c r="S757" s="12">
        <f t="shared" ref="S757:S772" si="66">M757*O757</f>
        <v>389934.60000000003</v>
      </c>
      <c r="T757" s="33"/>
      <c r="U757" s="34"/>
      <c r="V757" s="15">
        <v>6566</v>
      </c>
      <c r="W757" s="16">
        <f t="shared" si="64"/>
        <v>5160876</v>
      </c>
      <c r="Z757" s="18">
        <f t="shared" si="65"/>
        <v>4770941.4000000004</v>
      </c>
    </row>
    <row r="758" spans="1:31" ht="16" customHeight="1" x14ac:dyDescent="0.45">
      <c r="A758" s="1">
        <v>2509</v>
      </c>
      <c r="B758" s="2">
        <v>45916</v>
      </c>
      <c r="C758" s="24"/>
      <c r="D758" s="4" t="s">
        <v>37</v>
      </c>
      <c r="E758" s="5" t="s">
        <v>28</v>
      </c>
      <c r="G758" s="5" t="s">
        <v>28</v>
      </c>
      <c r="H758" s="19" t="s">
        <v>38</v>
      </c>
      <c r="I758" s="19" t="s">
        <v>39</v>
      </c>
      <c r="J758" s="19" t="s">
        <v>507</v>
      </c>
      <c r="K758" s="73" t="s">
        <v>145</v>
      </c>
      <c r="L758" s="6">
        <v>33</v>
      </c>
      <c r="M758" s="7">
        <v>480.2</v>
      </c>
      <c r="O758" s="9">
        <v>768</v>
      </c>
      <c r="P758" s="141"/>
      <c r="Q758" s="95"/>
      <c r="R758" s="12">
        <v>2500</v>
      </c>
      <c r="S758" s="12">
        <f t="shared" si="66"/>
        <v>368793.59999999998</v>
      </c>
      <c r="T758" s="33"/>
      <c r="U758" s="34"/>
      <c r="V758" s="15">
        <v>6566</v>
      </c>
      <c r="W758" s="16">
        <f t="shared" si="64"/>
        <v>5042688</v>
      </c>
      <c r="Z758" s="18">
        <f t="shared" si="65"/>
        <v>4673894.4000000004</v>
      </c>
    </row>
    <row r="759" spans="1:31" ht="16" customHeight="1" x14ac:dyDescent="0.45">
      <c r="A759" s="1">
        <v>2509</v>
      </c>
      <c r="B759" s="2">
        <v>45916</v>
      </c>
      <c r="C759" s="24"/>
      <c r="D759" s="4" t="s">
        <v>37</v>
      </c>
      <c r="E759" s="5" t="s">
        <v>28</v>
      </c>
      <c r="G759" s="5" t="s">
        <v>28</v>
      </c>
      <c r="H759" s="19" t="s">
        <v>38</v>
      </c>
      <c r="I759" s="19" t="s">
        <v>39</v>
      </c>
      <c r="J759" s="19" t="s">
        <v>507</v>
      </c>
      <c r="K759" s="73" t="s">
        <v>146</v>
      </c>
      <c r="L759" s="6">
        <v>33</v>
      </c>
      <c r="M759" s="7">
        <v>484.2</v>
      </c>
      <c r="O759" s="9">
        <v>758</v>
      </c>
      <c r="P759" s="141"/>
      <c r="Q759" s="95"/>
      <c r="R759" s="12">
        <v>2500</v>
      </c>
      <c r="S759" s="12">
        <f t="shared" si="66"/>
        <v>367023.6</v>
      </c>
      <c r="T759" s="33"/>
      <c r="U759" s="34"/>
      <c r="V759" s="15">
        <v>6566</v>
      </c>
      <c r="W759" s="16">
        <f t="shared" si="64"/>
        <v>4977028</v>
      </c>
      <c r="Z759" s="18">
        <f t="shared" si="65"/>
        <v>4610004.4000000004</v>
      </c>
    </row>
    <row r="760" spans="1:31" ht="16" customHeight="1" x14ac:dyDescent="0.45">
      <c r="A760" s="1">
        <v>2509</v>
      </c>
      <c r="B760" s="2">
        <v>45916</v>
      </c>
      <c r="C760" s="24"/>
      <c r="D760" s="4" t="s">
        <v>37</v>
      </c>
      <c r="E760" s="5" t="s">
        <v>28</v>
      </c>
      <c r="G760" s="5" t="s">
        <v>28</v>
      </c>
      <c r="H760" s="19" t="s">
        <v>38</v>
      </c>
      <c r="I760" s="19" t="s">
        <v>39</v>
      </c>
      <c r="J760" s="19" t="s">
        <v>507</v>
      </c>
      <c r="K760" s="73" t="s">
        <v>108</v>
      </c>
      <c r="L760" s="6">
        <v>33</v>
      </c>
      <c r="M760" s="7">
        <v>492.3</v>
      </c>
      <c r="O760" s="9">
        <v>775</v>
      </c>
      <c r="P760" s="141"/>
      <c r="Q760" s="95"/>
      <c r="R760" s="12">
        <v>2500</v>
      </c>
      <c r="S760" s="12">
        <f t="shared" si="66"/>
        <v>381532.5</v>
      </c>
      <c r="T760" s="33"/>
      <c r="U760" s="34"/>
      <c r="V760" s="15">
        <v>6566</v>
      </c>
      <c r="W760" s="16">
        <f t="shared" si="64"/>
        <v>5088650</v>
      </c>
      <c r="Z760" s="18">
        <f t="shared" si="65"/>
        <v>4707117.5</v>
      </c>
    </row>
    <row r="761" spans="1:31" ht="16" customHeight="1" x14ac:dyDescent="0.45">
      <c r="A761" s="1">
        <v>2509</v>
      </c>
      <c r="B761" s="2">
        <v>45916</v>
      </c>
      <c r="C761" s="24"/>
      <c r="D761" s="4" t="s">
        <v>37</v>
      </c>
      <c r="E761" s="5" t="s">
        <v>28</v>
      </c>
      <c r="G761" s="5" t="s">
        <v>28</v>
      </c>
      <c r="H761" s="19" t="s">
        <v>38</v>
      </c>
      <c r="I761" s="19" t="s">
        <v>39</v>
      </c>
      <c r="J761" s="19" t="s">
        <v>507</v>
      </c>
      <c r="K761" s="73" t="s">
        <v>152</v>
      </c>
      <c r="L761" s="6">
        <v>15</v>
      </c>
      <c r="M761" s="7">
        <v>225.8</v>
      </c>
      <c r="O761" s="9">
        <v>353</v>
      </c>
      <c r="P761" s="141"/>
      <c r="Q761" s="95"/>
      <c r="R761" s="12">
        <v>2500</v>
      </c>
      <c r="S761" s="12">
        <f t="shared" si="66"/>
        <v>79707.400000000009</v>
      </c>
      <c r="T761" s="33"/>
      <c r="U761" s="34"/>
      <c r="V761" s="15">
        <v>6566</v>
      </c>
      <c r="W761" s="16">
        <f t="shared" si="64"/>
        <v>2317798</v>
      </c>
      <c r="Z761" s="18">
        <f t="shared" si="65"/>
        <v>2238090.6</v>
      </c>
    </row>
    <row r="762" spans="1:31" ht="16" customHeight="1" x14ac:dyDescent="0.45">
      <c r="A762" s="1">
        <v>2509</v>
      </c>
      <c r="B762" s="2">
        <v>45916</v>
      </c>
      <c r="C762" s="24"/>
      <c r="D762" s="4" t="s">
        <v>37</v>
      </c>
      <c r="E762" s="5" t="s">
        <v>28</v>
      </c>
      <c r="G762" s="5" t="s">
        <v>28</v>
      </c>
      <c r="H762" s="19" t="s">
        <v>38</v>
      </c>
      <c r="I762" s="19" t="s">
        <v>39</v>
      </c>
      <c r="J762" s="19" t="s">
        <v>507</v>
      </c>
      <c r="K762" s="73" t="s">
        <v>153</v>
      </c>
      <c r="L762" s="6">
        <v>3</v>
      </c>
      <c r="M762" s="7">
        <v>44.5</v>
      </c>
      <c r="O762" s="9">
        <v>70</v>
      </c>
      <c r="P762" s="141"/>
      <c r="Q762" s="95"/>
      <c r="R762" s="12">
        <v>2500</v>
      </c>
      <c r="S762" s="12">
        <f t="shared" si="66"/>
        <v>3115</v>
      </c>
      <c r="T762" s="33"/>
      <c r="U762" s="34"/>
      <c r="V762" s="15">
        <v>6566</v>
      </c>
      <c r="W762" s="16">
        <f t="shared" si="64"/>
        <v>459620</v>
      </c>
      <c r="Z762" s="18">
        <f t="shared" si="65"/>
        <v>456505</v>
      </c>
    </row>
    <row r="763" spans="1:31" ht="16" customHeight="1" x14ac:dyDescent="0.45">
      <c r="A763" s="1">
        <v>2509</v>
      </c>
      <c r="B763" s="2">
        <v>45916</v>
      </c>
      <c r="C763" s="24"/>
      <c r="D763" s="4" t="s">
        <v>37</v>
      </c>
      <c r="E763" s="5" t="s">
        <v>28</v>
      </c>
      <c r="G763" s="5" t="s">
        <v>28</v>
      </c>
      <c r="H763" s="19" t="s">
        <v>38</v>
      </c>
      <c r="I763" s="19" t="s">
        <v>39</v>
      </c>
      <c r="J763" s="19" t="s">
        <v>508</v>
      </c>
      <c r="K763" s="73" t="s">
        <v>40</v>
      </c>
      <c r="L763" s="6">
        <v>2</v>
      </c>
      <c r="M763" s="7">
        <v>32.4</v>
      </c>
      <c r="O763" s="9">
        <v>53</v>
      </c>
      <c r="P763" s="141"/>
      <c r="Q763" s="95"/>
      <c r="R763" s="12">
        <v>2500</v>
      </c>
      <c r="S763" s="12">
        <f t="shared" si="66"/>
        <v>1717.1999999999998</v>
      </c>
      <c r="T763" s="33"/>
      <c r="U763" s="34"/>
      <c r="V763" s="15">
        <v>6566</v>
      </c>
      <c r="W763" s="16">
        <f t="shared" si="64"/>
        <v>347998</v>
      </c>
      <c r="Z763" s="18">
        <f t="shared" si="65"/>
        <v>346280.8</v>
      </c>
    </row>
    <row r="764" spans="1:31" ht="16" customHeight="1" x14ac:dyDescent="0.45">
      <c r="A764" s="1">
        <v>2509</v>
      </c>
      <c r="B764" s="2">
        <v>45916</v>
      </c>
      <c r="C764" s="24"/>
      <c r="D764" s="4" t="s">
        <v>37</v>
      </c>
      <c r="E764" s="5" t="s">
        <v>28</v>
      </c>
      <c r="G764" s="5" t="s">
        <v>28</v>
      </c>
      <c r="H764" s="19" t="s">
        <v>38</v>
      </c>
      <c r="I764" s="19" t="s">
        <v>39</v>
      </c>
      <c r="J764" s="19" t="s">
        <v>508</v>
      </c>
      <c r="K764" s="73" t="s">
        <v>41</v>
      </c>
      <c r="L764" s="6">
        <v>15</v>
      </c>
      <c r="M764" s="7">
        <v>270.2</v>
      </c>
      <c r="O764" s="9">
        <v>438</v>
      </c>
      <c r="P764" s="141"/>
      <c r="Q764" s="95"/>
      <c r="R764" s="12">
        <v>2500</v>
      </c>
      <c r="S764" s="12">
        <f t="shared" si="66"/>
        <v>118347.59999999999</v>
      </c>
      <c r="T764" s="33"/>
      <c r="U764" s="34"/>
      <c r="V764" s="15">
        <v>6566</v>
      </c>
      <c r="W764" s="16">
        <f t="shared" si="64"/>
        <v>2875908</v>
      </c>
      <c r="Z764" s="18">
        <f t="shared" si="65"/>
        <v>2757560.4</v>
      </c>
    </row>
    <row r="765" spans="1:31" ht="16" customHeight="1" x14ac:dyDescent="0.45">
      <c r="A765" s="1">
        <v>2509</v>
      </c>
      <c r="B765" s="2">
        <v>45916</v>
      </c>
      <c r="C765" s="24"/>
      <c r="D765" s="4" t="s">
        <v>37</v>
      </c>
      <c r="E765" s="5" t="s">
        <v>28</v>
      </c>
      <c r="G765" s="5" t="s">
        <v>28</v>
      </c>
      <c r="H765" s="19" t="s">
        <v>38</v>
      </c>
      <c r="I765" s="19" t="s">
        <v>39</v>
      </c>
      <c r="J765" s="19" t="s">
        <v>508</v>
      </c>
      <c r="K765" s="73" t="s">
        <v>42</v>
      </c>
      <c r="L765" s="6">
        <v>21</v>
      </c>
      <c r="M765" s="7">
        <v>390.8</v>
      </c>
      <c r="O765" s="9">
        <v>600</v>
      </c>
      <c r="P765" s="141"/>
      <c r="Q765" s="95"/>
      <c r="R765" s="12">
        <v>2500</v>
      </c>
      <c r="S765" s="12">
        <f t="shared" si="66"/>
        <v>234480</v>
      </c>
      <c r="T765" s="33"/>
      <c r="U765" s="34"/>
      <c r="V765" s="15">
        <v>6566</v>
      </c>
      <c r="W765" s="16">
        <f t="shared" si="64"/>
        <v>3939600</v>
      </c>
      <c r="Z765" s="18">
        <f t="shared" si="65"/>
        <v>3705120</v>
      </c>
    </row>
    <row r="766" spans="1:31" ht="18.5" customHeight="1" x14ac:dyDescent="0.45">
      <c r="A766" s="1">
        <v>2509</v>
      </c>
      <c r="B766" s="2">
        <v>45916</v>
      </c>
      <c r="C766" s="24"/>
      <c r="D766" s="4" t="s">
        <v>37</v>
      </c>
      <c r="E766" s="5" t="s">
        <v>28</v>
      </c>
      <c r="G766" s="5" t="s">
        <v>28</v>
      </c>
      <c r="H766" s="19" t="s">
        <v>38</v>
      </c>
      <c r="I766" s="19" t="s">
        <v>39</v>
      </c>
      <c r="J766" s="19" t="s">
        <v>508</v>
      </c>
      <c r="K766" s="73" t="s">
        <v>43</v>
      </c>
      <c r="L766" s="6">
        <v>20</v>
      </c>
      <c r="M766" s="7">
        <v>368</v>
      </c>
      <c r="O766" s="9">
        <v>567</v>
      </c>
      <c r="P766" s="141"/>
      <c r="Q766" s="95"/>
      <c r="R766" s="12">
        <v>2500</v>
      </c>
      <c r="S766" s="12">
        <f t="shared" si="66"/>
        <v>208656</v>
      </c>
      <c r="T766" s="33"/>
      <c r="U766" s="34"/>
      <c r="V766" s="15">
        <v>6566</v>
      </c>
      <c r="W766" s="16">
        <f t="shared" si="64"/>
        <v>3722922</v>
      </c>
      <c r="Z766" s="18">
        <f t="shared" si="65"/>
        <v>3514266</v>
      </c>
    </row>
    <row r="767" spans="1:31" ht="16" customHeight="1" x14ac:dyDescent="0.45">
      <c r="A767" s="1">
        <v>2509</v>
      </c>
      <c r="B767" s="2">
        <v>45916</v>
      </c>
      <c r="C767" s="24"/>
      <c r="D767" s="4" t="s">
        <v>37</v>
      </c>
      <c r="E767" s="5" t="s">
        <v>28</v>
      </c>
      <c r="G767" s="5" t="s">
        <v>28</v>
      </c>
      <c r="H767" s="19" t="s">
        <v>38</v>
      </c>
      <c r="I767" s="19" t="s">
        <v>39</v>
      </c>
      <c r="J767" s="19" t="s">
        <v>508</v>
      </c>
      <c r="K767" s="73" t="s">
        <v>44</v>
      </c>
      <c r="L767" s="6">
        <v>6</v>
      </c>
      <c r="M767" s="7">
        <v>110.2</v>
      </c>
      <c r="O767" s="9">
        <v>165</v>
      </c>
      <c r="P767" s="141"/>
      <c r="Q767" s="95"/>
      <c r="R767" s="12">
        <v>2500</v>
      </c>
      <c r="S767" s="12">
        <f t="shared" si="66"/>
        <v>18183</v>
      </c>
      <c r="T767" s="33"/>
      <c r="U767" s="34"/>
      <c r="V767" s="15">
        <v>6566</v>
      </c>
      <c r="W767" s="16">
        <f t="shared" si="64"/>
        <v>1083390</v>
      </c>
      <c r="Z767" s="18">
        <f t="shared" si="65"/>
        <v>1065207</v>
      </c>
    </row>
    <row r="768" spans="1:31" ht="16" customHeight="1" x14ac:dyDescent="0.45">
      <c r="A768" s="1">
        <v>2509</v>
      </c>
      <c r="B768" s="2">
        <v>45916</v>
      </c>
      <c r="C768" s="24"/>
      <c r="D768" s="4" t="s">
        <v>37</v>
      </c>
      <c r="E768" s="5" t="s">
        <v>28</v>
      </c>
      <c r="G768" s="5" t="s">
        <v>28</v>
      </c>
      <c r="H768" s="19" t="s">
        <v>38</v>
      </c>
      <c r="I768" s="19" t="s">
        <v>39</v>
      </c>
      <c r="J768" s="19" t="s">
        <v>508</v>
      </c>
      <c r="K768" s="73" t="s">
        <v>45</v>
      </c>
      <c r="L768" s="6">
        <v>24</v>
      </c>
      <c r="M768" s="7">
        <v>462.3</v>
      </c>
      <c r="O768" s="9">
        <v>701</v>
      </c>
      <c r="P768" s="141"/>
      <c r="Q768" s="95"/>
      <c r="R768" s="12">
        <v>2500</v>
      </c>
      <c r="S768" s="12">
        <f t="shared" si="66"/>
        <v>324072.3</v>
      </c>
      <c r="T768" s="33"/>
      <c r="U768" s="34"/>
      <c r="V768" s="15">
        <v>6566</v>
      </c>
      <c r="W768" s="16">
        <f t="shared" si="64"/>
        <v>4602766</v>
      </c>
      <c r="Z768" s="18">
        <f t="shared" si="65"/>
        <v>4278693.7</v>
      </c>
    </row>
    <row r="769" spans="1:31" ht="16" customHeight="1" x14ac:dyDescent="0.45">
      <c r="A769" s="1">
        <v>2509</v>
      </c>
      <c r="B769" s="2">
        <v>45916</v>
      </c>
      <c r="C769" s="24"/>
      <c r="D769" s="4" t="s">
        <v>37</v>
      </c>
      <c r="E769" s="5" t="s">
        <v>28</v>
      </c>
      <c r="G769" s="5" t="s">
        <v>28</v>
      </c>
      <c r="H769" s="19" t="s">
        <v>38</v>
      </c>
      <c r="I769" s="19" t="s">
        <v>39</v>
      </c>
      <c r="J769" s="19" t="s">
        <v>508</v>
      </c>
      <c r="K769" s="73" t="s">
        <v>46</v>
      </c>
      <c r="L769" s="6">
        <v>24</v>
      </c>
      <c r="M769" s="7">
        <v>462.3</v>
      </c>
      <c r="O769" s="9">
        <v>682</v>
      </c>
      <c r="P769" s="141"/>
      <c r="Q769" s="95"/>
      <c r="R769" s="12">
        <v>2500</v>
      </c>
      <c r="S769" s="12">
        <f t="shared" si="66"/>
        <v>315288.60000000003</v>
      </c>
      <c r="T769" s="33"/>
      <c r="U769" s="34"/>
      <c r="V769" s="15">
        <v>6566</v>
      </c>
      <c r="W769" s="16">
        <f t="shared" si="64"/>
        <v>4478012</v>
      </c>
      <c r="Z769" s="18">
        <f t="shared" si="65"/>
        <v>4162723.4</v>
      </c>
    </row>
    <row r="770" spans="1:31" ht="16" customHeight="1" x14ac:dyDescent="0.45">
      <c r="A770" s="1">
        <v>2509</v>
      </c>
      <c r="B770" s="2">
        <v>45916</v>
      </c>
      <c r="C770" s="24"/>
      <c r="D770" s="4" t="s">
        <v>37</v>
      </c>
      <c r="E770" s="5" t="s">
        <v>28</v>
      </c>
      <c r="G770" s="5" t="s">
        <v>28</v>
      </c>
      <c r="H770" s="19" t="s">
        <v>38</v>
      </c>
      <c r="I770" s="19" t="s">
        <v>39</v>
      </c>
      <c r="J770" s="19" t="s">
        <v>508</v>
      </c>
      <c r="K770" s="73" t="s">
        <v>48</v>
      </c>
      <c r="L770" s="6">
        <v>24</v>
      </c>
      <c r="M770" s="7">
        <v>448.2</v>
      </c>
      <c r="O770" s="9">
        <v>691</v>
      </c>
      <c r="P770" s="141"/>
      <c r="Q770" s="95"/>
      <c r="R770" s="12">
        <v>2500</v>
      </c>
      <c r="S770" s="12">
        <f t="shared" si="66"/>
        <v>309706.2</v>
      </c>
      <c r="T770" s="33"/>
      <c r="U770" s="34"/>
      <c r="V770" s="15">
        <v>6566</v>
      </c>
      <c r="W770" s="16">
        <f t="shared" si="64"/>
        <v>4537106</v>
      </c>
      <c r="Z770" s="18">
        <f t="shared" si="65"/>
        <v>4227399.8</v>
      </c>
    </row>
    <row r="771" spans="1:31" ht="16" customHeight="1" x14ac:dyDescent="0.45">
      <c r="A771" s="1">
        <v>2509</v>
      </c>
      <c r="B771" s="2">
        <v>45916</v>
      </c>
      <c r="C771" s="24"/>
      <c r="D771" s="4" t="s">
        <v>37</v>
      </c>
      <c r="E771" s="5" t="s">
        <v>28</v>
      </c>
      <c r="G771" s="5" t="s">
        <v>28</v>
      </c>
      <c r="H771" s="19" t="s">
        <v>38</v>
      </c>
      <c r="I771" s="19" t="s">
        <v>39</v>
      </c>
      <c r="J771" s="19" t="s">
        <v>508</v>
      </c>
      <c r="K771" s="73" t="s">
        <v>49</v>
      </c>
      <c r="L771" s="6">
        <v>23</v>
      </c>
      <c r="M771" s="7">
        <v>436.9</v>
      </c>
      <c r="O771" s="9">
        <v>674</v>
      </c>
      <c r="P771" s="141"/>
      <c r="Q771" s="95"/>
      <c r="R771" s="12">
        <v>2500</v>
      </c>
      <c r="S771" s="12">
        <f t="shared" si="66"/>
        <v>294470.59999999998</v>
      </c>
      <c r="T771" s="33"/>
      <c r="U771" s="34"/>
      <c r="V771" s="15">
        <v>6566</v>
      </c>
      <c r="W771" s="16">
        <f t="shared" si="64"/>
        <v>4425484</v>
      </c>
      <c r="Z771" s="18">
        <f t="shared" si="65"/>
        <v>4131013.4</v>
      </c>
    </row>
    <row r="772" spans="1:31" ht="16" customHeight="1" x14ac:dyDescent="0.45">
      <c r="A772" s="1">
        <v>2509</v>
      </c>
      <c r="B772" s="2">
        <v>45916</v>
      </c>
      <c r="C772" s="24"/>
      <c r="D772" s="4" t="s">
        <v>37</v>
      </c>
      <c r="E772" s="5" t="s">
        <v>28</v>
      </c>
      <c r="G772" s="5" t="s">
        <v>28</v>
      </c>
      <c r="H772" s="19" t="s">
        <v>38</v>
      </c>
      <c r="I772" s="19" t="s">
        <v>39</v>
      </c>
      <c r="J772" s="19" t="s">
        <v>508</v>
      </c>
      <c r="K772" s="73" t="s">
        <v>50</v>
      </c>
      <c r="L772" s="6">
        <v>15</v>
      </c>
      <c r="M772" s="7">
        <v>269.10000000000002</v>
      </c>
      <c r="O772" s="9">
        <v>413</v>
      </c>
      <c r="P772" s="141"/>
      <c r="Q772" s="95"/>
      <c r="R772" s="12">
        <v>2500</v>
      </c>
      <c r="S772" s="12">
        <f t="shared" si="66"/>
        <v>111138.3</v>
      </c>
      <c r="T772" s="33"/>
      <c r="U772" s="34"/>
      <c r="V772" s="15">
        <v>6566</v>
      </c>
      <c r="W772" s="16">
        <f t="shared" si="64"/>
        <v>2711758</v>
      </c>
      <c r="Z772" s="18">
        <f t="shared" si="65"/>
        <v>2600619.7000000002</v>
      </c>
    </row>
    <row r="773" spans="1:31" ht="16" customHeight="1" x14ac:dyDescent="0.45">
      <c r="A773" s="1">
        <v>2509</v>
      </c>
      <c r="B773" s="23">
        <v>45922</v>
      </c>
      <c r="C773" s="24"/>
      <c r="D773" s="25" t="s">
        <v>3</v>
      </c>
      <c r="E773" s="26" t="s">
        <v>509</v>
      </c>
      <c r="F773" s="26"/>
      <c r="G773" s="26" t="s">
        <v>509</v>
      </c>
      <c r="H773" s="27" t="s">
        <v>510</v>
      </c>
      <c r="I773" s="27" t="s">
        <v>53</v>
      </c>
      <c r="J773" s="27"/>
      <c r="K773" s="28">
        <v>38</v>
      </c>
      <c r="L773" s="29">
        <v>8</v>
      </c>
      <c r="M773" s="30">
        <v>75.3</v>
      </c>
      <c r="N773" s="31">
        <v>1190</v>
      </c>
      <c r="O773" s="32">
        <v>1088</v>
      </c>
      <c r="P773" s="91"/>
      <c r="Q773" s="92"/>
      <c r="R773" s="93">
        <v>550</v>
      </c>
      <c r="S773" s="93">
        <f t="shared" ref="S773:S779" si="67">N773*R773</f>
        <v>654500</v>
      </c>
      <c r="T773" s="33"/>
      <c r="U773" s="34"/>
      <c r="V773" s="35">
        <v>2297</v>
      </c>
      <c r="W773" s="36">
        <f t="shared" si="64"/>
        <v>2499136</v>
      </c>
      <c r="X773" s="93"/>
      <c r="Y773" s="21"/>
    </row>
    <row r="774" spans="1:31" ht="16" customHeight="1" x14ac:dyDescent="0.45">
      <c r="A774" s="1">
        <v>2509</v>
      </c>
      <c r="B774" s="23">
        <v>45922</v>
      </c>
      <c r="C774" s="24"/>
      <c r="D774" s="25" t="s">
        <v>3</v>
      </c>
      <c r="E774" s="26" t="s">
        <v>509</v>
      </c>
      <c r="F774" s="26"/>
      <c r="G774" s="26" t="s">
        <v>509</v>
      </c>
      <c r="H774" s="27" t="s">
        <v>510</v>
      </c>
      <c r="I774" s="27" t="s">
        <v>53</v>
      </c>
      <c r="J774" s="27"/>
      <c r="K774" s="28">
        <v>36</v>
      </c>
      <c r="L774" s="29">
        <v>6</v>
      </c>
      <c r="M774" s="30">
        <v>86</v>
      </c>
      <c r="N774" s="31">
        <v>1330</v>
      </c>
      <c r="O774" s="32">
        <v>1216</v>
      </c>
      <c r="P774" s="91"/>
      <c r="Q774" s="92"/>
      <c r="R774" s="93">
        <v>550</v>
      </c>
      <c r="S774" s="93">
        <f t="shared" si="67"/>
        <v>731500</v>
      </c>
      <c r="T774" s="33"/>
      <c r="U774" s="34"/>
      <c r="V774" s="35">
        <v>2297</v>
      </c>
      <c r="W774" s="36">
        <f t="shared" si="64"/>
        <v>2793152</v>
      </c>
      <c r="X774" s="93"/>
      <c r="Y774" s="21"/>
    </row>
    <row r="775" spans="1:31" ht="16" customHeight="1" x14ac:dyDescent="0.45">
      <c r="A775" s="1">
        <v>2509</v>
      </c>
      <c r="B775" s="23">
        <v>45922</v>
      </c>
      <c r="C775" s="24"/>
      <c r="D775" s="25" t="s">
        <v>3</v>
      </c>
      <c r="E775" s="26" t="s">
        <v>509</v>
      </c>
      <c r="F775" s="26"/>
      <c r="G775" s="26" t="s">
        <v>509</v>
      </c>
      <c r="H775" s="27" t="s">
        <v>510</v>
      </c>
      <c r="I775" s="27" t="s">
        <v>53</v>
      </c>
      <c r="J775" s="27"/>
      <c r="K775" s="28">
        <v>39</v>
      </c>
      <c r="L775" s="29">
        <v>11</v>
      </c>
      <c r="M775" s="30">
        <v>100</v>
      </c>
      <c r="N775" s="31">
        <v>1569</v>
      </c>
      <c r="O775" s="32">
        <v>1434</v>
      </c>
      <c r="P775" s="91"/>
      <c r="Q775" s="92"/>
      <c r="R775" s="93">
        <v>550</v>
      </c>
      <c r="S775" s="93">
        <f t="shared" si="67"/>
        <v>862950</v>
      </c>
      <c r="T775" s="33"/>
      <c r="U775" s="34"/>
      <c r="V775" s="35">
        <v>2297</v>
      </c>
      <c r="W775" s="36">
        <f t="shared" si="64"/>
        <v>3293898</v>
      </c>
      <c r="X775" s="93"/>
      <c r="Y775" s="21"/>
    </row>
    <row r="776" spans="1:31" ht="16" customHeight="1" x14ac:dyDescent="0.45">
      <c r="A776" s="1">
        <v>2509</v>
      </c>
      <c r="B776" s="2">
        <v>45902</v>
      </c>
      <c r="D776" s="4" t="s">
        <v>3</v>
      </c>
      <c r="E776" s="5" t="s">
        <v>211</v>
      </c>
      <c r="G776" s="5" t="s">
        <v>1</v>
      </c>
      <c r="H776" s="19" t="s">
        <v>2</v>
      </c>
      <c r="I776" s="19" t="s">
        <v>34</v>
      </c>
      <c r="K776" s="20">
        <v>1</v>
      </c>
      <c r="L776" s="6">
        <v>6</v>
      </c>
      <c r="M776" s="7">
        <v>93.1</v>
      </c>
      <c r="N776" s="8">
        <v>1432</v>
      </c>
      <c r="R776" s="12">
        <v>500</v>
      </c>
      <c r="S776" s="12">
        <f t="shared" si="67"/>
        <v>716000</v>
      </c>
    </row>
    <row r="777" spans="1:31" ht="16" customHeight="1" x14ac:dyDescent="0.45">
      <c r="A777" s="1">
        <v>2509</v>
      </c>
      <c r="B777" s="2">
        <v>45919</v>
      </c>
      <c r="D777" s="4" t="s">
        <v>3</v>
      </c>
      <c r="E777" s="5" t="s">
        <v>211</v>
      </c>
      <c r="G777" s="5" t="s">
        <v>1</v>
      </c>
      <c r="H777" s="19" t="s">
        <v>2</v>
      </c>
      <c r="I777" s="19" t="s">
        <v>511</v>
      </c>
      <c r="M777" s="7">
        <v>16.899999999999999</v>
      </c>
      <c r="N777" s="8">
        <v>265</v>
      </c>
      <c r="R777" s="12">
        <v>500</v>
      </c>
      <c r="S777" s="12">
        <f t="shared" si="67"/>
        <v>132500</v>
      </c>
    </row>
    <row r="778" spans="1:31" s="21" customFormat="1" ht="16" customHeight="1" x14ac:dyDescent="0.45">
      <c r="A778" s="1">
        <v>2509</v>
      </c>
      <c r="B778" s="2">
        <v>45919</v>
      </c>
      <c r="C778" s="3"/>
      <c r="D778" s="4" t="s">
        <v>3</v>
      </c>
      <c r="E778" s="5" t="s">
        <v>211</v>
      </c>
      <c r="F778" s="5"/>
      <c r="G778" s="5" t="s">
        <v>1</v>
      </c>
      <c r="H778" s="19" t="s">
        <v>2</v>
      </c>
      <c r="I778" s="19" t="s">
        <v>512</v>
      </c>
      <c r="J778" s="19"/>
      <c r="K778" s="20"/>
      <c r="L778" s="6"/>
      <c r="M778" s="7">
        <v>55</v>
      </c>
      <c r="N778" s="8">
        <v>876</v>
      </c>
      <c r="O778" s="9"/>
      <c r="P778" s="10"/>
      <c r="Q778" s="11"/>
      <c r="R778" s="12">
        <v>500</v>
      </c>
      <c r="S778" s="12">
        <f t="shared" si="67"/>
        <v>438000</v>
      </c>
      <c r="T778" s="13"/>
      <c r="U778" s="14"/>
      <c r="V778" s="15"/>
      <c r="W778" s="16"/>
      <c r="X778" s="12"/>
      <c r="Y778" s="17"/>
      <c r="Z778" s="18"/>
      <c r="AA778" s="17"/>
      <c r="AB778" s="17"/>
      <c r="AC778" s="17"/>
      <c r="AD778" s="17"/>
      <c r="AE778" s="17"/>
    </row>
    <row r="779" spans="1:31" ht="16" customHeight="1" x14ac:dyDescent="0.45">
      <c r="A779" s="1">
        <v>2509</v>
      </c>
      <c r="B779" s="2">
        <v>45911</v>
      </c>
      <c r="D779" s="4" t="s">
        <v>3</v>
      </c>
      <c r="E779" s="5" t="s">
        <v>37</v>
      </c>
      <c r="G779" s="5" t="s">
        <v>1</v>
      </c>
      <c r="H779" s="19" t="s">
        <v>2</v>
      </c>
      <c r="I779" s="19" t="s">
        <v>21</v>
      </c>
      <c r="L779" s="6">
        <v>1</v>
      </c>
      <c r="M779" s="7">
        <v>16</v>
      </c>
      <c r="N779" s="8">
        <v>238</v>
      </c>
      <c r="R779" s="12">
        <v>550</v>
      </c>
      <c r="S779" s="12">
        <f t="shared" si="67"/>
        <v>130900</v>
      </c>
    </row>
    <row r="780" spans="1:31" ht="16" customHeight="1" x14ac:dyDescent="0.45">
      <c r="A780" s="1">
        <v>2509</v>
      </c>
      <c r="B780" s="23">
        <v>45917</v>
      </c>
      <c r="C780" s="24"/>
      <c r="D780" s="25" t="s">
        <v>109</v>
      </c>
      <c r="E780" s="26" t="s">
        <v>230</v>
      </c>
      <c r="F780" s="26"/>
      <c r="G780" s="26" t="s">
        <v>230</v>
      </c>
      <c r="H780" s="27" t="s">
        <v>172</v>
      </c>
      <c r="I780" s="27"/>
      <c r="J780" s="27"/>
      <c r="K780" s="28"/>
      <c r="L780" s="29"/>
      <c r="M780" s="30"/>
      <c r="N780" s="31">
        <v>1372</v>
      </c>
      <c r="O780" s="32"/>
      <c r="P780" s="91"/>
      <c r="Q780" s="92"/>
      <c r="R780" s="93" t="s">
        <v>232</v>
      </c>
      <c r="S780" s="93"/>
      <c r="T780" s="33"/>
      <c r="U780" s="34"/>
      <c r="V780" s="35">
        <v>1200</v>
      </c>
      <c r="W780" s="36">
        <f>N780*V780</f>
        <v>1646400</v>
      </c>
      <c r="X780" s="93"/>
      <c r="Y780" s="21"/>
    </row>
    <row r="781" spans="1:31" ht="16" customHeight="1" x14ac:dyDescent="0.45">
      <c r="A781" s="1">
        <v>2509</v>
      </c>
      <c r="B781" s="2">
        <v>45930</v>
      </c>
      <c r="C781" s="24"/>
      <c r="E781" s="5" t="s">
        <v>31</v>
      </c>
      <c r="G781" s="5" t="s">
        <v>31</v>
      </c>
      <c r="H781" s="19" t="s">
        <v>513</v>
      </c>
      <c r="O781" s="9">
        <v>-132</v>
      </c>
      <c r="P781" s="141"/>
      <c r="Q781" s="95"/>
      <c r="T781" s="33"/>
      <c r="U781" s="34"/>
      <c r="V781" s="15">
        <v>2200</v>
      </c>
      <c r="W781" s="16">
        <f>O781*V781</f>
        <v>-290400</v>
      </c>
    </row>
    <row r="782" spans="1:31" s="21" customFormat="1" ht="16" customHeight="1" x14ac:dyDescent="0.45">
      <c r="A782" s="1">
        <v>2510</v>
      </c>
      <c r="B782" s="2">
        <v>45954</v>
      </c>
      <c r="C782" s="3"/>
      <c r="D782" s="4" t="s">
        <v>204</v>
      </c>
      <c r="E782" s="5" t="s">
        <v>0</v>
      </c>
      <c r="F782" s="5"/>
      <c r="G782" s="5" t="s">
        <v>1</v>
      </c>
      <c r="H782" s="19" t="s">
        <v>514</v>
      </c>
      <c r="I782" s="19"/>
      <c r="J782" s="19"/>
      <c r="K782" s="73"/>
      <c r="L782" s="6"/>
      <c r="M782" s="7">
        <v>5020.3999999999996</v>
      </c>
      <c r="N782" s="8"/>
      <c r="O782" s="9"/>
      <c r="P782" s="10">
        <v>3330</v>
      </c>
      <c r="Q782" s="11">
        <f>M782*P782</f>
        <v>16717931.999999998</v>
      </c>
      <c r="R782" s="12"/>
      <c r="S782" s="12"/>
      <c r="T782" s="13"/>
      <c r="U782" s="14"/>
      <c r="V782" s="15"/>
      <c r="W782" s="16"/>
      <c r="X782" s="12"/>
      <c r="Y782" s="17"/>
      <c r="Z782" s="18">
        <f t="shared" ref="Z782:Z845" si="68">W782-S782-Q782</f>
        <v>-16717931.999999998</v>
      </c>
      <c r="AA782" s="17"/>
      <c r="AB782" s="17"/>
      <c r="AC782" s="17"/>
      <c r="AD782" s="17"/>
      <c r="AE782" s="17"/>
    </row>
    <row r="783" spans="1:31" s="21" customFormat="1" ht="16" customHeight="1" x14ac:dyDescent="0.45">
      <c r="A783" s="1">
        <v>2510</v>
      </c>
      <c r="B783" s="2">
        <v>45954</v>
      </c>
      <c r="C783" s="3"/>
      <c r="D783" s="4" t="s">
        <v>204</v>
      </c>
      <c r="E783" s="5" t="s">
        <v>339</v>
      </c>
      <c r="F783" s="5"/>
      <c r="G783" s="5" t="s">
        <v>28</v>
      </c>
      <c r="H783" s="19" t="s">
        <v>515</v>
      </c>
      <c r="I783" s="19"/>
      <c r="J783" s="19"/>
      <c r="K783" s="73"/>
      <c r="L783" s="6"/>
      <c r="M783" s="7">
        <v>13924.9</v>
      </c>
      <c r="N783" s="8"/>
      <c r="O783" s="9"/>
      <c r="P783" s="10">
        <v>2626</v>
      </c>
      <c r="Q783" s="11">
        <f>M783*P783</f>
        <v>36566787.399999999</v>
      </c>
      <c r="R783" s="12"/>
      <c r="S783" s="12"/>
      <c r="T783" s="13"/>
      <c r="U783" s="14"/>
      <c r="V783" s="15"/>
      <c r="W783" s="16"/>
      <c r="X783" s="12"/>
      <c r="Y783" s="17"/>
      <c r="Z783" s="18">
        <f t="shared" si="68"/>
        <v>-36566787.399999999</v>
      </c>
      <c r="AA783" s="17"/>
      <c r="AB783" s="17"/>
      <c r="AC783" s="17"/>
      <c r="AD783" s="17"/>
      <c r="AE783" s="17"/>
    </row>
    <row r="784" spans="1:31" ht="16" customHeight="1" x14ac:dyDescent="0.45">
      <c r="A784" s="1">
        <v>2510</v>
      </c>
      <c r="B784" s="23">
        <v>45960</v>
      </c>
      <c r="C784" s="24"/>
      <c r="D784" s="25" t="s">
        <v>367</v>
      </c>
      <c r="E784" s="26" t="s">
        <v>5</v>
      </c>
      <c r="F784" s="26"/>
      <c r="G784" s="26" t="s">
        <v>5</v>
      </c>
      <c r="H784" s="27" t="s">
        <v>516</v>
      </c>
      <c r="I784" s="27" t="s">
        <v>53</v>
      </c>
      <c r="J784" s="27"/>
      <c r="K784" s="38"/>
      <c r="L784" s="29"/>
      <c r="M784" s="30"/>
      <c r="N784" s="31"/>
      <c r="O784" s="146">
        <v>742.7</v>
      </c>
      <c r="P784" s="91"/>
      <c r="Q784" s="92"/>
      <c r="R784" s="93">
        <v>10249</v>
      </c>
      <c r="S784" s="93">
        <f>O784*R784</f>
        <v>7611932.3000000007</v>
      </c>
      <c r="T784" s="33"/>
      <c r="U784" s="34"/>
      <c r="V784" s="35">
        <v>11300</v>
      </c>
      <c r="W784" s="36">
        <f>O784*V784</f>
        <v>8392510</v>
      </c>
      <c r="X784" s="93"/>
      <c r="Y784" s="21"/>
      <c r="Z784" s="18">
        <f t="shared" si="68"/>
        <v>780577.69999999925</v>
      </c>
    </row>
    <row r="785" spans="1:31" s="21" customFormat="1" ht="16" customHeight="1" x14ac:dyDescent="0.45">
      <c r="A785" s="1">
        <v>2510</v>
      </c>
      <c r="B785" s="23">
        <v>45960</v>
      </c>
      <c r="C785" s="24"/>
      <c r="D785" s="25" t="s">
        <v>367</v>
      </c>
      <c r="E785" s="26" t="s">
        <v>5</v>
      </c>
      <c r="F785" s="26"/>
      <c r="G785" s="26" t="s">
        <v>5</v>
      </c>
      <c r="H785" s="27" t="s">
        <v>516</v>
      </c>
      <c r="I785" s="27" t="s">
        <v>34</v>
      </c>
      <c r="J785" s="27"/>
      <c r="K785" s="38"/>
      <c r="L785" s="29"/>
      <c r="M785" s="30"/>
      <c r="N785" s="31"/>
      <c r="O785" s="146">
        <v>472.4</v>
      </c>
      <c r="P785" s="91"/>
      <c r="Q785" s="92"/>
      <c r="R785" s="93">
        <v>9072</v>
      </c>
      <c r="S785" s="93">
        <f>O785*R785</f>
        <v>4285612.8</v>
      </c>
      <c r="T785" s="33"/>
      <c r="U785" s="34"/>
      <c r="V785" s="35">
        <v>9980</v>
      </c>
      <c r="W785" s="36">
        <f>O785*V785</f>
        <v>4714552</v>
      </c>
      <c r="X785" s="93"/>
      <c r="Z785" s="18">
        <f t="shared" si="68"/>
        <v>428939.20000000019</v>
      </c>
      <c r="AA785" s="17"/>
      <c r="AB785" s="17"/>
      <c r="AC785" s="17"/>
      <c r="AD785" s="17"/>
      <c r="AE785" s="17"/>
    </row>
    <row r="786" spans="1:31" s="21" customFormat="1" ht="16" customHeight="1" x14ac:dyDescent="0.45">
      <c r="A786" s="1">
        <v>2510</v>
      </c>
      <c r="B786" s="2">
        <v>45951</v>
      </c>
      <c r="C786" s="3"/>
      <c r="D786" s="4" t="s">
        <v>0</v>
      </c>
      <c r="E786" s="5" t="s">
        <v>3</v>
      </c>
      <c r="F786" s="5"/>
      <c r="G786" s="5" t="s">
        <v>1</v>
      </c>
      <c r="H786" s="19" t="s">
        <v>2</v>
      </c>
      <c r="I786" s="19"/>
      <c r="J786" s="19"/>
      <c r="K786" s="20"/>
      <c r="L786" s="6">
        <v>4</v>
      </c>
      <c r="M786" s="7">
        <v>70</v>
      </c>
      <c r="N786" s="8"/>
      <c r="O786" s="9"/>
      <c r="P786" s="10"/>
      <c r="Q786" s="11"/>
      <c r="R786" s="12">
        <v>3800</v>
      </c>
      <c r="S786" s="12">
        <f t="shared" ref="S786:S796" si="69">M786*R786</f>
        <v>266000</v>
      </c>
      <c r="T786" s="13"/>
      <c r="U786" s="14"/>
      <c r="V786" s="15"/>
      <c r="W786" s="16"/>
      <c r="X786" s="12"/>
      <c r="Y786" s="17"/>
      <c r="Z786" s="18">
        <f t="shared" si="68"/>
        <v>-266000</v>
      </c>
      <c r="AA786" s="17"/>
      <c r="AB786" s="17"/>
      <c r="AC786" s="17"/>
      <c r="AD786" s="17"/>
      <c r="AE786" s="17"/>
    </row>
    <row r="787" spans="1:31" ht="16" customHeight="1" x14ac:dyDescent="0.45">
      <c r="A787" s="1">
        <v>2510</v>
      </c>
      <c r="B787" s="2">
        <v>45947</v>
      </c>
      <c r="D787" s="4" t="s">
        <v>0</v>
      </c>
      <c r="E787" s="5" t="s">
        <v>3</v>
      </c>
      <c r="G787" s="5" t="s">
        <v>1</v>
      </c>
      <c r="H787" s="19" t="s">
        <v>2</v>
      </c>
      <c r="L787" s="6">
        <v>12</v>
      </c>
      <c r="M787" s="7">
        <v>208</v>
      </c>
      <c r="R787" s="12">
        <v>3800</v>
      </c>
      <c r="S787" s="12">
        <f t="shared" si="69"/>
        <v>790400</v>
      </c>
      <c r="Z787" s="18">
        <f t="shared" si="68"/>
        <v>-790400</v>
      </c>
    </row>
    <row r="788" spans="1:31" s="21" customFormat="1" ht="16" customHeight="1" x14ac:dyDescent="0.45">
      <c r="A788" s="1">
        <v>2510</v>
      </c>
      <c r="B788" s="2">
        <v>45944</v>
      </c>
      <c r="C788" s="3"/>
      <c r="D788" s="4" t="s">
        <v>0</v>
      </c>
      <c r="E788" s="5" t="s">
        <v>3</v>
      </c>
      <c r="F788" s="5"/>
      <c r="G788" s="5" t="s">
        <v>1</v>
      </c>
      <c r="H788" s="19" t="s">
        <v>2</v>
      </c>
      <c r="I788" s="19"/>
      <c r="J788" s="19"/>
      <c r="K788" s="20"/>
      <c r="L788" s="6">
        <v>3</v>
      </c>
      <c r="M788" s="7">
        <v>52.5</v>
      </c>
      <c r="N788" s="8"/>
      <c r="O788" s="9"/>
      <c r="P788" s="10"/>
      <c r="Q788" s="11"/>
      <c r="R788" s="12">
        <v>3800</v>
      </c>
      <c r="S788" s="12">
        <f t="shared" si="69"/>
        <v>199500</v>
      </c>
      <c r="T788" s="13"/>
      <c r="U788" s="14"/>
      <c r="V788" s="15"/>
      <c r="W788" s="16"/>
      <c r="X788" s="12"/>
      <c r="Y788" s="17"/>
      <c r="Z788" s="18">
        <f t="shared" si="68"/>
        <v>-199500</v>
      </c>
      <c r="AA788" s="17"/>
      <c r="AB788" s="17"/>
      <c r="AC788" s="17"/>
      <c r="AD788" s="17"/>
      <c r="AE788" s="17"/>
    </row>
    <row r="789" spans="1:31" s="21" customFormat="1" ht="16" customHeight="1" x14ac:dyDescent="0.45">
      <c r="A789" s="1">
        <v>2510</v>
      </c>
      <c r="B789" s="2">
        <v>45943</v>
      </c>
      <c r="C789" s="3"/>
      <c r="D789" s="4" t="s">
        <v>0</v>
      </c>
      <c r="E789" s="5" t="s">
        <v>3</v>
      </c>
      <c r="F789" s="5"/>
      <c r="G789" s="5" t="s">
        <v>1</v>
      </c>
      <c r="H789" s="19" t="s">
        <v>2</v>
      </c>
      <c r="I789" s="19"/>
      <c r="J789" s="19"/>
      <c r="K789" s="20"/>
      <c r="L789" s="6">
        <v>8</v>
      </c>
      <c r="M789" s="7">
        <v>140</v>
      </c>
      <c r="N789" s="8"/>
      <c r="O789" s="9"/>
      <c r="P789" s="10"/>
      <c r="Q789" s="11"/>
      <c r="R789" s="12">
        <v>3800</v>
      </c>
      <c r="S789" s="12">
        <f t="shared" si="69"/>
        <v>532000</v>
      </c>
      <c r="T789" s="13"/>
      <c r="U789" s="14"/>
      <c r="V789" s="15"/>
      <c r="W789" s="16"/>
      <c r="X789" s="12"/>
      <c r="Y789" s="17"/>
      <c r="Z789" s="18">
        <f t="shared" si="68"/>
        <v>-532000</v>
      </c>
      <c r="AA789" s="17"/>
      <c r="AB789" s="17"/>
      <c r="AC789" s="17"/>
      <c r="AD789" s="17"/>
      <c r="AE789" s="17"/>
    </row>
    <row r="790" spans="1:31" s="21" customFormat="1" ht="16" customHeight="1" x14ac:dyDescent="0.45">
      <c r="A790" s="1">
        <v>2510</v>
      </c>
      <c r="B790" s="2">
        <v>45931</v>
      </c>
      <c r="C790" s="3"/>
      <c r="D790" s="4" t="s">
        <v>0</v>
      </c>
      <c r="E790" s="5" t="s">
        <v>3</v>
      </c>
      <c r="F790" s="5"/>
      <c r="G790" s="5" t="s">
        <v>1</v>
      </c>
      <c r="H790" s="19" t="s">
        <v>2</v>
      </c>
      <c r="I790" s="19"/>
      <c r="J790" s="19"/>
      <c r="K790" s="20"/>
      <c r="L790" s="6">
        <v>6</v>
      </c>
      <c r="M790" s="7">
        <v>105</v>
      </c>
      <c r="N790" s="8"/>
      <c r="O790" s="9"/>
      <c r="P790" s="10"/>
      <c r="Q790" s="11"/>
      <c r="R790" s="12">
        <v>3800</v>
      </c>
      <c r="S790" s="12">
        <f t="shared" si="69"/>
        <v>399000</v>
      </c>
      <c r="T790" s="13"/>
      <c r="U790" s="14"/>
      <c r="V790" s="15"/>
      <c r="W790" s="16"/>
      <c r="X790" s="12"/>
      <c r="Y790" s="17"/>
      <c r="Z790" s="18">
        <f t="shared" si="68"/>
        <v>-399000</v>
      </c>
      <c r="AA790" s="17"/>
      <c r="AB790" s="17"/>
      <c r="AC790" s="17"/>
      <c r="AD790" s="17"/>
      <c r="AE790" s="17"/>
    </row>
    <row r="791" spans="1:31" s="21" customFormat="1" ht="16" customHeight="1" x14ac:dyDescent="0.45">
      <c r="A791" s="1">
        <v>2510</v>
      </c>
      <c r="B791" s="2">
        <v>45946</v>
      </c>
      <c r="C791" s="3"/>
      <c r="D791" s="4" t="s">
        <v>463</v>
      </c>
      <c r="E791" s="5" t="s">
        <v>37</v>
      </c>
      <c r="F791" s="5"/>
      <c r="G791" s="5" t="s">
        <v>28</v>
      </c>
      <c r="H791" s="19" t="s">
        <v>517</v>
      </c>
      <c r="I791" s="19"/>
      <c r="J791" s="19"/>
      <c r="K791" s="20"/>
      <c r="L791" s="6">
        <v>2</v>
      </c>
      <c r="M791" s="7">
        <v>36.6</v>
      </c>
      <c r="N791" s="8"/>
      <c r="O791" s="9"/>
      <c r="P791" s="10"/>
      <c r="Q791" s="11"/>
      <c r="R791" s="12">
        <v>1800</v>
      </c>
      <c r="S791" s="12">
        <f t="shared" si="69"/>
        <v>65880</v>
      </c>
      <c r="T791" s="13"/>
      <c r="U791" s="14"/>
      <c r="V791" s="15"/>
      <c r="W791" s="16"/>
      <c r="X791" s="12"/>
      <c r="Y791" s="17"/>
      <c r="Z791" s="18">
        <f t="shared" si="68"/>
        <v>-65880</v>
      </c>
      <c r="AA791" s="17"/>
      <c r="AB791" s="17"/>
      <c r="AC791" s="17"/>
      <c r="AD791" s="17"/>
      <c r="AE791" s="17"/>
    </row>
    <row r="792" spans="1:31" s="21" customFormat="1" ht="16" customHeight="1" x14ac:dyDescent="0.45">
      <c r="A792" s="1">
        <v>2510</v>
      </c>
      <c r="B792" s="2">
        <v>45946</v>
      </c>
      <c r="C792" s="3"/>
      <c r="D792" s="4" t="s">
        <v>463</v>
      </c>
      <c r="E792" s="5" t="s">
        <v>37</v>
      </c>
      <c r="F792" s="5"/>
      <c r="G792" s="5" t="s">
        <v>28</v>
      </c>
      <c r="H792" s="19" t="s">
        <v>38</v>
      </c>
      <c r="I792" s="19"/>
      <c r="J792" s="19"/>
      <c r="K792" s="20"/>
      <c r="L792" s="6">
        <v>150</v>
      </c>
      <c r="M792" s="7">
        <v>3079.5</v>
      </c>
      <c r="N792" s="8"/>
      <c r="O792" s="9"/>
      <c r="P792" s="10"/>
      <c r="Q792" s="11"/>
      <c r="R792" s="12">
        <v>2000</v>
      </c>
      <c r="S792" s="12">
        <f t="shared" si="69"/>
        <v>6159000</v>
      </c>
      <c r="T792" s="13"/>
      <c r="U792" s="14"/>
      <c r="V792" s="15"/>
      <c r="W792" s="16"/>
      <c r="X792" s="12"/>
      <c r="Y792" s="17"/>
      <c r="Z792" s="18">
        <f t="shared" si="68"/>
        <v>-6159000</v>
      </c>
      <c r="AA792" s="17"/>
      <c r="AB792" s="17"/>
      <c r="AC792" s="17"/>
      <c r="AD792" s="17"/>
      <c r="AE792" s="17"/>
    </row>
    <row r="793" spans="1:31" s="21" customFormat="1" ht="16" customHeight="1" x14ac:dyDescent="0.45">
      <c r="A793" s="1">
        <v>2510</v>
      </c>
      <c r="B793" s="2">
        <v>45954</v>
      </c>
      <c r="C793" s="3"/>
      <c r="D793" s="4" t="s">
        <v>463</v>
      </c>
      <c r="E793" s="5" t="s">
        <v>37</v>
      </c>
      <c r="F793" s="5"/>
      <c r="G793" s="5" t="s">
        <v>28</v>
      </c>
      <c r="H793" s="19" t="s">
        <v>38</v>
      </c>
      <c r="I793" s="19"/>
      <c r="J793" s="19"/>
      <c r="K793" s="73"/>
      <c r="L793" s="6">
        <v>192</v>
      </c>
      <c r="M793" s="7">
        <v>3915.6</v>
      </c>
      <c r="N793" s="8"/>
      <c r="O793" s="9"/>
      <c r="P793" s="10"/>
      <c r="Q793" s="11"/>
      <c r="R793" s="12">
        <v>2000</v>
      </c>
      <c r="S793" s="12">
        <f t="shared" si="69"/>
        <v>7831200</v>
      </c>
      <c r="T793" s="13"/>
      <c r="U793" s="14"/>
      <c r="V793" s="15"/>
      <c r="W793" s="16"/>
      <c r="X793" s="12"/>
      <c r="Y793" s="17"/>
      <c r="Z793" s="18">
        <f t="shared" si="68"/>
        <v>-7831200</v>
      </c>
      <c r="AA793" s="17"/>
      <c r="AB793" s="17"/>
      <c r="AC793" s="17"/>
      <c r="AD793" s="17"/>
      <c r="AE793" s="17"/>
    </row>
    <row r="794" spans="1:31" s="21" customFormat="1" ht="16" customHeight="1" x14ac:dyDescent="0.45">
      <c r="A794" s="1">
        <v>2510</v>
      </c>
      <c r="B794" s="2">
        <v>45954</v>
      </c>
      <c r="C794" s="3"/>
      <c r="D794" s="4" t="s">
        <v>463</v>
      </c>
      <c r="E794" s="5" t="s">
        <v>37</v>
      </c>
      <c r="F794" s="5"/>
      <c r="G794" s="5" t="s">
        <v>28</v>
      </c>
      <c r="H794" s="19" t="s">
        <v>517</v>
      </c>
      <c r="I794" s="19"/>
      <c r="J794" s="19"/>
      <c r="K794" s="73"/>
      <c r="L794" s="6">
        <v>2</v>
      </c>
      <c r="M794" s="7">
        <v>35.200000000000003</v>
      </c>
      <c r="N794" s="8"/>
      <c r="O794" s="9"/>
      <c r="P794" s="10"/>
      <c r="Q794" s="11"/>
      <c r="R794" s="12">
        <v>1800</v>
      </c>
      <c r="S794" s="12">
        <f t="shared" si="69"/>
        <v>63360.000000000007</v>
      </c>
      <c r="T794" s="13"/>
      <c r="U794" s="14"/>
      <c r="V794" s="15"/>
      <c r="W794" s="16"/>
      <c r="X794" s="12"/>
      <c r="Y794" s="17"/>
      <c r="Z794" s="18">
        <f t="shared" si="68"/>
        <v>-63360.000000000007</v>
      </c>
      <c r="AA794" s="17"/>
      <c r="AB794" s="17"/>
      <c r="AC794" s="17"/>
      <c r="AD794" s="17"/>
      <c r="AE794" s="17"/>
    </row>
    <row r="795" spans="1:31" s="21" customFormat="1" ht="16" customHeight="1" x14ac:dyDescent="0.45">
      <c r="A795" s="1">
        <v>2510</v>
      </c>
      <c r="B795" s="2">
        <v>45945</v>
      </c>
      <c r="C795" s="3"/>
      <c r="D795" s="4" t="s">
        <v>181</v>
      </c>
      <c r="E795" s="5" t="s">
        <v>339</v>
      </c>
      <c r="F795" s="5"/>
      <c r="G795" s="5" t="s">
        <v>28</v>
      </c>
      <c r="H795" s="19" t="s">
        <v>182</v>
      </c>
      <c r="I795" s="19"/>
      <c r="J795" s="19"/>
      <c r="K795" s="20" t="s">
        <v>200</v>
      </c>
      <c r="L795" s="6">
        <v>8</v>
      </c>
      <c r="M795" s="7">
        <v>2935</v>
      </c>
      <c r="N795" s="8"/>
      <c r="O795" s="9"/>
      <c r="P795" s="10"/>
      <c r="Q795" s="11"/>
      <c r="R795" s="12">
        <v>2205</v>
      </c>
      <c r="S795" s="12">
        <f t="shared" si="69"/>
        <v>6471675</v>
      </c>
      <c r="T795" s="13"/>
      <c r="U795" s="14"/>
      <c r="V795" s="15"/>
      <c r="W795" s="16"/>
      <c r="X795" s="12"/>
      <c r="Y795" s="17"/>
      <c r="Z795" s="18">
        <f t="shared" si="68"/>
        <v>-6471675</v>
      </c>
      <c r="AA795" s="17"/>
      <c r="AB795" s="17"/>
      <c r="AC795" s="17"/>
      <c r="AD795" s="17"/>
      <c r="AE795" s="17"/>
    </row>
    <row r="796" spans="1:31" s="21" customFormat="1" ht="16" customHeight="1" x14ac:dyDescent="0.45">
      <c r="A796" s="1">
        <v>2510</v>
      </c>
      <c r="B796" s="2">
        <v>45945</v>
      </c>
      <c r="C796" s="3"/>
      <c r="D796" s="4" t="s">
        <v>181</v>
      </c>
      <c r="E796" s="5" t="s">
        <v>339</v>
      </c>
      <c r="F796" s="5"/>
      <c r="G796" s="5" t="s">
        <v>28</v>
      </c>
      <c r="H796" s="19" t="s">
        <v>182</v>
      </c>
      <c r="I796" s="19"/>
      <c r="J796" s="19"/>
      <c r="K796" s="20" t="s">
        <v>191</v>
      </c>
      <c r="L796" s="6">
        <v>1</v>
      </c>
      <c r="M796" s="7">
        <v>483.3</v>
      </c>
      <c r="N796" s="8"/>
      <c r="O796" s="9"/>
      <c r="P796" s="10"/>
      <c r="Q796" s="11"/>
      <c r="R796" s="12">
        <v>1874</v>
      </c>
      <c r="S796" s="12">
        <f t="shared" si="69"/>
        <v>905704.20000000007</v>
      </c>
      <c r="T796" s="13"/>
      <c r="U796" s="14"/>
      <c r="V796" s="15"/>
      <c r="W796" s="16"/>
      <c r="X796" s="12"/>
      <c r="Y796" s="17"/>
      <c r="Z796" s="18">
        <f t="shared" si="68"/>
        <v>-905704.20000000007</v>
      </c>
      <c r="AA796" s="17"/>
      <c r="AB796" s="17"/>
      <c r="AC796" s="17"/>
      <c r="AD796" s="17"/>
      <c r="AE796" s="17"/>
    </row>
    <row r="797" spans="1:31" s="21" customFormat="1" ht="16" customHeight="1" x14ac:dyDescent="0.45">
      <c r="A797" s="1">
        <v>2510</v>
      </c>
      <c r="B797" s="2">
        <v>45960</v>
      </c>
      <c r="C797" s="3"/>
      <c r="D797" s="4" t="s">
        <v>181</v>
      </c>
      <c r="E797" s="5"/>
      <c r="F797" s="5"/>
      <c r="G797" s="5" t="s">
        <v>28</v>
      </c>
      <c r="H797" s="19" t="s">
        <v>518</v>
      </c>
      <c r="I797" s="19" t="s">
        <v>519</v>
      </c>
      <c r="J797" s="19"/>
      <c r="K797" s="20"/>
      <c r="L797" s="6"/>
      <c r="M797" s="7">
        <v>1060.04</v>
      </c>
      <c r="N797" s="8"/>
      <c r="O797" s="9"/>
      <c r="P797" s="10">
        <v>1200</v>
      </c>
      <c r="Q797" s="11">
        <f>M797*2.2046*1200/1.1</f>
        <v>2549415.4734545453</v>
      </c>
      <c r="R797" s="12"/>
      <c r="S797" s="12"/>
      <c r="T797" s="13"/>
      <c r="U797" s="14"/>
      <c r="V797" s="15"/>
      <c r="W797" s="16"/>
      <c r="X797" s="12"/>
      <c r="Y797" s="17"/>
      <c r="Z797" s="18">
        <f t="shared" si="68"/>
        <v>-2549415.4734545453</v>
      </c>
      <c r="AA797" s="17"/>
      <c r="AB797" s="17"/>
      <c r="AC797" s="17"/>
      <c r="AD797" s="17"/>
      <c r="AE797" s="17"/>
    </row>
    <row r="798" spans="1:31" s="21" customFormat="1" ht="16" customHeight="1" x14ac:dyDescent="0.45">
      <c r="A798" s="1">
        <v>2510</v>
      </c>
      <c r="B798" s="23">
        <v>45951</v>
      </c>
      <c r="C798" s="24"/>
      <c r="D798" s="25" t="s">
        <v>10</v>
      </c>
      <c r="E798" s="26" t="s">
        <v>19</v>
      </c>
      <c r="F798" s="26"/>
      <c r="G798" s="26" t="s">
        <v>19</v>
      </c>
      <c r="H798" s="27" t="s">
        <v>79</v>
      </c>
      <c r="I798" s="27" t="s">
        <v>16</v>
      </c>
      <c r="J798" s="86" t="s">
        <v>520</v>
      </c>
      <c r="K798" s="28"/>
      <c r="L798" s="29">
        <v>9</v>
      </c>
      <c r="M798" s="30"/>
      <c r="N798" s="31"/>
      <c r="O798" s="32">
        <v>6218</v>
      </c>
      <c r="P798" s="91"/>
      <c r="Q798" s="92"/>
      <c r="R798" s="93">
        <v>1850</v>
      </c>
      <c r="S798" s="93">
        <f>O798*R798</f>
        <v>11503300</v>
      </c>
      <c r="T798" s="33"/>
      <c r="U798" s="34"/>
      <c r="V798" s="35">
        <v>3563</v>
      </c>
      <c r="W798" s="36">
        <f>O798*V798</f>
        <v>22154734</v>
      </c>
      <c r="X798" s="93"/>
      <c r="Z798" s="18">
        <f t="shared" si="68"/>
        <v>10651434</v>
      </c>
      <c r="AA798" s="17"/>
      <c r="AB798" s="17"/>
      <c r="AC798" s="17"/>
      <c r="AD798" s="17"/>
      <c r="AE798" s="17"/>
    </row>
    <row r="799" spans="1:31" s="21" customFormat="1" ht="16" customHeight="1" x14ac:dyDescent="0.45">
      <c r="A799" s="1">
        <v>2510</v>
      </c>
      <c r="B799" s="23">
        <v>45951</v>
      </c>
      <c r="C799" s="24"/>
      <c r="D799" s="25" t="s">
        <v>10</v>
      </c>
      <c r="E799" s="26" t="s">
        <v>19</v>
      </c>
      <c r="F799" s="26"/>
      <c r="G799" s="26" t="s">
        <v>19</v>
      </c>
      <c r="H799" s="27" t="s">
        <v>521</v>
      </c>
      <c r="I799" s="27" t="s">
        <v>414</v>
      </c>
      <c r="J799" s="27"/>
      <c r="K799" s="28"/>
      <c r="L799" s="29">
        <v>1</v>
      </c>
      <c r="M799" s="30"/>
      <c r="N799" s="31"/>
      <c r="O799" s="32">
        <v>43</v>
      </c>
      <c r="P799" s="151">
        <v>8.5</v>
      </c>
      <c r="Q799" s="92"/>
      <c r="R799" s="93">
        <f>P799*1423.2</f>
        <v>12097.2</v>
      </c>
      <c r="S799" s="93">
        <f>O799*R799</f>
        <v>520179.60000000003</v>
      </c>
      <c r="T799" s="33"/>
      <c r="U799" s="34"/>
      <c r="V799" s="35">
        <f>10.9*1423.2</f>
        <v>15512.880000000001</v>
      </c>
      <c r="W799" s="36">
        <f>V799*O799</f>
        <v>667053.84000000008</v>
      </c>
      <c r="X799" s="93" t="s">
        <v>522</v>
      </c>
      <c r="Y799" s="152" t="s">
        <v>523</v>
      </c>
      <c r="Z799" s="18">
        <f t="shared" si="68"/>
        <v>146874.24000000005</v>
      </c>
      <c r="AA799" s="17"/>
      <c r="AB799" s="17"/>
      <c r="AC799" s="17"/>
      <c r="AD799" s="17"/>
      <c r="AE799" s="17"/>
    </row>
    <row r="800" spans="1:31" ht="16" customHeight="1" x14ac:dyDescent="0.45">
      <c r="A800" s="1">
        <v>2510</v>
      </c>
      <c r="B800" s="23">
        <v>45947</v>
      </c>
      <c r="C800" s="24"/>
      <c r="D800" s="25" t="s">
        <v>10</v>
      </c>
      <c r="E800" s="26" t="s">
        <v>19</v>
      </c>
      <c r="F800" s="26"/>
      <c r="G800" s="26" t="s">
        <v>19</v>
      </c>
      <c r="H800" s="27" t="s">
        <v>524</v>
      </c>
      <c r="I800" s="27" t="s">
        <v>525</v>
      </c>
      <c r="J800" s="27"/>
      <c r="K800" s="28"/>
      <c r="L800" s="29">
        <v>4</v>
      </c>
      <c r="M800" s="30"/>
      <c r="N800" s="31"/>
      <c r="O800" s="32">
        <v>1592</v>
      </c>
      <c r="P800" s="151">
        <v>8.5</v>
      </c>
      <c r="Q800" s="92"/>
      <c r="R800" s="93">
        <f>P800*1423.2</f>
        <v>12097.2</v>
      </c>
      <c r="S800" s="93">
        <f>O800*R800</f>
        <v>19258742.400000002</v>
      </c>
      <c r="T800" s="33"/>
      <c r="U800" s="34"/>
      <c r="V800" s="35">
        <f>11.05*1423.2</f>
        <v>15726.360000000002</v>
      </c>
      <c r="W800" s="36">
        <f>V800*O800</f>
        <v>25036365.120000005</v>
      </c>
      <c r="X800" s="93" t="s">
        <v>526</v>
      </c>
      <c r="Y800" s="152" t="s">
        <v>523</v>
      </c>
      <c r="Z800" s="18">
        <f t="shared" si="68"/>
        <v>5777622.7200000025</v>
      </c>
    </row>
    <row r="801" spans="1:31" ht="16" customHeight="1" x14ac:dyDescent="0.45">
      <c r="A801" s="1">
        <v>2510</v>
      </c>
      <c r="B801" s="23">
        <v>45932</v>
      </c>
      <c r="C801" s="24"/>
      <c r="D801" s="25" t="s">
        <v>10</v>
      </c>
      <c r="E801" s="26" t="s">
        <v>19</v>
      </c>
      <c r="F801" s="26"/>
      <c r="G801" s="26" t="s">
        <v>19</v>
      </c>
      <c r="H801" s="27" t="s">
        <v>527</v>
      </c>
      <c r="I801" s="27" t="s">
        <v>528</v>
      </c>
      <c r="J801" s="27"/>
      <c r="K801" s="28"/>
      <c r="L801" s="29">
        <v>3</v>
      </c>
      <c r="M801" s="30"/>
      <c r="N801" s="31"/>
      <c r="O801" s="32">
        <v>1663</v>
      </c>
      <c r="P801" s="151">
        <v>9</v>
      </c>
      <c r="Q801" s="92"/>
      <c r="R801" s="93">
        <f>P801*1423.2</f>
        <v>12808.800000000001</v>
      </c>
      <c r="S801" s="93">
        <f>O801*R801</f>
        <v>21301034.400000002</v>
      </c>
      <c r="T801" s="33"/>
      <c r="U801" s="34"/>
      <c r="V801" s="35">
        <f>11.05*1423.2</f>
        <v>15726.360000000002</v>
      </c>
      <c r="W801" s="36">
        <f>V801*O801</f>
        <v>26152936.680000003</v>
      </c>
      <c r="X801" s="93" t="s">
        <v>526</v>
      </c>
      <c r="Y801" s="152" t="s">
        <v>523</v>
      </c>
      <c r="Z801" s="18">
        <f t="shared" si="68"/>
        <v>4851902.2800000012</v>
      </c>
    </row>
    <row r="802" spans="1:31" s="21" customFormat="1" ht="16" customHeight="1" x14ac:dyDescent="0.45">
      <c r="A802" s="1">
        <v>2510</v>
      </c>
      <c r="B802" s="23">
        <v>45959</v>
      </c>
      <c r="C802" s="24"/>
      <c r="D802" s="25" t="s">
        <v>66</v>
      </c>
      <c r="E802" s="26" t="s">
        <v>203</v>
      </c>
      <c r="F802" s="26"/>
      <c r="G802" s="26" t="s">
        <v>203</v>
      </c>
      <c r="H802" s="27" t="s">
        <v>467</v>
      </c>
      <c r="I802" s="27" t="s">
        <v>210</v>
      </c>
      <c r="J802" s="27"/>
      <c r="K802" s="28"/>
      <c r="L802" s="29">
        <v>116</v>
      </c>
      <c r="M802" s="30"/>
      <c r="N802" s="31">
        <v>32190</v>
      </c>
      <c r="O802" s="32"/>
      <c r="P802" s="91"/>
      <c r="Q802" s="92"/>
      <c r="R802" s="93">
        <v>920</v>
      </c>
      <c r="S802" s="93">
        <f>N802*R802</f>
        <v>29614800</v>
      </c>
      <c r="T802" s="33"/>
      <c r="U802" s="34"/>
      <c r="V802" s="35">
        <v>1400</v>
      </c>
      <c r="W802" s="36">
        <f>N802*V802</f>
        <v>45066000</v>
      </c>
      <c r="X802" s="93"/>
      <c r="Z802" s="18">
        <f t="shared" si="68"/>
        <v>15451200</v>
      </c>
      <c r="AA802" s="17"/>
      <c r="AB802" s="17"/>
      <c r="AC802" s="17"/>
      <c r="AD802" s="17"/>
      <c r="AE802" s="17"/>
    </row>
    <row r="803" spans="1:31" s="21" customFormat="1" ht="16" customHeight="1" x14ac:dyDescent="0.45">
      <c r="A803" s="1">
        <v>2510</v>
      </c>
      <c r="B803" s="2">
        <v>45943</v>
      </c>
      <c r="C803" s="3"/>
      <c r="D803" s="4" t="s">
        <v>529</v>
      </c>
      <c r="E803" s="5" t="s">
        <v>530</v>
      </c>
      <c r="F803" s="5"/>
      <c r="G803" s="5" t="s">
        <v>1</v>
      </c>
      <c r="H803" s="19" t="s">
        <v>531</v>
      </c>
      <c r="I803" s="19"/>
      <c r="J803" s="19"/>
      <c r="K803" s="73"/>
      <c r="L803" s="6"/>
      <c r="M803" s="7">
        <v>146.5</v>
      </c>
      <c r="N803" s="8"/>
      <c r="O803" s="9"/>
      <c r="P803" s="10">
        <v>12000</v>
      </c>
      <c r="Q803" s="11">
        <f>M803*P803</f>
        <v>1758000</v>
      </c>
      <c r="R803" s="12"/>
      <c r="S803" s="12"/>
      <c r="T803" s="13"/>
      <c r="U803" s="14"/>
      <c r="V803" s="15"/>
      <c r="W803" s="16"/>
      <c r="X803" s="12"/>
      <c r="Y803" s="17"/>
      <c r="Z803" s="18">
        <f t="shared" si="68"/>
        <v>-1758000</v>
      </c>
      <c r="AA803" s="17"/>
      <c r="AB803" s="17"/>
      <c r="AC803" s="17"/>
      <c r="AD803" s="17"/>
      <c r="AE803" s="17"/>
    </row>
    <row r="804" spans="1:31" ht="16" customHeight="1" x14ac:dyDescent="0.45">
      <c r="A804" s="1">
        <v>2510</v>
      </c>
      <c r="B804" s="2">
        <v>45943</v>
      </c>
      <c r="D804" s="4" t="s">
        <v>529</v>
      </c>
      <c r="E804" s="5" t="s">
        <v>530</v>
      </c>
      <c r="G804" s="5" t="s">
        <v>1</v>
      </c>
      <c r="H804" s="19" t="s">
        <v>532</v>
      </c>
      <c r="K804" s="73"/>
      <c r="M804" s="7">
        <v>146</v>
      </c>
      <c r="P804" s="10">
        <v>12000</v>
      </c>
      <c r="Q804" s="11">
        <f>M804*P804</f>
        <v>1752000</v>
      </c>
      <c r="Z804" s="18">
        <f t="shared" si="68"/>
        <v>-1752000</v>
      </c>
    </row>
    <row r="805" spans="1:31" ht="16" customHeight="1" x14ac:dyDescent="0.45">
      <c r="A805" s="1">
        <v>2510</v>
      </c>
      <c r="B805" s="2">
        <v>45943</v>
      </c>
      <c r="D805" s="4" t="s">
        <v>80</v>
      </c>
      <c r="E805" s="5" t="s">
        <v>30</v>
      </c>
      <c r="G805" s="5" t="s">
        <v>31</v>
      </c>
      <c r="H805" s="19" t="s">
        <v>100</v>
      </c>
      <c r="L805" s="6">
        <v>3</v>
      </c>
      <c r="M805" s="7">
        <v>1548</v>
      </c>
      <c r="P805" s="141">
        <v>2304</v>
      </c>
      <c r="Q805" s="95">
        <f>M805*P805</f>
        <v>3566592</v>
      </c>
      <c r="Z805" s="18">
        <f t="shared" si="68"/>
        <v>-3566592</v>
      </c>
    </row>
    <row r="806" spans="1:31" ht="16" customHeight="1" x14ac:dyDescent="0.45">
      <c r="A806" s="1">
        <v>2510</v>
      </c>
      <c r="B806" s="23">
        <v>45931</v>
      </c>
      <c r="C806" s="24"/>
      <c r="D806" s="25" t="s">
        <v>211</v>
      </c>
      <c r="E806" s="26" t="s">
        <v>1</v>
      </c>
      <c r="F806" s="26"/>
      <c r="G806" s="26" t="s">
        <v>1</v>
      </c>
      <c r="H806" s="27" t="s">
        <v>490</v>
      </c>
      <c r="I806" s="27" t="s">
        <v>21</v>
      </c>
      <c r="J806" s="27" t="s">
        <v>491</v>
      </c>
      <c r="K806" s="28"/>
      <c r="L806" s="29"/>
      <c r="M806" s="30"/>
      <c r="N806" s="31"/>
      <c r="O806" s="32">
        <v>203</v>
      </c>
      <c r="P806" s="91"/>
      <c r="Q806" s="92"/>
      <c r="R806" s="93" t="s">
        <v>533</v>
      </c>
      <c r="S806" s="93"/>
      <c r="T806" s="33"/>
      <c r="U806" s="34"/>
      <c r="V806" s="35">
        <v>5250</v>
      </c>
      <c r="W806" s="36">
        <f>O806*V806</f>
        <v>1065750</v>
      </c>
      <c r="X806" s="93"/>
      <c r="Y806" s="21"/>
      <c r="Z806" s="18">
        <f t="shared" si="68"/>
        <v>1065750</v>
      </c>
    </row>
    <row r="807" spans="1:31" ht="16" customHeight="1" x14ac:dyDescent="0.45">
      <c r="A807" s="1">
        <v>2510</v>
      </c>
      <c r="B807" s="23">
        <v>45954</v>
      </c>
      <c r="C807" s="24"/>
      <c r="D807" s="25" t="s">
        <v>211</v>
      </c>
      <c r="E807" s="26" t="s">
        <v>1</v>
      </c>
      <c r="F807" s="26"/>
      <c r="G807" s="26" t="s">
        <v>1</v>
      </c>
      <c r="H807" s="27" t="s">
        <v>383</v>
      </c>
      <c r="I807" s="27" t="s">
        <v>16</v>
      </c>
      <c r="J807" s="27"/>
      <c r="K807" s="28">
        <v>4</v>
      </c>
      <c r="L807" s="29">
        <v>6</v>
      </c>
      <c r="M807" s="30"/>
      <c r="N807" s="31"/>
      <c r="O807" s="32">
        <v>1731</v>
      </c>
      <c r="P807" s="91"/>
      <c r="Q807" s="92"/>
      <c r="R807" s="93">
        <v>2350</v>
      </c>
      <c r="S807" s="93">
        <f>O807*R807</f>
        <v>4067850</v>
      </c>
      <c r="T807" s="33"/>
      <c r="U807" s="34"/>
      <c r="V807" s="35">
        <v>4700</v>
      </c>
      <c r="W807" s="36">
        <f>O807*V807</f>
        <v>8135700</v>
      </c>
      <c r="X807" s="93"/>
      <c r="Y807" s="21"/>
      <c r="Z807" s="18">
        <f t="shared" si="68"/>
        <v>4067850</v>
      </c>
    </row>
    <row r="808" spans="1:31" ht="16" customHeight="1" x14ac:dyDescent="0.45">
      <c r="A808" s="1">
        <v>2510</v>
      </c>
      <c r="B808" s="23">
        <v>45954</v>
      </c>
      <c r="C808" s="24"/>
      <c r="D808" s="25" t="s">
        <v>211</v>
      </c>
      <c r="E808" s="26" t="s">
        <v>1</v>
      </c>
      <c r="F808" s="26"/>
      <c r="G808" s="26" t="s">
        <v>1</v>
      </c>
      <c r="H808" s="27" t="s">
        <v>383</v>
      </c>
      <c r="I808" s="27" t="s">
        <v>534</v>
      </c>
      <c r="J808" s="27"/>
      <c r="K808" s="38">
        <v>9</v>
      </c>
      <c r="L808" s="29">
        <v>3</v>
      </c>
      <c r="M808" s="30"/>
      <c r="N808" s="31"/>
      <c r="O808" s="32">
        <v>1100</v>
      </c>
      <c r="P808" s="91"/>
      <c r="Q808" s="92"/>
      <c r="R808" s="93">
        <v>2350</v>
      </c>
      <c r="S808" s="93">
        <f>O808*R808</f>
        <v>2585000</v>
      </c>
      <c r="T808" s="33"/>
      <c r="U808" s="34"/>
      <c r="V808" s="35">
        <v>4700</v>
      </c>
      <c r="W808" s="36">
        <f>O808*V808</f>
        <v>5170000</v>
      </c>
      <c r="X808" s="93"/>
      <c r="Y808" s="21"/>
      <c r="Z808" s="18">
        <f t="shared" si="68"/>
        <v>2585000</v>
      </c>
    </row>
    <row r="809" spans="1:31" ht="16" customHeight="1" x14ac:dyDescent="0.45">
      <c r="A809" s="1">
        <v>2510</v>
      </c>
      <c r="B809" s="23">
        <v>45960</v>
      </c>
      <c r="C809" s="24"/>
      <c r="D809" s="25" t="s">
        <v>211</v>
      </c>
      <c r="E809" s="26" t="s">
        <v>1</v>
      </c>
      <c r="F809" s="26"/>
      <c r="G809" s="26" t="s">
        <v>1</v>
      </c>
      <c r="H809" s="27" t="s">
        <v>383</v>
      </c>
      <c r="I809" s="27" t="s">
        <v>14</v>
      </c>
      <c r="J809" s="27"/>
      <c r="K809" s="38" t="s">
        <v>535</v>
      </c>
      <c r="L809" s="29">
        <v>6</v>
      </c>
      <c r="M809" s="30"/>
      <c r="N809" s="31"/>
      <c r="O809" s="32">
        <v>2653</v>
      </c>
      <c r="P809" s="91"/>
      <c r="Q809" s="92"/>
      <c r="R809" s="93">
        <v>2350</v>
      </c>
      <c r="S809" s="93">
        <f>O809*R809</f>
        <v>6234550</v>
      </c>
      <c r="T809" s="33"/>
      <c r="U809" s="34"/>
      <c r="V809" s="35">
        <v>4700</v>
      </c>
      <c r="W809" s="36">
        <f>O809*V809</f>
        <v>12469100</v>
      </c>
      <c r="X809" s="93"/>
      <c r="Y809" s="21"/>
      <c r="Z809" s="18">
        <f t="shared" si="68"/>
        <v>6234550</v>
      </c>
    </row>
    <row r="810" spans="1:31" ht="16" customHeight="1" x14ac:dyDescent="0.45">
      <c r="A810" s="1">
        <v>2510</v>
      </c>
      <c r="B810" s="23">
        <v>45960</v>
      </c>
      <c r="C810" s="24"/>
      <c r="D810" s="25" t="s">
        <v>211</v>
      </c>
      <c r="E810" s="26" t="s">
        <v>1</v>
      </c>
      <c r="F810" s="26"/>
      <c r="G810" s="26" t="s">
        <v>1</v>
      </c>
      <c r="H810" s="27" t="s">
        <v>383</v>
      </c>
      <c r="I810" s="27" t="s">
        <v>536</v>
      </c>
      <c r="J810" s="27"/>
      <c r="K810" s="38">
        <v>2</v>
      </c>
      <c r="L810" s="29">
        <v>4</v>
      </c>
      <c r="M810" s="30"/>
      <c r="N810" s="31"/>
      <c r="O810" s="32">
        <v>1368</v>
      </c>
      <c r="P810" s="91"/>
      <c r="Q810" s="92"/>
      <c r="R810" s="93">
        <v>2350</v>
      </c>
      <c r="S810" s="93">
        <f>O810*R810</f>
        <v>3214800</v>
      </c>
      <c r="T810" s="33"/>
      <c r="U810" s="34"/>
      <c r="V810" s="35">
        <v>4700</v>
      </c>
      <c r="W810" s="36">
        <f>O810*V810</f>
        <v>6429600</v>
      </c>
      <c r="X810" s="93"/>
      <c r="Y810" s="21"/>
      <c r="Z810" s="18">
        <f t="shared" si="68"/>
        <v>3214800</v>
      </c>
    </row>
    <row r="811" spans="1:31" ht="16" customHeight="1" x14ac:dyDescent="0.45">
      <c r="A811" s="1">
        <v>2510</v>
      </c>
      <c r="B811" s="2">
        <v>45944</v>
      </c>
      <c r="D811" s="4" t="s">
        <v>339</v>
      </c>
      <c r="E811" s="5" t="s">
        <v>463</v>
      </c>
      <c r="G811" s="5" t="s">
        <v>28</v>
      </c>
      <c r="H811" s="19" t="s">
        <v>495</v>
      </c>
      <c r="L811" s="6">
        <v>3</v>
      </c>
      <c r="M811" s="7">
        <v>1282</v>
      </c>
      <c r="R811" s="12">
        <v>1000</v>
      </c>
      <c r="S811" s="12">
        <f>M811*R811</f>
        <v>1282000</v>
      </c>
      <c r="Z811" s="18">
        <f t="shared" si="68"/>
        <v>-1282000</v>
      </c>
    </row>
    <row r="812" spans="1:31" ht="16" customHeight="1" x14ac:dyDescent="0.45">
      <c r="A812" s="1">
        <v>2510</v>
      </c>
      <c r="B812" s="2">
        <v>45960</v>
      </c>
      <c r="D812" s="4" t="s">
        <v>339</v>
      </c>
      <c r="E812" s="5" t="s">
        <v>93</v>
      </c>
      <c r="G812" s="5" t="s">
        <v>28</v>
      </c>
      <c r="H812" s="19" t="s">
        <v>537</v>
      </c>
      <c r="I812" s="19" t="s">
        <v>454</v>
      </c>
      <c r="K812" s="73"/>
      <c r="Z812" s="18">
        <f t="shared" si="68"/>
        <v>0</v>
      </c>
    </row>
    <row r="813" spans="1:31" s="21" customFormat="1" ht="16" customHeight="1" x14ac:dyDescent="0.45">
      <c r="A813" s="1">
        <v>2510</v>
      </c>
      <c r="B813" s="2">
        <v>45960</v>
      </c>
      <c r="C813" s="3"/>
      <c r="D813" s="4" t="s">
        <v>339</v>
      </c>
      <c r="E813" s="5" t="s">
        <v>93</v>
      </c>
      <c r="F813" s="5"/>
      <c r="G813" s="5" t="s">
        <v>28</v>
      </c>
      <c r="H813" s="19" t="s">
        <v>101</v>
      </c>
      <c r="I813" s="19" t="s">
        <v>454</v>
      </c>
      <c r="J813" s="19"/>
      <c r="K813" s="73"/>
      <c r="L813" s="6"/>
      <c r="M813" s="7">
        <v>5253</v>
      </c>
      <c r="N813" s="8"/>
      <c r="O813" s="9"/>
      <c r="P813" s="10"/>
      <c r="Q813" s="11"/>
      <c r="R813" s="12"/>
      <c r="S813" s="12"/>
      <c r="T813" s="13"/>
      <c r="U813" s="14"/>
      <c r="V813" s="15"/>
      <c r="W813" s="16"/>
      <c r="X813" s="12"/>
      <c r="Y813" s="17"/>
      <c r="Z813" s="18">
        <f t="shared" si="68"/>
        <v>0</v>
      </c>
      <c r="AA813" s="17"/>
      <c r="AB813" s="17"/>
      <c r="AC813" s="17"/>
      <c r="AD813" s="17"/>
      <c r="AE813" s="17"/>
    </row>
    <row r="814" spans="1:31" ht="16" customHeight="1" x14ac:dyDescent="0.45">
      <c r="A814" s="1">
        <v>2510</v>
      </c>
      <c r="B814" s="2">
        <v>45950</v>
      </c>
      <c r="D814" s="4" t="s">
        <v>339</v>
      </c>
      <c r="E814" s="5" t="s">
        <v>27</v>
      </c>
      <c r="G814" s="5" t="s">
        <v>28</v>
      </c>
      <c r="H814" s="19" t="s">
        <v>495</v>
      </c>
      <c r="L814" s="6">
        <v>1</v>
      </c>
      <c r="M814" s="7">
        <v>425.2</v>
      </c>
      <c r="R814" s="12">
        <v>1000</v>
      </c>
      <c r="S814" s="12">
        <f t="shared" ref="S814:S829" si="70">M814*R814</f>
        <v>425200</v>
      </c>
      <c r="Z814" s="18">
        <f t="shared" si="68"/>
        <v>-425200</v>
      </c>
    </row>
    <row r="815" spans="1:31" ht="16" customHeight="1" x14ac:dyDescent="0.45">
      <c r="A815" s="1">
        <v>2510</v>
      </c>
      <c r="B815" s="2">
        <v>45950</v>
      </c>
      <c r="D815" s="4" t="s">
        <v>339</v>
      </c>
      <c r="E815" s="5" t="s">
        <v>27</v>
      </c>
      <c r="G815" s="5" t="s">
        <v>28</v>
      </c>
      <c r="H815" s="19" t="s">
        <v>205</v>
      </c>
      <c r="L815" s="6">
        <v>1</v>
      </c>
      <c r="M815" s="7">
        <v>226.5</v>
      </c>
      <c r="R815" s="12">
        <v>1000</v>
      </c>
      <c r="S815" s="12">
        <f t="shared" si="70"/>
        <v>226500</v>
      </c>
      <c r="Z815" s="18">
        <f t="shared" si="68"/>
        <v>-226500</v>
      </c>
    </row>
    <row r="816" spans="1:31" ht="16" customHeight="1" x14ac:dyDescent="0.45">
      <c r="A816" s="1">
        <v>2510</v>
      </c>
      <c r="B816" s="2">
        <v>45950</v>
      </c>
      <c r="D816" s="4" t="s">
        <v>339</v>
      </c>
      <c r="E816" s="5" t="s">
        <v>27</v>
      </c>
      <c r="G816" s="5" t="s">
        <v>28</v>
      </c>
      <c r="H816" s="19" t="s">
        <v>386</v>
      </c>
      <c r="L816" s="6">
        <v>1</v>
      </c>
      <c r="M816" s="7">
        <v>360.5</v>
      </c>
      <c r="R816" s="12">
        <v>1000</v>
      </c>
      <c r="S816" s="12">
        <f t="shared" si="70"/>
        <v>360500</v>
      </c>
      <c r="Z816" s="18">
        <f t="shared" si="68"/>
        <v>-360500</v>
      </c>
    </row>
    <row r="817" spans="1:31" s="21" customFormat="1" ht="16" customHeight="1" x14ac:dyDescent="0.45">
      <c r="A817" s="1">
        <v>2510</v>
      </c>
      <c r="B817" s="2">
        <v>45947</v>
      </c>
      <c r="C817" s="3"/>
      <c r="D817" s="4" t="s">
        <v>339</v>
      </c>
      <c r="E817" s="5" t="s">
        <v>27</v>
      </c>
      <c r="F817" s="5"/>
      <c r="G817" s="5" t="s">
        <v>28</v>
      </c>
      <c r="H817" s="19" t="s">
        <v>495</v>
      </c>
      <c r="I817" s="19"/>
      <c r="J817" s="19"/>
      <c r="K817" s="20"/>
      <c r="L817" s="6">
        <v>2</v>
      </c>
      <c r="M817" s="7">
        <v>848</v>
      </c>
      <c r="N817" s="8"/>
      <c r="O817" s="9"/>
      <c r="P817" s="10"/>
      <c r="Q817" s="11"/>
      <c r="R817" s="12">
        <v>1000</v>
      </c>
      <c r="S817" s="12">
        <f t="shared" si="70"/>
        <v>848000</v>
      </c>
      <c r="T817" s="13"/>
      <c r="U817" s="14"/>
      <c r="V817" s="15"/>
      <c r="W817" s="16"/>
      <c r="X817" s="12"/>
      <c r="Y817" s="17"/>
      <c r="Z817" s="18">
        <f t="shared" si="68"/>
        <v>-848000</v>
      </c>
      <c r="AA817" s="17"/>
      <c r="AB817" s="17"/>
      <c r="AC817" s="17"/>
      <c r="AD817" s="17"/>
      <c r="AE817" s="17"/>
    </row>
    <row r="818" spans="1:31" s="21" customFormat="1" ht="16" customHeight="1" x14ac:dyDescent="0.45">
      <c r="A818" s="1">
        <v>2510</v>
      </c>
      <c r="B818" s="2">
        <v>45947</v>
      </c>
      <c r="C818" s="3"/>
      <c r="D818" s="4" t="s">
        <v>339</v>
      </c>
      <c r="E818" s="5" t="s">
        <v>27</v>
      </c>
      <c r="F818" s="5"/>
      <c r="G818" s="5" t="s">
        <v>28</v>
      </c>
      <c r="H818" s="19" t="s">
        <v>205</v>
      </c>
      <c r="I818" s="19"/>
      <c r="J818" s="19"/>
      <c r="K818" s="20"/>
      <c r="L818" s="6">
        <v>1</v>
      </c>
      <c r="M818" s="7">
        <v>222.1</v>
      </c>
      <c r="N818" s="8"/>
      <c r="O818" s="9"/>
      <c r="P818" s="10"/>
      <c r="Q818" s="11"/>
      <c r="R818" s="12">
        <v>1000</v>
      </c>
      <c r="S818" s="12">
        <f t="shared" si="70"/>
        <v>222100</v>
      </c>
      <c r="T818" s="13"/>
      <c r="U818" s="14"/>
      <c r="V818" s="15"/>
      <c r="W818" s="16"/>
      <c r="X818" s="12"/>
      <c r="Y818" s="17"/>
      <c r="Z818" s="18">
        <f t="shared" si="68"/>
        <v>-222100</v>
      </c>
      <c r="AA818" s="17"/>
      <c r="AB818" s="17"/>
      <c r="AC818" s="17"/>
      <c r="AD818" s="17"/>
      <c r="AE818" s="17"/>
    </row>
    <row r="819" spans="1:31" ht="16" customHeight="1" x14ac:dyDescent="0.45">
      <c r="A819" s="1">
        <v>2510</v>
      </c>
      <c r="B819" s="2">
        <v>45947</v>
      </c>
      <c r="D819" s="4" t="s">
        <v>339</v>
      </c>
      <c r="E819" s="5" t="s">
        <v>27</v>
      </c>
      <c r="G819" s="5" t="s">
        <v>28</v>
      </c>
      <c r="H819" s="19" t="s">
        <v>386</v>
      </c>
      <c r="L819" s="6">
        <v>7</v>
      </c>
      <c r="M819" s="7">
        <v>207.6</v>
      </c>
      <c r="R819" s="12">
        <v>1000</v>
      </c>
      <c r="S819" s="12">
        <f t="shared" si="70"/>
        <v>207600</v>
      </c>
      <c r="Z819" s="18">
        <f t="shared" si="68"/>
        <v>-207600</v>
      </c>
    </row>
    <row r="820" spans="1:31" ht="16" customHeight="1" x14ac:dyDescent="0.45">
      <c r="A820" s="1">
        <v>2510</v>
      </c>
      <c r="B820" s="2">
        <v>45931</v>
      </c>
      <c r="D820" s="4" t="s">
        <v>339</v>
      </c>
      <c r="E820" s="5" t="s">
        <v>27</v>
      </c>
      <c r="G820" s="5" t="s">
        <v>28</v>
      </c>
      <c r="H820" s="19" t="s">
        <v>495</v>
      </c>
      <c r="L820" s="6">
        <v>2</v>
      </c>
      <c r="M820" s="7">
        <v>848.3</v>
      </c>
      <c r="R820" s="12">
        <v>1000</v>
      </c>
      <c r="S820" s="12">
        <f t="shared" si="70"/>
        <v>848300</v>
      </c>
      <c r="Z820" s="18">
        <f t="shared" si="68"/>
        <v>-848300</v>
      </c>
    </row>
    <row r="821" spans="1:31" ht="16" customHeight="1" x14ac:dyDescent="0.45">
      <c r="A821" s="1">
        <v>2510</v>
      </c>
      <c r="B821" s="2">
        <v>45931</v>
      </c>
      <c r="D821" s="4" t="s">
        <v>339</v>
      </c>
      <c r="E821" s="5" t="s">
        <v>27</v>
      </c>
      <c r="G821" s="5" t="s">
        <v>28</v>
      </c>
      <c r="H821" s="19" t="s">
        <v>538</v>
      </c>
      <c r="L821" s="6">
        <v>1</v>
      </c>
      <c r="M821" s="7">
        <v>415.4</v>
      </c>
      <c r="R821" s="12">
        <v>1000</v>
      </c>
      <c r="S821" s="12">
        <f t="shared" si="70"/>
        <v>415400</v>
      </c>
      <c r="Z821" s="18">
        <f t="shared" si="68"/>
        <v>-415400</v>
      </c>
    </row>
    <row r="822" spans="1:31" ht="16" customHeight="1" x14ac:dyDescent="0.45">
      <c r="A822" s="1">
        <v>2510</v>
      </c>
      <c r="B822" s="2">
        <v>45931</v>
      </c>
      <c r="D822" s="4" t="s">
        <v>339</v>
      </c>
      <c r="E822" s="5" t="s">
        <v>27</v>
      </c>
      <c r="G822" s="5" t="s">
        <v>28</v>
      </c>
      <c r="H822" s="19" t="s">
        <v>495</v>
      </c>
      <c r="L822" s="6">
        <v>2</v>
      </c>
      <c r="M822" s="7">
        <v>849.4</v>
      </c>
      <c r="R822" s="12">
        <v>1000</v>
      </c>
      <c r="S822" s="12">
        <f t="shared" si="70"/>
        <v>849400</v>
      </c>
      <c r="Z822" s="18">
        <f t="shared" si="68"/>
        <v>-849400</v>
      </c>
    </row>
    <row r="823" spans="1:31" ht="16" customHeight="1" x14ac:dyDescent="0.45">
      <c r="A823" s="1">
        <v>2510</v>
      </c>
      <c r="B823" s="2">
        <v>45931</v>
      </c>
      <c r="D823" s="4" t="s">
        <v>339</v>
      </c>
      <c r="E823" s="5" t="s">
        <v>27</v>
      </c>
      <c r="G823" s="5" t="s">
        <v>28</v>
      </c>
      <c r="H823" s="19" t="s">
        <v>205</v>
      </c>
      <c r="L823" s="6">
        <v>1</v>
      </c>
      <c r="M823" s="7">
        <v>225</v>
      </c>
      <c r="R823" s="12">
        <v>1000</v>
      </c>
      <c r="S823" s="12">
        <f t="shared" si="70"/>
        <v>225000</v>
      </c>
      <c r="Z823" s="18">
        <f t="shared" si="68"/>
        <v>-225000</v>
      </c>
    </row>
    <row r="824" spans="1:31" s="21" customFormat="1" ht="16" customHeight="1" x14ac:dyDescent="0.45">
      <c r="A824" s="1">
        <v>2510</v>
      </c>
      <c r="B824" s="2">
        <v>45931</v>
      </c>
      <c r="C824" s="3"/>
      <c r="D824" s="4" t="s">
        <v>339</v>
      </c>
      <c r="E824" s="5" t="s">
        <v>27</v>
      </c>
      <c r="F824" s="5"/>
      <c r="G824" s="5" t="s">
        <v>28</v>
      </c>
      <c r="H824" s="19" t="s">
        <v>495</v>
      </c>
      <c r="I824" s="19"/>
      <c r="J824" s="19"/>
      <c r="K824" s="20"/>
      <c r="L824" s="6">
        <v>3</v>
      </c>
      <c r="M824" s="7">
        <v>1278</v>
      </c>
      <c r="N824" s="8"/>
      <c r="O824" s="9"/>
      <c r="P824" s="10"/>
      <c r="Q824" s="11"/>
      <c r="R824" s="12">
        <v>1000</v>
      </c>
      <c r="S824" s="12">
        <f t="shared" si="70"/>
        <v>1278000</v>
      </c>
      <c r="T824" s="13"/>
      <c r="U824" s="14"/>
      <c r="V824" s="15"/>
      <c r="W824" s="16"/>
      <c r="X824" s="12"/>
      <c r="Y824" s="17"/>
      <c r="Z824" s="18">
        <f t="shared" si="68"/>
        <v>-1278000</v>
      </c>
      <c r="AA824" s="17"/>
      <c r="AB824" s="17"/>
      <c r="AC824" s="17"/>
      <c r="AD824" s="17"/>
      <c r="AE824" s="17"/>
    </row>
    <row r="825" spans="1:31" ht="16" customHeight="1" x14ac:dyDescent="0.45">
      <c r="A825" s="1">
        <v>2510</v>
      </c>
      <c r="B825" s="2">
        <v>45959</v>
      </c>
      <c r="D825" s="4" t="s">
        <v>339</v>
      </c>
      <c r="E825" s="5" t="s">
        <v>27</v>
      </c>
      <c r="G825" s="5" t="s">
        <v>28</v>
      </c>
      <c r="H825" s="19" t="s">
        <v>386</v>
      </c>
      <c r="K825" s="73"/>
      <c r="L825" s="6">
        <v>2</v>
      </c>
      <c r="M825" s="7">
        <v>840</v>
      </c>
      <c r="R825" s="12">
        <v>1000</v>
      </c>
      <c r="S825" s="12">
        <f t="shared" si="70"/>
        <v>840000</v>
      </c>
      <c r="Z825" s="18">
        <f t="shared" si="68"/>
        <v>-840000</v>
      </c>
    </row>
    <row r="826" spans="1:31" ht="16" customHeight="1" x14ac:dyDescent="0.45">
      <c r="A826" s="1">
        <v>2510</v>
      </c>
      <c r="B826" s="2">
        <v>45959</v>
      </c>
      <c r="D826" s="4" t="s">
        <v>339</v>
      </c>
      <c r="E826" s="5" t="s">
        <v>27</v>
      </c>
      <c r="G826" s="5" t="s">
        <v>28</v>
      </c>
      <c r="H826" s="19" t="s">
        <v>205</v>
      </c>
      <c r="K826" s="73"/>
      <c r="L826" s="6">
        <v>1</v>
      </c>
      <c r="M826" s="7">
        <v>222.5</v>
      </c>
      <c r="R826" s="12">
        <v>1000</v>
      </c>
      <c r="S826" s="12">
        <f t="shared" si="70"/>
        <v>222500</v>
      </c>
      <c r="Z826" s="18">
        <f t="shared" si="68"/>
        <v>-222500</v>
      </c>
    </row>
    <row r="827" spans="1:31" ht="16" customHeight="1" x14ac:dyDescent="0.45">
      <c r="A827" s="1">
        <v>2510</v>
      </c>
      <c r="B827" s="2">
        <v>45960</v>
      </c>
      <c r="D827" s="4" t="s">
        <v>339</v>
      </c>
      <c r="E827" s="5" t="s">
        <v>27</v>
      </c>
      <c r="G827" s="5" t="s">
        <v>28</v>
      </c>
      <c r="H827" s="19" t="s">
        <v>495</v>
      </c>
      <c r="L827" s="6">
        <v>4</v>
      </c>
      <c r="M827" s="7">
        <v>1157.5999999999999</v>
      </c>
      <c r="R827" s="12">
        <v>1000</v>
      </c>
      <c r="S827" s="12">
        <f t="shared" si="70"/>
        <v>1157600</v>
      </c>
      <c r="Z827" s="18">
        <f t="shared" si="68"/>
        <v>-1157600</v>
      </c>
    </row>
    <row r="828" spans="1:31" ht="16" customHeight="1" x14ac:dyDescent="0.45">
      <c r="A828" s="1">
        <v>2510</v>
      </c>
      <c r="B828" s="2">
        <v>45952</v>
      </c>
      <c r="D828" s="4" t="s">
        <v>539</v>
      </c>
      <c r="E828" s="5" t="s">
        <v>27</v>
      </c>
      <c r="G828" s="5" t="s">
        <v>28</v>
      </c>
      <c r="H828" s="19" t="s">
        <v>495</v>
      </c>
      <c r="K828" s="73"/>
      <c r="L828" s="6">
        <v>3</v>
      </c>
      <c r="M828" s="7">
        <v>692.7</v>
      </c>
      <c r="R828" s="12">
        <v>1000</v>
      </c>
      <c r="S828" s="12">
        <f t="shared" si="70"/>
        <v>692700</v>
      </c>
      <c r="Z828" s="18">
        <f t="shared" si="68"/>
        <v>-692700</v>
      </c>
    </row>
    <row r="829" spans="1:31" ht="16" customHeight="1" x14ac:dyDescent="0.45">
      <c r="A829" s="1">
        <v>2510</v>
      </c>
      <c r="B829" s="2">
        <v>45952</v>
      </c>
      <c r="D829" s="4" t="s">
        <v>539</v>
      </c>
      <c r="E829" s="5" t="s">
        <v>27</v>
      </c>
      <c r="G829" s="5" t="s">
        <v>28</v>
      </c>
      <c r="H829" s="19" t="s">
        <v>205</v>
      </c>
      <c r="K829" s="73"/>
      <c r="L829" s="6">
        <v>1</v>
      </c>
      <c r="M829" s="7">
        <v>225.3</v>
      </c>
      <c r="R829" s="12">
        <v>1000</v>
      </c>
      <c r="S829" s="12">
        <f t="shared" si="70"/>
        <v>225300</v>
      </c>
      <c r="Z829" s="18">
        <f t="shared" si="68"/>
        <v>-225300</v>
      </c>
    </row>
    <row r="830" spans="1:31" ht="16" customHeight="1" x14ac:dyDescent="0.45">
      <c r="A830" s="1">
        <v>2510</v>
      </c>
      <c r="B830" s="2">
        <v>45950</v>
      </c>
      <c r="D830" s="4" t="s">
        <v>430</v>
      </c>
      <c r="E830" s="5" t="s">
        <v>339</v>
      </c>
      <c r="G830" s="5" t="s">
        <v>28</v>
      </c>
      <c r="H830" s="19" t="s">
        <v>95</v>
      </c>
      <c r="I830" s="19" t="s">
        <v>540</v>
      </c>
      <c r="L830" s="6">
        <v>33</v>
      </c>
      <c r="M830" s="7">
        <v>1024.4000000000001</v>
      </c>
      <c r="P830" s="10">
        <v>4000</v>
      </c>
      <c r="Q830" s="11">
        <f>M830*P830</f>
        <v>4097600.0000000005</v>
      </c>
      <c r="Z830" s="18">
        <f t="shared" si="68"/>
        <v>-4097600.0000000005</v>
      </c>
    </row>
    <row r="831" spans="1:31" ht="16" customHeight="1" x14ac:dyDescent="0.45">
      <c r="A831" s="1">
        <v>2510</v>
      </c>
      <c r="B831" s="2">
        <v>45947</v>
      </c>
      <c r="D831" s="4" t="s">
        <v>430</v>
      </c>
      <c r="E831" s="5" t="s">
        <v>339</v>
      </c>
      <c r="G831" s="5" t="s">
        <v>28</v>
      </c>
      <c r="H831" s="19" t="s">
        <v>95</v>
      </c>
      <c r="I831" s="19" t="s">
        <v>540</v>
      </c>
      <c r="K831" s="73"/>
      <c r="L831" s="6">
        <v>33</v>
      </c>
      <c r="M831" s="7">
        <v>1017.7</v>
      </c>
      <c r="P831" s="10">
        <v>4000</v>
      </c>
      <c r="Q831" s="11">
        <f>M831*P831</f>
        <v>4070800</v>
      </c>
      <c r="Z831" s="18">
        <f t="shared" si="68"/>
        <v>-4070800</v>
      </c>
    </row>
    <row r="832" spans="1:31" ht="16" customHeight="1" x14ac:dyDescent="0.45">
      <c r="A832" s="1">
        <v>2510</v>
      </c>
      <c r="B832" s="2">
        <v>45947</v>
      </c>
      <c r="D832" s="4" t="s">
        <v>430</v>
      </c>
      <c r="E832" s="5" t="s">
        <v>93</v>
      </c>
      <c r="G832" s="5" t="s">
        <v>28</v>
      </c>
      <c r="H832" s="19" t="s">
        <v>95</v>
      </c>
      <c r="I832" s="19" t="s">
        <v>540</v>
      </c>
      <c r="K832" s="73"/>
      <c r="L832" s="6">
        <v>37</v>
      </c>
      <c r="M832" s="7">
        <v>1117.4000000000001</v>
      </c>
      <c r="P832" s="10">
        <v>4000</v>
      </c>
      <c r="Q832" s="11">
        <f>M832*P832</f>
        <v>4469600</v>
      </c>
      <c r="Z832" s="18">
        <f t="shared" si="68"/>
        <v>-4469600</v>
      </c>
    </row>
    <row r="833" spans="1:31" ht="16" customHeight="1" x14ac:dyDescent="0.45">
      <c r="A833" s="1">
        <v>2510</v>
      </c>
      <c r="B833" s="2">
        <v>45932</v>
      </c>
      <c r="D833" s="4" t="s">
        <v>93</v>
      </c>
      <c r="E833" s="5" t="s">
        <v>463</v>
      </c>
      <c r="G833" s="5" t="s">
        <v>28</v>
      </c>
      <c r="H833" s="19" t="s">
        <v>495</v>
      </c>
      <c r="L833" s="6">
        <v>3</v>
      </c>
      <c r="M833" s="7">
        <v>1212.75</v>
      </c>
      <c r="R833" s="12">
        <v>1050</v>
      </c>
      <c r="S833" s="12">
        <f>M833*R833</f>
        <v>1273387.5</v>
      </c>
      <c r="Z833" s="18">
        <f t="shared" si="68"/>
        <v>-1273387.5</v>
      </c>
    </row>
    <row r="834" spans="1:31" s="21" customFormat="1" ht="16" customHeight="1" x14ac:dyDescent="0.45">
      <c r="A834" s="1">
        <v>2510</v>
      </c>
      <c r="B834" s="2">
        <v>45944</v>
      </c>
      <c r="C834" s="3"/>
      <c r="D834" s="4" t="s">
        <v>93</v>
      </c>
      <c r="E834" s="5" t="s">
        <v>463</v>
      </c>
      <c r="F834" s="5"/>
      <c r="G834" s="5" t="s">
        <v>28</v>
      </c>
      <c r="H834" s="19" t="s">
        <v>541</v>
      </c>
      <c r="I834" s="19"/>
      <c r="J834" s="19"/>
      <c r="K834" s="20"/>
      <c r="L834" s="6">
        <v>2</v>
      </c>
      <c r="M834" s="7">
        <v>875</v>
      </c>
      <c r="N834" s="8"/>
      <c r="O834" s="9"/>
      <c r="P834" s="10"/>
      <c r="Q834" s="11"/>
      <c r="R834" s="12">
        <v>1050</v>
      </c>
      <c r="S834" s="12">
        <f>M834*R834</f>
        <v>918750</v>
      </c>
      <c r="T834" s="13"/>
      <c r="U834" s="14"/>
      <c r="V834" s="15"/>
      <c r="W834" s="16"/>
      <c r="X834" s="12"/>
      <c r="Y834" s="17"/>
      <c r="Z834" s="18">
        <f t="shared" si="68"/>
        <v>-918750</v>
      </c>
      <c r="AA834" s="17"/>
      <c r="AB834" s="17"/>
      <c r="AC834" s="17"/>
      <c r="AD834" s="17"/>
      <c r="AE834" s="17"/>
    </row>
    <row r="835" spans="1:31" s="21" customFormat="1" ht="16" customHeight="1" x14ac:dyDescent="0.45">
      <c r="A835" s="1">
        <v>2510</v>
      </c>
      <c r="B835" s="2">
        <v>45944</v>
      </c>
      <c r="C835" s="3"/>
      <c r="D835" s="4" t="s">
        <v>93</v>
      </c>
      <c r="E835" s="5" t="s">
        <v>463</v>
      </c>
      <c r="F835" s="5"/>
      <c r="G835" s="5" t="s">
        <v>28</v>
      </c>
      <c r="H835" s="19" t="s">
        <v>95</v>
      </c>
      <c r="I835" s="19"/>
      <c r="J835" s="19"/>
      <c r="K835" s="20"/>
      <c r="L835" s="6">
        <v>1</v>
      </c>
      <c r="M835" s="7">
        <v>357</v>
      </c>
      <c r="N835" s="8"/>
      <c r="O835" s="9"/>
      <c r="P835" s="10"/>
      <c r="Q835" s="11"/>
      <c r="R835" s="12">
        <v>1050</v>
      </c>
      <c r="S835" s="12">
        <f>M835*R835</f>
        <v>374850</v>
      </c>
      <c r="T835" s="13"/>
      <c r="U835" s="14"/>
      <c r="V835" s="15"/>
      <c r="W835" s="16"/>
      <c r="X835" s="12"/>
      <c r="Y835" s="17"/>
      <c r="Z835" s="18">
        <f t="shared" si="68"/>
        <v>-374850</v>
      </c>
      <c r="AA835" s="17"/>
      <c r="AB835" s="17"/>
      <c r="AC835" s="17"/>
      <c r="AD835" s="17"/>
      <c r="AE835" s="17"/>
    </row>
    <row r="836" spans="1:31" ht="16" customHeight="1" x14ac:dyDescent="0.45">
      <c r="A836" s="1">
        <v>2510</v>
      </c>
      <c r="B836" s="2">
        <v>45957</v>
      </c>
      <c r="C836" s="24"/>
      <c r="D836" s="4" t="s">
        <v>30</v>
      </c>
      <c r="E836" s="5" t="s">
        <v>31</v>
      </c>
      <c r="G836" s="5" t="s">
        <v>31</v>
      </c>
      <c r="H836" s="19" t="s">
        <v>133</v>
      </c>
      <c r="K836" s="73"/>
      <c r="L836" s="6">
        <v>4</v>
      </c>
      <c r="O836" s="9">
        <v>2800</v>
      </c>
      <c r="P836" s="141"/>
      <c r="Q836" s="95"/>
      <c r="R836" s="12">
        <v>1470</v>
      </c>
      <c r="S836" s="12">
        <f>O836*R836</f>
        <v>4116000</v>
      </c>
      <c r="T836" s="33"/>
      <c r="U836" s="34"/>
      <c r="V836" s="15">
        <v>2450</v>
      </c>
      <c r="W836" s="16">
        <f>O836*V836</f>
        <v>6860000</v>
      </c>
      <c r="Z836" s="18">
        <f t="shared" si="68"/>
        <v>2744000</v>
      </c>
    </row>
    <row r="837" spans="1:31" ht="16" customHeight="1" x14ac:dyDescent="0.45">
      <c r="A837" s="1">
        <v>2510</v>
      </c>
      <c r="B837" s="2">
        <v>45957</v>
      </c>
      <c r="C837" s="24"/>
      <c r="D837" s="4" t="s">
        <v>30</v>
      </c>
      <c r="E837" s="5" t="s">
        <v>31</v>
      </c>
      <c r="G837" s="5" t="s">
        <v>31</v>
      </c>
      <c r="H837" s="19" t="s">
        <v>113</v>
      </c>
      <c r="K837" s="73"/>
      <c r="L837" s="6">
        <v>2</v>
      </c>
      <c r="O837" s="9">
        <v>2000</v>
      </c>
      <c r="P837" s="141"/>
      <c r="Q837" s="95"/>
      <c r="R837" s="12">
        <v>1230</v>
      </c>
      <c r="S837" s="12">
        <f>O837*R837</f>
        <v>2460000</v>
      </c>
      <c r="T837" s="33"/>
      <c r="U837" s="34"/>
      <c r="V837" s="15">
        <v>1380</v>
      </c>
      <c r="W837" s="16">
        <f>O837*V837</f>
        <v>2760000</v>
      </c>
      <c r="Z837" s="18">
        <f t="shared" si="68"/>
        <v>300000</v>
      </c>
    </row>
    <row r="838" spans="1:31" s="21" customFormat="1" ht="16" customHeight="1" x14ac:dyDescent="0.45">
      <c r="A838" s="1">
        <v>2510</v>
      </c>
      <c r="B838" s="2">
        <v>45951</v>
      </c>
      <c r="C838" s="3"/>
      <c r="D838" s="4" t="s">
        <v>27</v>
      </c>
      <c r="E838" s="5" t="s">
        <v>37</v>
      </c>
      <c r="F838" s="5"/>
      <c r="G838" s="5" t="s">
        <v>28</v>
      </c>
      <c r="H838" s="19" t="s">
        <v>33</v>
      </c>
      <c r="I838" s="19"/>
      <c r="J838" s="19"/>
      <c r="K838" s="20"/>
      <c r="L838" s="6">
        <v>168</v>
      </c>
      <c r="M838" s="7">
        <v>2940</v>
      </c>
      <c r="N838" s="8"/>
      <c r="O838" s="9"/>
      <c r="P838" s="10"/>
      <c r="Q838" s="11"/>
      <c r="R838" s="12">
        <v>2100</v>
      </c>
      <c r="S838" s="12">
        <f t="shared" ref="S838:S843" si="71">M838*R838</f>
        <v>6174000</v>
      </c>
      <c r="T838" s="13"/>
      <c r="U838" s="14"/>
      <c r="V838" s="15"/>
      <c r="W838" s="16"/>
      <c r="X838" s="12"/>
      <c r="Y838" s="17"/>
      <c r="Z838" s="18">
        <f t="shared" si="68"/>
        <v>-6174000</v>
      </c>
      <c r="AA838" s="17"/>
      <c r="AB838" s="17"/>
      <c r="AC838" s="17"/>
      <c r="AD838" s="17"/>
      <c r="AE838" s="17"/>
    </row>
    <row r="839" spans="1:31" s="21" customFormat="1" ht="16" customHeight="1" x14ac:dyDescent="0.45">
      <c r="A839" s="1">
        <v>2510</v>
      </c>
      <c r="B839" s="2">
        <v>45944</v>
      </c>
      <c r="C839" s="3"/>
      <c r="D839" s="4" t="s">
        <v>27</v>
      </c>
      <c r="E839" s="5" t="s">
        <v>37</v>
      </c>
      <c r="F839" s="5"/>
      <c r="G839" s="5" t="s">
        <v>28</v>
      </c>
      <c r="H839" s="19" t="s">
        <v>33</v>
      </c>
      <c r="I839" s="19"/>
      <c r="J839" s="19"/>
      <c r="K839" s="20"/>
      <c r="L839" s="6">
        <v>126</v>
      </c>
      <c r="M839" s="7">
        <v>2205</v>
      </c>
      <c r="N839" s="8"/>
      <c r="O839" s="9"/>
      <c r="P839" s="10"/>
      <c r="Q839" s="11"/>
      <c r="R839" s="12">
        <v>2100</v>
      </c>
      <c r="S839" s="12">
        <f t="shared" si="71"/>
        <v>4630500</v>
      </c>
      <c r="T839" s="13"/>
      <c r="U839" s="14"/>
      <c r="V839" s="15"/>
      <c r="W839" s="16"/>
      <c r="X839" s="12"/>
      <c r="Y839" s="17"/>
      <c r="Z839" s="18">
        <f t="shared" si="68"/>
        <v>-4630500</v>
      </c>
      <c r="AA839" s="17"/>
      <c r="AB839" s="17"/>
      <c r="AC839" s="17"/>
      <c r="AD839" s="17"/>
      <c r="AE839" s="17"/>
    </row>
    <row r="840" spans="1:31" s="21" customFormat="1" ht="16" customHeight="1" x14ac:dyDescent="0.45">
      <c r="A840" s="1">
        <v>2510</v>
      </c>
      <c r="B840" s="2">
        <v>45945</v>
      </c>
      <c r="C840" s="3"/>
      <c r="D840" s="4" t="s">
        <v>27</v>
      </c>
      <c r="E840" s="5" t="s">
        <v>37</v>
      </c>
      <c r="F840" s="5"/>
      <c r="G840" s="5" t="s">
        <v>28</v>
      </c>
      <c r="H840" s="19" t="s">
        <v>33</v>
      </c>
      <c r="I840" s="19"/>
      <c r="J840" s="19"/>
      <c r="K840" s="20"/>
      <c r="L840" s="6">
        <v>105</v>
      </c>
      <c r="M840" s="7">
        <v>1837.5</v>
      </c>
      <c r="N840" s="8"/>
      <c r="O840" s="9"/>
      <c r="P840" s="10"/>
      <c r="Q840" s="11"/>
      <c r="R840" s="12">
        <v>2100</v>
      </c>
      <c r="S840" s="12">
        <f t="shared" si="71"/>
        <v>3858750</v>
      </c>
      <c r="T840" s="13"/>
      <c r="U840" s="14"/>
      <c r="V840" s="15"/>
      <c r="W840" s="16"/>
      <c r="X840" s="12"/>
      <c r="Y840" s="17"/>
      <c r="Z840" s="18">
        <f t="shared" si="68"/>
        <v>-3858750</v>
      </c>
      <c r="AA840" s="17"/>
      <c r="AB840" s="17"/>
      <c r="AC840" s="17"/>
      <c r="AD840" s="17"/>
      <c r="AE840" s="17"/>
    </row>
    <row r="841" spans="1:31" ht="16" customHeight="1" x14ac:dyDescent="0.45">
      <c r="A841" s="1">
        <v>2510</v>
      </c>
      <c r="B841" s="2">
        <v>45931</v>
      </c>
      <c r="D841" s="4" t="s">
        <v>27</v>
      </c>
      <c r="E841" s="5" t="s">
        <v>37</v>
      </c>
      <c r="G841" s="5" t="s">
        <v>28</v>
      </c>
      <c r="H841" s="19" t="s">
        <v>33</v>
      </c>
      <c r="L841" s="6">
        <v>232</v>
      </c>
      <c r="M841" s="7">
        <v>3865.5</v>
      </c>
      <c r="R841" s="12">
        <v>2100</v>
      </c>
      <c r="S841" s="12">
        <f t="shared" si="71"/>
        <v>8117550</v>
      </c>
      <c r="Z841" s="18">
        <f t="shared" si="68"/>
        <v>-8117550</v>
      </c>
    </row>
    <row r="842" spans="1:31" ht="16" customHeight="1" x14ac:dyDescent="0.45">
      <c r="A842" s="1">
        <v>2510</v>
      </c>
      <c r="B842" s="2">
        <v>45959</v>
      </c>
      <c r="D842" s="4" t="s">
        <v>27</v>
      </c>
      <c r="E842" s="5" t="s">
        <v>37</v>
      </c>
      <c r="G842" s="5" t="s">
        <v>28</v>
      </c>
      <c r="H842" s="19" t="s">
        <v>33</v>
      </c>
      <c r="L842" s="6">
        <v>149</v>
      </c>
      <c r="M842" s="7">
        <v>2594.5</v>
      </c>
      <c r="R842" s="12">
        <v>2100</v>
      </c>
      <c r="S842" s="12">
        <f t="shared" si="71"/>
        <v>5448450</v>
      </c>
      <c r="Z842" s="18">
        <f t="shared" si="68"/>
        <v>-5448450</v>
      </c>
    </row>
    <row r="843" spans="1:31" ht="16" customHeight="1" x14ac:dyDescent="0.45">
      <c r="A843" s="1">
        <v>2510</v>
      </c>
      <c r="B843" s="2">
        <v>45952</v>
      </c>
      <c r="D843" s="4" t="s">
        <v>27</v>
      </c>
      <c r="E843" s="5" t="s">
        <v>37</v>
      </c>
      <c r="G843" s="5" t="s">
        <v>28</v>
      </c>
      <c r="H843" s="19" t="s">
        <v>33</v>
      </c>
      <c r="K843" s="73"/>
      <c r="L843" s="6">
        <v>59</v>
      </c>
      <c r="M843" s="7">
        <v>1032.5</v>
      </c>
      <c r="R843" s="12">
        <v>2100</v>
      </c>
      <c r="S843" s="12">
        <f t="shared" si="71"/>
        <v>2168250</v>
      </c>
      <c r="Z843" s="18">
        <f t="shared" si="68"/>
        <v>-2168250</v>
      </c>
    </row>
    <row r="844" spans="1:31" ht="16" customHeight="1" x14ac:dyDescent="0.45">
      <c r="A844" s="1">
        <v>2510</v>
      </c>
      <c r="B844" s="2">
        <v>45960</v>
      </c>
      <c r="D844" s="4" t="s">
        <v>27</v>
      </c>
      <c r="G844" s="5" t="s">
        <v>28</v>
      </c>
      <c r="H844" s="19" t="s">
        <v>542</v>
      </c>
      <c r="K844" s="73"/>
      <c r="M844" s="7">
        <v>3039.6</v>
      </c>
      <c r="P844" s="10">
        <v>2390</v>
      </c>
      <c r="Q844" s="11">
        <f>M844*P844</f>
        <v>7264644</v>
      </c>
      <c r="Z844" s="18">
        <f t="shared" si="68"/>
        <v>-7264644</v>
      </c>
    </row>
    <row r="845" spans="1:31" ht="16" customHeight="1" x14ac:dyDescent="0.45">
      <c r="A845" s="1">
        <v>2510</v>
      </c>
      <c r="B845" s="2">
        <v>45952</v>
      </c>
      <c r="D845" s="4" t="s">
        <v>502</v>
      </c>
      <c r="E845" s="5" t="s">
        <v>30</v>
      </c>
      <c r="G845" s="5" t="s">
        <v>31</v>
      </c>
      <c r="H845" s="19" t="s">
        <v>505</v>
      </c>
      <c r="I845" s="19" t="s">
        <v>543</v>
      </c>
      <c r="M845" s="7">
        <v>57</v>
      </c>
      <c r="P845" s="141">
        <v>1000</v>
      </c>
      <c r="Q845" s="95">
        <f>M845*P845</f>
        <v>57000</v>
      </c>
      <c r="Z845" s="18">
        <f t="shared" si="68"/>
        <v>-57000</v>
      </c>
    </row>
    <row r="846" spans="1:31" s="21" customFormat="1" ht="16" customHeight="1" x14ac:dyDescent="0.45">
      <c r="A846" s="1">
        <v>2510</v>
      </c>
      <c r="B846" s="2">
        <v>45943</v>
      </c>
      <c r="C846" s="3"/>
      <c r="D846" s="4" t="s">
        <v>35</v>
      </c>
      <c r="E846" s="5" t="s">
        <v>10</v>
      </c>
      <c r="F846" s="5"/>
      <c r="G846" s="5" t="s">
        <v>19</v>
      </c>
      <c r="H846" s="19" t="s">
        <v>82</v>
      </c>
      <c r="I846" s="19" t="s">
        <v>36</v>
      </c>
      <c r="J846" s="19" t="s">
        <v>544</v>
      </c>
      <c r="K846" s="20"/>
      <c r="L846" s="6">
        <v>14</v>
      </c>
      <c r="M846" s="7">
        <v>350.6</v>
      </c>
      <c r="N846" s="8">
        <v>7012</v>
      </c>
      <c r="O846" s="9"/>
      <c r="P846" s="10">
        <v>1050</v>
      </c>
      <c r="Q846" s="11">
        <f>N846*P846</f>
        <v>7362600</v>
      </c>
      <c r="R846" s="12"/>
      <c r="S846" s="12"/>
      <c r="T846" s="13"/>
      <c r="U846" s="14"/>
      <c r="V846" s="15"/>
      <c r="W846" s="16"/>
      <c r="X846" s="12"/>
      <c r="Y846" s="17"/>
      <c r="Z846" s="18">
        <f t="shared" ref="Z846:Z909" si="72">W846-S846-Q846</f>
        <v>-7362600</v>
      </c>
      <c r="AA846" s="17"/>
      <c r="AB846" s="17"/>
      <c r="AC846" s="17"/>
      <c r="AD846" s="17"/>
      <c r="AE846" s="17"/>
    </row>
    <row r="847" spans="1:31" s="21" customFormat="1" ht="16" customHeight="1" x14ac:dyDescent="0.45">
      <c r="A847" s="1">
        <v>2510</v>
      </c>
      <c r="B847" s="2">
        <v>45957</v>
      </c>
      <c r="C847" s="3"/>
      <c r="D847" s="4" t="s">
        <v>35</v>
      </c>
      <c r="E847" s="5" t="s">
        <v>10</v>
      </c>
      <c r="F847" s="5"/>
      <c r="G847" s="5" t="s">
        <v>19</v>
      </c>
      <c r="H847" s="19" t="s">
        <v>104</v>
      </c>
      <c r="I847" s="19" t="s">
        <v>53</v>
      </c>
      <c r="J847" s="19"/>
      <c r="K847" s="73"/>
      <c r="L847" s="6">
        <v>14</v>
      </c>
      <c r="M847" s="7">
        <v>345.1</v>
      </c>
      <c r="N847" s="8">
        <v>6769</v>
      </c>
      <c r="O847" s="9"/>
      <c r="P847" s="10">
        <v>970</v>
      </c>
      <c r="Q847" s="11">
        <f>N847*P847</f>
        <v>6565930</v>
      </c>
      <c r="R847" s="12"/>
      <c r="S847" s="12"/>
      <c r="T847" s="13"/>
      <c r="U847" s="14"/>
      <c r="V847" s="15"/>
      <c r="W847" s="16"/>
      <c r="X847" s="12"/>
      <c r="Y847" s="17"/>
      <c r="Z847" s="18">
        <f t="shared" si="72"/>
        <v>-6565930</v>
      </c>
      <c r="AA847" s="17"/>
      <c r="AB847" s="17"/>
      <c r="AC847" s="17"/>
      <c r="AD847" s="17"/>
      <c r="AE847" s="17"/>
    </row>
    <row r="848" spans="1:31" ht="16" customHeight="1" x14ac:dyDescent="0.45">
      <c r="A848" s="1">
        <v>2510</v>
      </c>
      <c r="B848" s="2">
        <v>45957</v>
      </c>
      <c r="D848" s="4" t="s">
        <v>35</v>
      </c>
      <c r="E848" s="5" t="s">
        <v>10</v>
      </c>
      <c r="G848" s="5" t="s">
        <v>19</v>
      </c>
      <c r="H848" s="19" t="s">
        <v>104</v>
      </c>
      <c r="I848" s="19" t="s">
        <v>105</v>
      </c>
      <c r="K848" s="73"/>
      <c r="L848" s="6">
        <v>9</v>
      </c>
      <c r="M848" s="7">
        <v>231</v>
      </c>
      <c r="N848" s="8">
        <v>4549</v>
      </c>
      <c r="P848" s="10">
        <v>970</v>
      </c>
      <c r="Q848" s="11">
        <f>N848*P848</f>
        <v>4412530</v>
      </c>
      <c r="Z848" s="18">
        <f t="shared" si="72"/>
        <v>-4412530</v>
      </c>
    </row>
    <row r="849" spans="1:31" ht="16" customHeight="1" x14ac:dyDescent="0.45">
      <c r="A849" s="1">
        <v>2510</v>
      </c>
      <c r="B849" s="2">
        <v>45951</v>
      </c>
      <c r="C849" s="24"/>
      <c r="D849" s="4" t="s">
        <v>37</v>
      </c>
      <c r="E849" s="5" t="s">
        <v>28</v>
      </c>
      <c r="G849" s="5" t="s">
        <v>28</v>
      </c>
      <c r="H849" s="19" t="s">
        <v>38</v>
      </c>
      <c r="I849" s="19" t="s">
        <v>39</v>
      </c>
      <c r="K849" s="73" t="s">
        <v>545</v>
      </c>
      <c r="L849" s="6">
        <v>24</v>
      </c>
      <c r="M849" s="7">
        <v>446.1</v>
      </c>
      <c r="O849" s="9">
        <v>692</v>
      </c>
      <c r="P849" s="141"/>
      <c r="Q849" s="95"/>
      <c r="R849" s="12">
        <v>2500</v>
      </c>
      <c r="S849" s="12">
        <f t="shared" ref="S849:S886" si="73">M849*R849</f>
        <v>1115250</v>
      </c>
      <c r="T849" s="33"/>
      <c r="U849" s="34"/>
      <c r="V849" s="15">
        <v>6566</v>
      </c>
      <c r="W849" s="16">
        <f t="shared" ref="W849:W886" si="74">O849*V849</f>
        <v>4543672</v>
      </c>
      <c r="Z849" s="18">
        <f t="shared" si="72"/>
        <v>3428422</v>
      </c>
    </row>
    <row r="850" spans="1:31" ht="16" customHeight="1" x14ac:dyDescent="0.45">
      <c r="A850" s="1">
        <v>2510</v>
      </c>
      <c r="B850" s="2">
        <v>45951</v>
      </c>
      <c r="C850" s="24"/>
      <c r="D850" s="4" t="s">
        <v>37</v>
      </c>
      <c r="E850" s="5" t="s">
        <v>28</v>
      </c>
      <c r="G850" s="5" t="s">
        <v>28</v>
      </c>
      <c r="H850" s="19" t="s">
        <v>38</v>
      </c>
      <c r="I850" s="19" t="s">
        <v>39</v>
      </c>
      <c r="K850" s="73" t="s">
        <v>546</v>
      </c>
      <c r="L850" s="6">
        <v>25</v>
      </c>
      <c r="M850" s="7">
        <v>474.3</v>
      </c>
      <c r="O850" s="9">
        <v>732</v>
      </c>
      <c r="P850" s="141"/>
      <c r="Q850" s="95"/>
      <c r="R850" s="12">
        <v>2500</v>
      </c>
      <c r="S850" s="12">
        <f t="shared" si="73"/>
        <v>1185750</v>
      </c>
      <c r="T850" s="33"/>
      <c r="U850" s="34"/>
      <c r="V850" s="15">
        <v>6566</v>
      </c>
      <c r="W850" s="16">
        <f t="shared" si="74"/>
        <v>4806312</v>
      </c>
      <c r="Z850" s="18">
        <f t="shared" si="72"/>
        <v>3620562</v>
      </c>
    </row>
    <row r="851" spans="1:31" ht="16" customHeight="1" x14ac:dyDescent="0.45">
      <c r="A851" s="1">
        <v>2510</v>
      </c>
      <c r="B851" s="2">
        <v>45951</v>
      </c>
      <c r="C851" s="24"/>
      <c r="D851" s="4" t="s">
        <v>37</v>
      </c>
      <c r="E851" s="5" t="s">
        <v>28</v>
      </c>
      <c r="G851" s="5" t="s">
        <v>28</v>
      </c>
      <c r="H851" s="19" t="s">
        <v>38</v>
      </c>
      <c r="I851" s="19" t="s">
        <v>39</v>
      </c>
      <c r="K851" s="73" t="s">
        <v>547</v>
      </c>
      <c r="L851" s="6">
        <v>24</v>
      </c>
      <c r="M851" s="7">
        <v>457.8</v>
      </c>
      <c r="O851" s="9">
        <v>703</v>
      </c>
      <c r="P851" s="141"/>
      <c r="Q851" s="95"/>
      <c r="R851" s="12">
        <v>2500</v>
      </c>
      <c r="S851" s="12">
        <f t="shared" si="73"/>
        <v>1144500</v>
      </c>
      <c r="T851" s="33"/>
      <c r="U851" s="34"/>
      <c r="V851" s="15">
        <v>6566</v>
      </c>
      <c r="W851" s="16">
        <f t="shared" si="74"/>
        <v>4615898</v>
      </c>
      <c r="Z851" s="18">
        <f t="shared" si="72"/>
        <v>3471398</v>
      </c>
    </row>
    <row r="852" spans="1:31" ht="16" customHeight="1" x14ac:dyDescent="0.45">
      <c r="A852" s="1">
        <v>2510</v>
      </c>
      <c r="B852" s="2">
        <v>45951</v>
      </c>
      <c r="C852" s="24"/>
      <c r="D852" s="4" t="s">
        <v>37</v>
      </c>
      <c r="E852" s="5" t="s">
        <v>28</v>
      </c>
      <c r="G852" s="5" t="s">
        <v>28</v>
      </c>
      <c r="H852" s="19" t="s">
        <v>38</v>
      </c>
      <c r="I852" s="19" t="s">
        <v>39</v>
      </c>
      <c r="K852" s="73" t="s">
        <v>548</v>
      </c>
      <c r="L852" s="6">
        <v>24</v>
      </c>
      <c r="M852" s="7">
        <v>452.7</v>
      </c>
      <c r="O852" s="9">
        <v>698</v>
      </c>
      <c r="P852" s="141"/>
      <c r="Q852" s="95"/>
      <c r="R852" s="12">
        <v>2500</v>
      </c>
      <c r="S852" s="12">
        <f t="shared" si="73"/>
        <v>1131750</v>
      </c>
      <c r="T852" s="33"/>
      <c r="U852" s="34"/>
      <c r="V852" s="15">
        <v>6566</v>
      </c>
      <c r="W852" s="16">
        <f t="shared" si="74"/>
        <v>4583068</v>
      </c>
      <c r="Z852" s="18">
        <f t="shared" si="72"/>
        <v>3451318</v>
      </c>
    </row>
    <row r="853" spans="1:31" ht="16" customHeight="1" x14ac:dyDescent="0.45">
      <c r="A853" s="1">
        <v>2510</v>
      </c>
      <c r="B853" s="2">
        <v>45951</v>
      </c>
      <c r="C853" s="24"/>
      <c r="D853" s="4" t="s">
        <v>37</v>
      </c>
      <c r="E853" s="5" t="s">
        <v>28</v>
      </c>
      <c r="G853" s="5" t="s">
        <v>28</v>
      </c>
      <c r="H853" s="19" t="s">
        <v>38</v>
      </c>
      <c r="I853" s="19" t="s">
        <v>39</v>
      </c>
      <c r="K853" s="73" t="s">
        <v>549</v>
      </c>
      <c r="L853" s="6">
        <v>24</v>
      </c>
      <c r="M853" s="7">
        <v>459.6</v>
      </c>
      <c r="O853" s="9">
        <v>704</v>
      </c>
      <c r="P853" s="141"/>
      <c r="Q853" s="95"/>
      <c r="R853" s="12">
        <v>2500</v>
      </c>
      <c r="S853" s="12">
        <f t="shared" si="73"/>
        <v>1149000</v>
      </c>
      <c r="T853" s="33"/>
      <c r="U853" s="34"/>
      <c r="V853" s="15">
        <v>6566</v>
      </c>
      <c r="W853" s="16">
        <f t="shared" si="74"/>
        <v>4622464</v>
      </c>
      <c r="Z853" s="18">
        <f t="shared" si="72"/>
        <v>3473464</v>
      </c>
    </row>
    <row r="854" spans="1:31" ht="16" customHeight="1" x14ac:dyDescent="0.45">
      <c r="A854" s="1">
        <v>2510</v>
      </c>
      <c r="B854" s="2">
        <v>45951</v>
      </c>
      <c r="C854" s="24"/>
      <c r="D854" s="4" t="s">
        <v>37</v>
      </c>
      <c r="E854" s="5" t="s">
        <v>28</v>
      </c>
      <c r="G854" s="5" t="s">
        <v>28</v>
      </c>
      <c r="H854" s="19" t="s">
        <v>38</v>
      </c>
      <c r="I854" s="19" t="s">
        <v>39</v>
      </c>
      <c r="K854" s="73" t="s">
        <v>550</v>
      </c>
      <c r="L854" s="6">
        <v>24</v>
      </c>
      <c r="M854" s="7">
        <v>455.2</v>
      </c>
      <c r="O854" s="9">
        <v>675</v>
      </c>
      <c r="P854" s="141"/>
      <c r="Q854" s="95"/>
      <c r="R854" s="12">
        <v>2500</v>
      </c>
      <c r="S854" s="12">
        <f t="shared" si="73"/>
        <v>1138000</v>
      </c>
      <c r="T854" s="33"/>
      <c r="U854" s="34"/>
      <c r="V854" s="15">
        <v>6566</v>
      </c>
      <c r="W854" s="16">
        <f t="shared" si="74"/>
        <v>4432050</v>
      </c>
      <c r="Z854" s="18">
        <f t="shared" si="72"/>
        <v>3294050</v>
      </c>
    </row>
    <row r="855" spans="1:31" ht="16" customHeight="1" x14ac:dyDescent="0.45">
      <c r="A855" s="1">
        <v>2510</v>
      </c>
      <c r="B855" s="2">
        <v>45951</v>
      </c>
      <c r="C855" s="24"/>
      <c r="D855" s="4" t="s">
        <v>37</v>
      </c>
      <c r="E855" s="5" t="s">
        <v>28</v>
      </c>
      <c r="G855" s="5" t="s">
        <v>28</v>
      </c>
      <c r="H855" s="19" t="s">
        <v>38</v>
      </c>
      <c r="I855" s="19" t="s">
        <v>39</v>
      </c>
      <c r="K855" s="73" t="s">
        <v>50</v>
      </c>
      <c r="L855" s="6">
        <v>32</v>
      </c>
      <c r="M855" s="7">
        <v>473.6</v>
      </c>
      <c r="O855" s="9">
        <v>759</v>
      </c>
      <c r="P855" s="141"/>
      <c r="Q855" s="95"/>
      <c r="R855" s="12">
        <v>2500</v>
      </c>
      <c r="S855" s="12">
        <f t="shared" si="73"/>
        <v>1184000</v>
      </c>
      <c r="T855" s="33"/>
      <c r="U855" s="34"/>
      <c r="V855" s="15">
        <v>6566</v>
      </c>
      <c r="W855" s="16">
        <f t="shared" si="74"/>
        <v>4983594</v>
      </c>
      <c r="Z855" s="18">
        <f t="shared" si="72"/>
        <v>3799594</v>
      </c>
    </row>
    <row r="856" spans="1:31" ht="16" customHeight="1" x14ac:dyDescent="0.45">
      <c r="A856" s="1">
        <v>2510</v>
      </c>
      <c r="B856" s="2">
        <v>45951</v>
      </c>
      <c r="C856" s="24"/>
      <c r="D856" s="4" t="s">
        <v>37</v>
      </c>
      <c r="E856" s="5" t="s">
        <v>28</v>
      </c>
      <c r="G856" s="5" t="s">
        <v>28</v>
      </c>
      <c r="H856" s="19" t="s">
        <v>38</v>
      </c>
      <c r="I856" s="19" t="s">
        <v>39</v>
      </c>
      <c r="K856" s="73" t="s">
        <v>83</v>
      </c>
      <c r="L856" s="6">
        <v>32</v>
      </c>
      <c r="M856" s="7">
        <v>467.3</v>
      </c>
      <c r="O856" s="9">
        <v>727</v>
      </c>
      <c r="P856" s="141"/>
      <c r="Q856" s="95"/>
      <c r="R856" s="12">
        <v>2500</v>
      </c>
      <c r="S856" s="12">
        <f t="shared" si="73"/>
        <v>1168250</v>
      </c>
      <c r="T856" s="33"/>
      <c r="U856" s="34"/>
      <c r="V856" s="15">
        <v>6566</v>
      </c>
      <c r="W856" s="16">
        <f t="shared" si="74"/>
        <v>4773482</v>
      </c>
      <c r="Z856" s="18">
        <f t="shared" si="72"/>
        <v>3605232</v>
      </c>
    </row>
    <row r="857" spans="1:31" ht="16" customHeight="1" x14ac:dyDescent="0.45">
      <c r="A857" s="1">
        <v>2510</v>
      </c>
      <c r="B857" s="2">
        <v>45951</v>
      </c>
      <c r="C857" s="24"/>
      <c r="D857" s="4" t="s">
        <v>37</v>
      </c>
      <c r="E857" s="5" t="s">
        <v>28</v>
      </c>
      <c r="G857" s="5" t="s">
        <v>28</v>
      </c>
      <c r="H857" s="19" t="s">
        <v>38</v>
      </c>
      <c r="I857" s="19" t="s">
        <v>39</v>
      </c>
      <c r="K857" s="73" t="s">
        <v>84</v>
      </c>
      <c r="L857" s="6">
        <v>32</v>
      </c>
      <c r="M857" s="7">
        <v>478.9</v>
      </c>
      <c r="O857" s="9">
        <v>739</v>
      </c>
      <c r="P857" s="141"/>
      <c r="Q857" s="95"/>
      <c r="R857" s="12">
        <v>2500</v>
      </c>
      <c r="S857" s="12">
        <f t="shared" si="73"/>
        <v>1197250</v>
      </c>
      <c r="T857" s="33"/>
      <c r="U857" s="34"/>
      <c r="V857" s="15">
        <v>6566</v>
      </c>
      <c r="W857" s="16">
        <f t="shared" si="74"/>
        <v>4852274</v>
      </c>
      <c r="Z857" s="18">
        <f t="shared" si="72"/>
        <v>3655024</v>
      </c>
    </row>
    <row r="858" spans="1:31" ht="16" customHeight="1" x14ac:dyDescent="0.45">
      <c r="A858" s="1">
        <v>2510</v>
      </c>
      <c r="B858" s="2">
        <v>45951</v>
      </c>
      <c r="C858" s="24"/>
      <c r="D858" s="4" t="s">
        <v>37</v>
      </c>
      <c r="E858" s="5" t="s">
        <v>28</v>
      </c>
      <c r="G858" s="5" t="s">
        <v>28</v>
      </c>
      <c r="H858" s="19" t="s">
        <v>38</v>
      </c>
      <c r="I858" s="19" t="s">
        <v>39</v>
      </c>
      <c r="K858" s="73" t="s">
        <v>85</v>
      </c>
      <c r="L858" s="6">
        <v>32</v>
      </c>
      <c r="M858" s="7">
        <v>471.1</v>
      </c>
      <c r="O858" s="9">
        <v>740</v>
      </c>
      <c r="P858" s="141"/>
      <c r="Q858" s="95"/>
      <c r="R858" s="12">
        <v>2500</v>
      </c>
      <c r="S858" s="12">
        <f t="shared" si="73"/>
        <v>1177750</v>
      </c>
      <c r="T858" s="33"/>
      <c r="U858" s="34"/>
      <c r="V858" s="15">
        <v>6566</v>
      </c>
      <c r="W858" s="16">
        <f t="shared" si="74"/>
        <v>4858840</v>
      </c>
      <c r="Z858" s="18">
        <f t="shared" si="72"/>
        <v>3681090</v>
      </c>
    </row>
    <row r="859" spans="1:31" ht="16" customHeight="1" x14ac:dyDescent="0.45">
      <c r="A859" s="1">
        <v>2510</v>
      </c>
      <c r="B859" s="2">
        <v>45951</v>
      </c>
      <c r="C859" s="24"/>
      <c r="D859" s="4" t="s">
        <v>37</v>
      </c>
      <c r="E859" s="5" t="s">
        <v>28</v>
      </c>
      <c r="G859" s="5" t="s">
        <v>28</v>
      </c>
      <c r="H859" s="19" t="s">
        <v>38</v>
      </c>
      <c r="I859" s="19" t="s">
        <v>39</v>
      </c>
      <c r="K859" s="73" t="s">
        <v>71</v>
      </c>
      <c r="L859" s="6">
        <v>32</v>
      </c>
      <c r="M859" s="7">
        <v>473.9</v>
      </c>
      <c r="O859" s="9">
        <v>757</v>
      </c>
      <c r="P859" s="141"/>
      <c r="Q859" s="95"/>
      <c r="R859" s="12">
        <v>2500</v>
      </c>
      <c r="S859" s="12">
        <f t="shared" si="73"/>
        <v>1184750</v>
      </c>
      <c r="T859" s="33"/>
      <c r="U859" s="34"/>
      <c r="V859" s="15">
        <v>6566</v>
      </c>
      <c r="W859" s="16">
        <f t="shared" si="74"/>
        <v>4970462</v>
      </c>
      <c r="Z859" s="18">
        <f t="shared" si="72"/>
        <v>3785712</v>
      </c>
    </row>
    <row r="860" spans="1:31" ht="16" customHeight="1" x14ac:dyDescent="0.45">
      <c r="A860" s="1">
        <v>2510</v>
      </c>
      <c r="B860" s="2">
        <v>45946</v>
      </c>
      <c r="C860" s="24"/>
      <c r="D860" s="4" t="s">
        <v>37</v>
      </c>
      <c r="E860" s="5" t="s">
        <v>28</v>
      </c>
      <c r="G860" s="5" t="s">
        <v>28</v>
      </c>
      <c r="H860" s="19" t="s">
        <v>38</v>
      </c>
      <c r="I860" s="19" t="s">
        <v>39</v>
      </c>
      <c r="K860" s="73" t="s">
        <v>49</v>
      </c>
      <c r="L860" s="6">
        <v>32</v>
      </c>
      <c r="M860" s="7">
        <v>475.4</v>
      </c>
      <c r="O860" s="9">
        <v>726</v>
      </c>
      <c r="P860" s="141"/>
      <c r="Q860" s="95"/>
      <c r="R860" s="12">
        <v>2500</v>
      </c>
      <c r="S860" s="12">
        <f t="shared" si="73"/>
        <v>1188500</v>
      </c>
      <c r="T860" s="33"/>
      <c r="U860" s="34"/>
      <c r="V860" s="15">
        <v>6566</v>
      </c>
      <c r="W860" s="16">
        <f t="shared" si="74"/>
        <v>4766916</v>
      </c>
      <c r="Z860" s="18">
        <f t="shared" si="72"/>
        <v>3578416</v>
      </c>
    </row>
    <row r="861" spans="1:31" ht="16" customHeight="1" x14ac:dyDescent="0.45">
      <c r="A861" s="1">
        <v>2510</v>
      </c>
      <c r="B861" s="2">
        <v>45946</v>
      </c>
      <c r="C861" s="24"/>
      <c r="D861" s="4" t="s">
        <v>37</v>
      </c>
      <c r="E861" s="5" t="s">
        <v>28</v>
      </c>
      <c r="G861" s="5" t="s">
        <v>28</v>
      </c>
      <c r="H861" s="19" t="s">
        <v>38</v>
      </c>
      <c r="I861" s="19" t="s">
        <v>39</v>
      </c>
      <c r="K861" s="73" t="s">
        <v>51</v>
      </c>
      <c r="L861" s="6">
        <v>32</v>
      </c>
      <c r="M861" s="7">
        <v>475.5</v>
      </c>
      <c r="O861" s="9">
        <v>731</v>
      </c>
      <c r="P861" s="141"/>
      <c r="Q861" s="95"/>
      <c r="R861" s="12">
        <v>2500</v>
      </c>
      <c r="S861" s="12">
        <f t="shared" si="73"/>
        <v>1188750</v>
      </c>
      <c r="T861" s="33"/>
      <c r="U861" s="34"/>
      <c r="V861" s="15">
        <v>6566</v>
      </c>
      <c r="W861" s="16">
        <f t="shared" si="74"/>
        <v>4799746</v>
      </c>
      <c r="Z861" s="18">
        <f t="shared" si="72"/>
        <v>3610996</v>
      </c>
    </row>
    <row r="862" spans="1:31" s="21" customFormat="1" ht="16" customHeight="1" x14ac:dyDescent="0.45">
      <c r="A862" s="1">
        <v>2510</v>
      </c>
      <c r="B862" s="23">
        <v>45944</v>
      </c>
      <c r="C862" s="24"/>
      <c r="D862" s="25" t="s">
        <v>37</v>
      </c>
      <c r="E862" s="26" t="s">
        <v>28</v>
      </c>
      <c r="F862" s="26"/>
      <c r="G862" s="26" t="s">
        <v>28</v>
      </c>
      <c r="H862" s="27" t="s">
        <v>32</v>
      </c>
      <c r="I862" s="27" t="s">
        <v>47</v>
      </c>
      <c r="J862" s="27"/>
      <c r="K862" s="38" t="s">
        <v>45</v>
      </c>
      <c r="L862" s="29">
        <v>16</v>
      </c>
      <c r="M862" s="30">
        <v>256.7</v>
      </c>
      <c r="N862" s="31"/>
      <c r="O862" s="32">
        <v>446</v>
      </c>
      <c r="P862" s="91"/>
      <c r="Q862" s="92"/>
      <c r="R862" s="93">
        <v>2500</v>
      </c>
      <c r="S862" s="93">
        <f t="shared" si="73"/>
        <v>641750</v>
      </c>
      <c r="T862" s="33"/>
      <c r="U862" s="34"/>
      <c r="V862" s="35">
        <v>5750</v>
      </c>
      <c r="W862" s="36">
        <f t="shared" si="74"/>
        <v>2564500</v>
      </c>
      <c r="X862" s="93"/>
      <c r="Z862" s="18">
        <f t="shared" si="72"/>
        <v>1922750</v>
      </c>
      <c r="AA862" s="17"/>
      <c r="AB862" s="17"/>
      <c r="AC862" s="17"/>
      <c r="AD862" s="17"/>
      <c r="AE862" s="17"/>
    </row>
    <row r="863" spans="1:31" ht="16" customHeight="1" x14ac:dyDescent="0.45">
      <c r="A863" s="1">
        <v>2510</v>
      </c>
      <c r="B863" s="2">
        <v>45931</v>
      </c>
      <c r="C863" s="24"/>
      <c r="D863" s="4" t="s">
        <v>37</v>
      </c>
      <c r="E863" s="5" t="s">
        <v>28</v>
      </c>
      <c r="G863" s="5" t="s">
        <v>28</v>
      </c>
      <c r="H863" s="19" t="s">
        <v>38</v>
      </c>
      <c r="I863" s="19" t="s">
        <v>39</v>
      </c>
      <c r="K863" s="73" t="s">
        <v>40</v>
      </c>
      <c r="L863" s="6">
        <v>32</v>
      </c>
      <c r="M863" s="7">
        <v>468.1</v>
      </c>
      <c r="O863" s="9">
        <v>743</v>
      </c>
      <c r="P863" s="141"/>
      <c r="Q863" s="95"/>
      <c r="R863" s="12">
        <v>2500</v>
      </c>
      <c r="S863" s="12">
        <f t="shared" si="73"/>
        <v>1170250</v>
      </c>
      <c r="T863" s="33"/>
      <c r="U863" s="34"/>
      <c r="V863" s="15">
        <v>6566</v>
      </c>
      <c r="W863" s="16">
        <f t="shared" si="74"/>
        <v>4878538</v>
      </c>
      <c r="Z863" s="18">
        <f t="shared" si="72"/>
        <v>3708288</v>
      </c>
    </row>
    <row r="864" spans="1:31" ht="16" customHeight="1" x14ac:dyDescent="0.45">
      <c r="A864" s="1">
        <v>2510</v>
      </c>
      <c r="B864" s="2">
        <v>45931</v>
      </c>
      <c r="C864" s="24"/>
      <c r="D864" s="4" t="s">
        <v>37</v>
      </c>
      <c r="E864" s="5" t="s">
        <v>28</v>
      </c>
      <c r="G864" s="5" t="s">
        <v>28</v>
      </c>
      <c r="H864" s="19" t="s">
        <v>38</v>
      </c>
      <c r="I864" s="19" t="s">
        <v>39</v>
      </c>
      <c r="K864" s="73" t="s">
        <v>41</v>
      </c>
      <c r="L864" s="6">
        <v>31</v>
      </c>
      <c r="M864" s="7">
        <v>459.3</v>
      </c>
      <c r="O864" s="9">
        <v>733</v>
      </c>
      <c r="P864" s="141"/>
      <c r="Q864" s="95"/>
      <c r="R864" s="12">
        <v>2500</v>
      </c>
      <c r="S864" s="12">
        <f t="shared" si="73"/>
        <v>1148250</v>
      </c>
      <c r="T864" s="33"/>
      <c r="U864" s="34"/>
      <c r="V864" s="15">
        <v>6566</v>
      </c>
      <c r="W864" s="16">
        <f t="shared" si="74"/>
        <v>4812878</v>
      </c>
      <c r="Z864" s="18">
        <f t="shared" si="72"/>
        <v>3664628</v>
      </c>
    </row>
    <row r="865" spans="1:26" ht="16" customHeight="1" x14ac:dyDescent="0.45">
      <c r="A865" s="1">
        <v>2510</v>
      </c>
      <c r="B865" s="2">
        <v>45931</v>
      </c>
      <c r="C865" s="24"/>
      <c r="D865" s="4" t="s">
        <v>37</v>
      </c>
      <c r="E865" s="5" t="s">
        <v>28</v>
      </c>
      <c r="G865" s="5" t="s">
        <v>28</v>
      </c>
      <c r="H865" s="19" t="s">
        <v>38</v>
      </c>
      <c r="I865" s="19" t="s">
        <v>39</v>
      </c>
      <c r="K865" s="73" t="s">
        <v>42</v>
      </c>
      <c r="L865" s="6">
        <v>33</v>
      </c>
      <c r="M865" s="7">
        <v>493.7</v>
      </c>
      <c r="O865" s="9">
        <v>783</v>
      </c>
      <c r="P865" s="141"/>
      <c r="Q865" s="95"/>
      <c r="R865" s="12">
        <v>2500</v>
      </c>
      <c r="S865" s="12">
        <f t="shared" si="73"/>
        <v>1234250</v>
      </c>
      <c r="T865" s="33"/>
      <c r="U865" s="34"/>
      <c r="V865" s="15">
        <v>6566</v>
      </c>
      <c r="W865" s="16">
        <f t="shared" si="74"/>
        <v>5141178</v>
      </c>
      <c r="Z865" s="18">
        <f t="shared" si="72"/>
        <v>3906928</v>
      </c>
    </row>
    <row r="866" spans="1:26" ht="16" customHeight="1" x14ac:dyDescent="0.45">
      <c r="A866" s="1">
        <v>2510</v>
      </c>
      <c r="B866" s="2">
        <v>45931</v>
      </c>
      <c r="C866" s="24"/>
      <c r="D866" s="4" t="s">
        <v>37</v>
      </c>
      <c r="E866" s="5" t="s">
        <v>28</v>
      </c>
      <c r="G866" s="5" t="s">
        <v>28</v>
      </c>
      <c r="H866" s="19" t="s">
        <v>38</v>
      </c>
      <c r="I866" s="19" t="s">
        <v>39</v>
      </c>
      <c r="K866" s="73" t="s">
        <v>43</v>
      </c>
      <c r="L866" s="6">
        <v>33</v>
      </c>
      <c r="M866" s="7">
        <v>489.8</v>
      </c>
      <c r="O866" s="9">
        <v>778</v>
      </c>
      <c r="P866" s="141"/>
      <c r="Q866" s="95"/>
      <c r="R866" s="12">
        <v>2500</v>
      </c>
      <c r="S866" s="12">
        <f t="shared" si="73"/>
        <v>1224500</v>
      </c>
      <c r="T866" s="33"/>
      <c r="U866" s="34"/>
      <c r="V866" s="15">
        <v>6566</v>
      </c>
      <c r="W866" s="16">
        <f t="shared" si="74"/>
        <v>5108348</v>
      </c>
      <c r="Z866" s="18">
        <f t="shared" si="72"/>
        <v>3883848</v>
      </c>
    </row>
    <row r="867" spans="1:26" ht="16" customHeight="1" x14ac:dyDescent="0.45">
      <c r="A867" s="1">
        <v>2510</v>
      </c>
      <c r="B867" s="2">
        <v>45931</v>
      </c>
      <c r="C867" s="24"/>
      <c r="D867" s="4" t="s">
        <v>37</v>
      </c>
      <c r="E867" s="5" t="s">
        <v>28</v>
      </c>
      <c r="G867" s="5" t="s">
        <v>28</v>
      </c>
      <c r="H867" s="19" t="s">
        <v>38</v>
      </c>
      <c r="I867" s="19" t="s">
        <v>39</v>
      </c>
      <c r="K867" s="73" t="s">
        <v>44</v>
      </c>
      <c r="L867" s="6">
        <v>33</v>
      </c>
      <c r="M867" s="7">
        <v>490.6</v>
      </c>
      <c r="O867" s="9">
        <v>783</v>
      </c>
      <c r="P867" s="141"/>
      <c r="Q867" s="95"/>
      <c r="R867" s="12">
        <v>2500</v>
      </c>
      <c r="S867" s="12">
        <f t="shared" si="73"/>
        <v>1226500</v>
      </c>
      <c r="T867" s="33"/>
      <c r="U867" s="34"/>
      <c r="V867" s="15">
        <v>6566</v>
      </c>
      <c r="W867" s="16">
        <f t="shared" si="74"/>
        <v>5141178</v>
      </c>
      <c r="Z867" s="18">
        <f t="shared" si="72"/>
        <v>3914678</v>
      </c>
    </row>
    <row r="868" spans="1:26" ht="16" customHeight="1" x14ac:dyDescent="0.45">
      <c r="A868" s="1">
        <v>2510</v>
      </c>
      <c r="B868" s="2">
        <v>45931</v>
      </c>
      <c r="C868" s="24"/>
      <c r="D868" s="4" t="s">
        <v>37</v>
      </c>
      <c r="E868" s="5" t="s">
        <v>28</v>
      </c>
      <c r="G868" s="5" t="s">
        <v>28</v>
      </c>
      <c r="H868" s="19" t="s">
        <v>38</v>
      </c>
      <c r="I868" s="19" t="s">
        <v>39</v>
      </c>
      <c r="K868" s="73" t="s">
        <v>45</v>
      </c>
      <c r="L868" s="6">
        <v>32</v>
      </c>
      <c r="M868" s="7">
        <v>467.7</v>
      </c>
      <c r="O868" s="9">
        <v>727</v>
      </c>
      <c r="P868" s="141"/>
      <c r="Q868" s="95"/>
      <c r="R868" s="12">
        <v>2500</v>
      </c>
      <c r="S868" s="12">
        <f t="shared" si="73"/>
        <v>1169250</v>
      </c>
      <c r="T868" s="33"/>
      <c r="U868" s="34"/>
      <c r="V868" s="15">
        <v>6566</v>
      </c>
      <c r="W868" s="16">
        <f t="shared" si="74"/>
        <v>4773482</v>
      </c>
      <c r="Z868" s="18">
        <f t="shared" si="72"/>
        <v>3604232</v>
      </c>
    </row>
    <row r="869" spans="1:26" ht="16" customHeight="1" x14ac:dyDescent="0.45">
      <c r="A869" s="1">
        <v>2510</v>
      </c>
      <c r="B869" s="2">
        <v>45931</v>
      </c>
      <c r="C869" s="24"/>
      <c r="D869" s="4" t="s">
        <v>37</v>
      </c>
      <c r="E869" s="5" t="s">
        <v>28</v>
      </c>
      <c r="G869" s="5" t="s">
        <v>28</v>
      </c>
      <c r="H869" s="19" t="s">
        <v>38</v>
      </c>
      <c r="I869" s="19" t="s">
        <v>39</v>
      </c>
      <c r="K869" s="73" t="s">
        <v>46</v>
      </c>
      <c r="L869" s="6">
        <v>32</v>
      </c>
      <c r="M869" s="7">
        <v>478.1</v>
      </c>
      <c r="O869" s="9">
        <v>756</v>
      </c>
      <c r="P869" s="141"/>
      <c r="Q869" s="95"/>
      <c r="R869" s="12">
        <v>2500</v>
      </c>
      <c r="S869" s="12">
        <f t="shared" si="73"/>
        <v>1195250</v>
      </c>
      <c r="T869" s="33"/>
      <c r="U869" s="34"/>
      <c r="V869" s="15">
        <v>6566</v>
      </c>
      <c r="W869" s="16">
        <f t="shared" si="74"/>
        <v>4963896</v>
      </c>
      <c r="Z869" s="18">
        <f t="shared" si="72"/>
        <v>3768646</v>
      </c>
    </row>
    <row r="870" spans="1:26" ht="16" customHeight="1" x14ac:dyDescent="0.45">
      <c r="A870" s="1">
        <v>2510</v>
      </c>
      <c r="B870" s="2">
        <v>45958</v>
      </c>
      <c r="C870" s="24"/>
      <c r="D870" s="4" t="s">
        <v>37</v>
      </c>
      <c r="E870" s="5" t="s">
        <v>28</v>
      </c>
      <c r="G870" s="5" t="s">
        <v>28</v>
      </c>
      <c r="H870" s="19" t="s">
        <v>38</v>
      </c>
      <c r="I870" s="19" t="s">
        <v>39</v>
      </c>
      <c r="K870" s="73" t="s">
        <v>139</v>
      </c>
      <c r="L870" s="6">
        <v>18</v>
      </c>
      <c r="M870" s="7">
        <v>264.60000000000002</v>
      </c>
      <c r="O870" s="9">
        <v>426</v>
      </c>
      <c r="P870" s="141"/>
      <c r="Q870" s="95"/>
      <c r="R870" s="12">
        <v>2500</v>
      </c>
      <c r="S870" s="12">
        <f t="shared" si="73"/>
        <v>661500</v>
      </c>
      <c r="T870" s="33"/>
      <c r="U870" s="34"/>
      <c r="V870" s="15">
        <v>6566</v>
      </c>
      <c r="W870" s="16">
        <f t="shared" si="74"/>
        <v>2797116</v>
      </c>
      <c r="Z870" s="18">
        <f t="shared" si="72"/>
        <v>2135616</v>
      </c>
    </row>
    <row r="871" spans="1:26" ht="16" customHeight="1" x14ac:dyDescent="0.45">
      <c r="A871" s="1">
        <v>2510</v>
      </c>
      <c r="B871" s="2">
        <v>45958</v>
      </c>
      <c r="C871" s="24"/>
      <c r="D871" s="4" t="s">
        <v>37</v>
      </c>
      <c r="E871" s="5" t="s">
        <v>28</v>
      </c>
      <c r="G871" s="5" t="s">
        <v>28</v>
      </c>
      <c r="H871" s="19" t="s">
        <v>38</v>
      </c>
      <c r="I871" s="19" t="s">
        <v>39</v>
      </c>
      <c r="K871" s="73" t="s">
        <v>551</v>
      </c>
      <c r="L871" s="6">
        <v>24</v>
      </c>
      <c r="M871" s="7">
        <v>458.4</v>
      </c>
      <c r="O871" s="9">
        <v>707</v>
      </c>
      <c r="P871" s="141"/>
      <c r="Q871" s="95"/>
      <c r="R871" s="12">
        <v>2500</v>
      </c>
      <c r="S871" s="12">
        <f t="shared" si="73"/>
        <v>1146000</v>
      </c>
      <c r="T871" s="33"/>
      <c r="U871" s="34"/>
      <c r="V871" s="15">
        <v>6566</v>
      </c>
      <c r="W871" s="16">
        <f t="shared" si="74"/>
        <v>4642162</v>
      </c>
      <c r="Z871" s="18">
        <f t="shared" si="72"/>
        <v>3496162</v>
      </c>
    </row>
    <row r="872" spans="1:26" ht="16" customHeight="1" x14ac:dyDescent="0.45">
      <c r="A872" s="1">
        <v>2510</v>
      </c>
      <c r="B872" s="2">
        <v>45958</v>
      </c>
      <c r="C872" s="24"/>
      <c r="D872" s="4" t="s">
        <v>37</v>
      </c>
      <c r="E872" s="5" t="s">
        <v>28</v>
      </c>
      <c r="G872" s="5" t="s">
        <v>28</v>
      </c>
      <c r="H872" s="19" t="s">
        <v>38</v>
      </c>
      <c r="I872" s="19" t="s">
        <v>39</v>
      </c>
      <c r="K872" s="73" t="s">
        <v>552</v>
      </c>
      <c r="L872" s="6">
        <v>24</v>
      </c>
      <c r="M872" s="7">
        <v>458.2</v>
      </c>
      <c r="O872" s="9">
        <v>695</v>
      </c>
      <c r="P872" s="141"/>
      <c r="Q872" s="95"/>
      <c r="R872" s="12">
        <v>2500</v>
      </c>
      <c r="S872" s="12">
        <f t="shared" si="73"/>
        <v>1145500</v>
      </c>
      <c r="T872" s="33"/>
      <c r="U872" s="34"/>
      <c r="V872" s="15">
        <v>6566</v>
      </c>
      <c r="W872" s="16">
        <f t="shared" si="74"/>
        <v>4563370</v>
      </c>
      <c r="Z872" s="18">
        <f t="shared" si="72"/>
        <v>3417870</v>
      </c>
    </row>
    <row r="873" spans="1:26" ht="16" customHeight="1" x14ac:dyDescent="0.45">
      <c r="A873" s="1">
        <v>2510</v>
      </c>
      <c r="B873" s="2">
        <v>45958</v>
      </c>
      <c r="C873" s="24"/>
      <c r="D873" s="4" t="s">
        <v>37</v>
      </c>
      <c r="E873" s="5" t="s">
        <v>28</v>
      </c>
      <c r="G873" s="5" t="s">
        <v>28</v>
      </c>
      <c r="H873" s="19" t="s">
        <v>38</v>
      </c>
      <c r="I873" s="19" t="s">
        <v>39</v>
      </c>
      <c r="K873" s="73" t="s">
        <v>553</v>
      </c>
      <c r="L873" s="6">
        <v>24</v>
      </c>
      <c r="M873" s="7">
        <v>458.4</v>
      </c>
      <c r="O873" s="9">
        <v>691</v>
      </c>
      <c r="P873" s="141"/>
      <c r="Q873" s="95"/>
      <c r="R873" s="12">
        <v>2500</v>
      </c>
      <c r="S873" s="12">
        <f t="shared" si="73"/>
        <v>1146000</v>
      </c>
      <c r="T873" s="33"/>
      <c r="U873" s="34"/>
      <c r="V873" s="15">
        <v>6566</v>
      </c>
      <c r="W873" s="16">
        <f t="shared" si="74"/>
        <v>4537106</v>
      </c>
      <c r="Z873" s="18">
        <f t="shared" si="72"/>
        <v>3391106</v>
      </c>
    </row>
    <row r="874" spans="1:26" ht="16" customHeight="1" x14ac:dyDescent="0.45">
      <c r="A874" s="1">
        <v>2510</v>
      </c>
      <c r="B874" s="2">
        <v>45958</v>
      </c>
      <c r="C874" s="24"/>
      <c r="D874" s="4" t="s">
        <v>37</v>
      </c>
      <c r="E874" s="5" t="s">
        <v>28</v>
      </c>
      <c r="G874" s="5" t="s">
        <v>28</v>
      </c>
      <c r="H874" s="19" t="s">
        <v>38</v>
      </c>
      <c r="I874" s="19" t="s">
        <v>39</v>
      </c>
      <c r="K874" s="73" t="s">
        <v>554</v>
      </c>
      <c r="L874" s="6">
        <v>24</v>
      </c>
      <c r="M874" s="7">
        <v>447.4</v>
      </c>
      <c r="O874" s="9">
        <v>690</v>
      </c>
      <c r="P874" s="141"/>
      <c r="Q874" s="95"/>
      <c r="R874" s="12">
        <v>2500</v>
      </c>
      <c r="S874" s="12">
        <f t="shared" si="73"/>
        <v>1118500</v>
      </c>
      <c r="T874" s="33"/>
      <c r="U874" s="34"/>
      <c r="V874" s="15">
        <v>6566</v>
      </c>
      <c r="W874" s="16">
        <f t="shared" si="74"/>
        <v>4530540</v>
      </c>
      <c r="Z874" s="18">
        <f t="shared" si="72"/>
        <v>3412040</v>
      </c>
    </row>
    <row r="875" spans="1:26" ht="16" customHeight="1" x14ac:dyDescent="0.45">
      <c r="A875" s="1">
        <v>2510</v>
      </c>
      <c r="B875" s="2">
        <v>45958</v>
      </c>
      <c r="C875" s="24"/>
      <c r="D875" s="4" t="s">
        <v>37</v>
      </c>
      <c r="E875" s="5" t="s">
        <v>28</v>
      </c>
      <c r="G875" s="5" t="s">
        <v>28</v>
      </c>
      <c r="H875" s="19" t="s">
        <v>38</v>
      </c>
      <c r="I875" s="19" t="s">
        <v>39</v>
      </c>
      <c r="K875" s="73" t="s">
        <v>555</v>
      </c>
      <c r="L875" s="6">
        <v>25</v>
      </c>
      <c r="M875" s="7">
        <v>467.8</v>
      </c>
      <c r="O875" s="9">
        <v>698</v>
      </c>
      <c r="P875" s="141"/>
      <c r="Q875" s="95"/>
      <c r="R875" s="12">
        <v>2500</v>
      </c>
      <c r="S875" s="12">
        <f t="shared" si="73"/>
        <v>1169500</v>
      </c>
      <c r="T875" s="33"/>
      <c r="U875" s="34"/>
      <c r="V875" s="15">
        <v>6566</v>
      </c>
      <c r="W875" s="16">
        <f t="shared" si="74"/>
        <v>4583068</v>
      </c>
      <c r="Z875" s="18">
        <f t="shared" si="72"/>
        <v>3413568</v>
      </c>
    </row>
    <row r="876" spans="1:26" ht="16" customHeight="1" x14ac:dyDescent="0.45">
      <c r="A876" s="1">
        <v>2510</v>
      </c>
      <c r="B876" s="2">
        <v>45960</v>
      </c>
      <c r="C876" s="24"/>
      <c r="D876" s="4" t="s">
        <v>37</v>
      </c>
      <c r="E876" s="5" t="s">
        <v>28</v>
      </c>
      <c r="G876" s="5" t="s">
        <v>28</v>
      </c>
      <c r="H876" s="19" t="s">
        <v>38</v>
      </c>
      <c r="I876" s="19" t="s">
        <v>39</v>
      </c>
      <c r="K876" s="73" t="s">
        <v>72</v>
      </c>
      <c r="L876" s="6">
        <v>33</v>
      </c>
      <c r="M876" s="7">
        <v>480.7</v>
      </c>
      <c r="O876" s="9">
        <v>762</v>
      </c>
      <c r="P876" s="141"/>
      <c r="Q876" s="95"/>
      <c r="R876" s="12">
        <v>2500</v>
      </c>
      <c r="S876" s="12">
        <f t="shared" si="73"/>
        <v>1201750</v>
      </c>
      <c r="T876" s="33"/>
      <c r="U876" s="34"/>
      <c r="V876" s="15">
        <v>6566</v>
      </c>
      <c r="W876" s="16">
        <f t="shared" si="74"/>
        <v>5003292</v>
      </c>
      <c r="Z876" s="18">
        <f t="shared" si="72"/>
        <v>3801542</v>
      </c>
    </row>
    <row r="877" spans="1:26" ht="16" customHeight="1" x14ac:dyDescent="0.45">
      <c r="A877" s="1">
        <v>2510</v>
      </c>
      <c r="B877" s="2">
        <v>45960</v>
      </c>
      <c r="C877" s="24"/>
      <c r="D877" s="4" t="s">
        <v>37</v>
      </c>
      <c r="E877" s="5" t="s">
        <v>28</v>
      </c>
      <c r="G877" s="5" t="s">
        <v>28</v>
      </c>
      <c r="H877" s="19" t="s">
        <v>38</v>
      </c>
      <c r="I877" s="19" t="s">
        <v>39</v>
      </c>
      <c r="K877" s="73" t="s">
        <v>73</v>
      </c>
      <c r="L877" s="6">
        <v>33</v>
      </c>
      <c r="M877" s="7">
        <v>475.1</v>
      </c>
      <c r="O877" s="9">
        <v>768</v>
      </c>
      <c r="P877" s="141"/>
      <c r="Q877" s="95"/>
      <c r="R877" s="12">
        <v>2500</v>
      </c>
      <c r="S877" s="12">
        <f t="shared" si="73"/>
        <v>1187750</v>
      </c>
      <c r="T877" s="33"/>
      <c r="U877" s="34"/>
      <c r="V877" s="15">
        <v>6566</v>
      </c>
      <c r="W877" s="16">
        <f t="shared" si="74"/>
        <v>5042688</v>
      </c>
      <c r="Z877" s="18">
        <f t="shared" si="72"/>
        <v>3854938</v>
      </c>
    </row>
    <row r="878" spans="1:26" ht="16" customHeight="1" x14ac:dyDescent="0.45">
      <c r="A878" s="1">
        <v>2510</v>
      </c>
      <c r="B878" s="2">
        <v>45960</v>
      </c>
      <c r="C878" s="24"/>
      <c r="D878" s="4" t="s">
        <v>37</v>
      </c>
      <c r="E878" s="5" t="s">
        <v>28</v>
      </c>
      <c r="G878" s="5" t="s">
        <v>28</v>
      </c>
      <c r="H878" s="19" t="s">
        <v>38</v>
      </c>
      <c r="I878" s="19" t="s">
        <v>39</v>
      </c>
      <c r="K878" s="73" t="s">
        <v>106</v>
      </c>
      <c r="L878" s="6">
        <v>33</v>
      </c>
      <c r="M878" s="7">
        <v>480.2</v>
      </c>
      <c r="O878" s="9">
        <v>784</v>
      </c>
      <c r="P878" s="141"/>
      <c r="Q878" s="95"/>
      <c r="R878" s="12">
        <v>2500</v>
      </c>
      <c r="S878" s="12">
        <f t="shared" si="73"/>
        <v>1200500</v>
      </c>
      <c r="T878" s="33"/>
      <c r="U878" s="34"/>
      <c r="V878" s="15">
        <v>6566</v>
      </c>
      <c r="W878" s="16">
        <f t="shared" si="74"/>
        <v>5147744</v>
      </c>
      <c r="Z878" s="18">
        <f t="shared" si="72"/>
        <v>3947244</v>
      </c>
    </row>
    <row r="879" spans="1:26" ht="16" customHeight="1" x14ac:dyDescent="0.45">
      <c r="A879" s="1">
        <v>2510</v>
      </c>
      <c r="B879" s="2">
        <v>45960</v>
      </c>
      <c r="C879" s="24"/>
      <c r="D879" s="4" t="s">
        <v>37</v>
      </c>
      <c r="E879" s="5" t="s">
        <v>28</v>
      </c>
      <c r="G879" s="5" t="s">
        <v>28</v>
      </c>
      <c r="H879" s="19" t="s">
        <v>38</v>
      </c>
      <c r="I879" s="19" t="s">
        <v>39</v>
      </c>
      <c r="K879" s="73" t="s">
        <v>136</v>
      </c>
      <c r="L879" s="6">
        <v>33</v>
      </c>
      <c r="M879" s="7">
        <v>491.7</v>
      </c>
      <c r="O879" s="9">
        <v>773</v>
      </c>
      <c r="P879" s="141"/>
      <c r="Q879" s="95"/>
      <c r="R879" s="12">
        <v>2500</v>
      </c>
      <c r="S879" s="12">
        <f t="shared" si="73"/>
        <v>1229250</v>
      </c>
      <c r="T879" s="33"/>
      <c r="U879" s="34"/>
      <c r="V879" s="15">
        <v>6566</v>
      </c>
      <c r="W879" s="16">
        <f t="shared" si="74"/>
        <v>5075518</v>
      </c>
      <c r="Z879" s="18">
        <f t="shared" si="72"/>
        <v>3846268</v>
      </c>
    </row>
    <row r="880" spans="1:26" ht="16" customHeight="1" x14ac:dyDescent="0.45">
      <c r="A880" s="1">
        <v>2510</v>
      </c>
      <c r="B880" s="2">
        <v>45960</v>
      </c>
      <c r="C880" s="24"/>
      <c r="D880" s="4" t="s">
        <v>37</v>
      </c>
      <c r="E880" s="5" t="s">
        <v>28</v>
      </c>
      <c r="G880" s="5" t="s">
        <v>28</v>
      </c>
      <c r="H880" s="19" t="s">
        <v>38</v>
      </c>
      <c r="I880" s="19" t="s">
        <v>39</v>
      </c>
      <c r="K880" s="73" t="s">
        <v>107</v>
      </c>
      <c r="L880" s="6">
        <v>33</v>
      </c>
      <c r="M880" s="7">
        <v>485.5</v>
      </c>
      <c r="O880" s="9">
        <v>757</v>
      </c>
      <c r="P880" s="141"/>
      <c r="Q880" s="95"/>
      <c r="R880" s="12">
        <v>2500</v>
      </c>
      <c r="S880" s="12">
        <f t="shared" si="73"/>
        <v>1213750</v>
      </c>
      <c r="T880" s="33"/>
      <c r="U880" s="34"/>
      <c r="V880" s="15">
        <v>6566</v>
      </c>
      <c r="W880" s="16">
        <f t="shared" si="74"/>
        <v>4970462</v>
      </c>
      <c r="Z880" s="18">
        <f t="shared" si="72"/>
        <v>3756712</v>
      </c>
    </row>
    <row r="881" spans="1:31" ht="16" customHeight="1" x14ac:dyDescent="0.45">
      <c r="A881" s="1">
        <v>2510</v>
      </c>
      <c r="B881" s="2">
        <v>45960</v>
      </c>
      <c r="C881" s="24"/>
      <c r="D881" s="4" t="s">
        <v>37</v>
      </c>
      <c r="E881" s="5" t="s">
        <v>28</v>
      </c>
      <c r="G881" s="5" t="s">
        <v>28</v>
      </c>
      <c r="H881" s="19" t="s">
        <v>38</v>
      </c>
      <c r="I881" s="19" t="s">
        <v>39</v>
      </c>
      <c r="K881" s="73" t="s">
        <v>139</v>
      </c>
      <c r="L881" s="6">
        <v>15</v>
      </c>
      <c r="M881" s="7">
        <v>220.5</v>
      </c>
      <c r="O881" s="9">
        <v>359</v>
      </c>
      <c r="P881" s="141"/>
      <c r="Q881" s="95"/>
      <c r="R881" s="12">
        <v>2500</v>
      </c>
      <c r="S881" s="12">
        <f t="shared" si="73"/>
        <v>551250</v>
      </c>
      <c r="T881" s="33"/>
      <c r="U881" s="34"/>
      <c r="V881" s="15">
        <v>6566</v>
      </c>
      <c r="W881" s="16">
        <f t="shared" si="74"/>
        <v>2357194</v>
      </c>
      <c r="Z881" s="18">
        <f t="shared" si="72"/>
        <v>1805944</v>
      </c>
    </row>
    <row r="882" spans="1:31" ht="16" customHeight="1" x14ac:dyDescent="0.45">
      <c r="A882" s="1">
        <v>2510</v>
      </c>
      <c r="B882" s="2">
        <v>45960</v>
      </c>
      <c r="C882" s="24"/>
      <c r="D882" s="4" t="s">
        <v>37</v>
      </c>
      <c r="E882" s="5" t="s">
        <v>28</v>
      </c>
      <c r="G882" s="5" t="s">
        <v>28</v>
      </c>
      <c r="H882" s="19" t="s">
        <v>38</v>
      </c>
      <c r="I882" s="19" t="s">
        <v>39</v>
      </c>
      <c r="K882" s="73" t="s">
        <v>144</v>
      </c>
      <c r="L882" s="6">
        <v>33</v>
      </c>
      <c r="M882" s="7">
        <v>481.4</v>
      </c>
      <c r="O882" s="9">
        <v>783</v>
      </c>
      <c r="P882" s="141"/>
      <c r="Q882" s="95"/>
      <c r="R882" s="12">
        <v>2500</v>
      </c>
      <c r="S882" s="12">
        <f t="shared" si="73"/>
        <v>1203500</v>
      </c>
      <c r="T882" s="33"/>
      <c r="U882" s="34"/>
      <c r="V882" s="15">
        <v>6566</v>
      </c>
      <c r="W882" s="16">
        <f t="shared" si="74"/>
        <v>5141178</v>
      </c>
      <c r="Z882" s="18">
        <f t="shared" si="72"/>
        <v>3937678</v>
      </c>
    </row>
    <row r="883" spans="1:31" ht="16" customHeight="1" x14ac:dyDescent="0.45">
      <c r="A883" s="1">
        <v>2510</v>
      </c>
      <c r="B883" s="2">
        <v>45960</v>
      </c>
      <c r="C883" s="24"/>
      <c r="D883" s="4" t="s">
        <v>37</v>
      </c>
      <c r="E883" s="5" t="s">
        <v>28</v>
      </c>
      <c r="G883" s="5" t="s">
        <v>28</v>
      </c>
      <c r="H883" s="19" t="s">
        <v>38</v>
      </c>
      <c r="I883" s="19" t="s">
        <v>39</v>
      </c>
      <c r="K883" s="73" t="s">
        <v>145</v>
      </c>
      <c r="L883" s="6">
        <v>15</v>
      </c>
      <c r="M883" s="7">
        <v>225.7</v>
      </c>
      <c r="O883" s="9">
        <v>358</v>
      </c>
      <c r="P883" s="141"/>
      <c r="Q883" s="95"/>
      <c r="R883" s="12">
        <v>2500</v>
      </c>
      <c r="S883" s="12">
        <f t="shared" si="73"/>
        <v>564250</v>
      </c>
      <c r="T883" s="33"/>
      <c r="U883" s="34"/>
      <c r="V883" s="15">
        <v>6566</v>
      </c>
      <c r="W883" s="16">
        <f t="shared" si="74"/>
        <v>2350628</v>
      </c>
      <c r="Z883" s="18">
        <f t="shared" si="72"/>
        <v>1786378</v>
      </c>
    </row>
    <row r="884" spans="1:31" ht="16" customHeight="1" x14ac:dyDescent="0.45">
      <c r="A884" s="1">
        <v>2510</v>
      </c>
      <c r="B884" s="2">
        <v>45960</v>
      </c>
      <c r="C884" s="24"/>
      <c r="D884" s="4" t="s">
        <v>37</v>
      </c>
      <c r="E884" s="5" t="s">
        <v>28</v>
      </c>
      <c r="G884" s="5" t="s">
        <v>28</v>
      </c>
      <c r="H884" s="19" t="s">
        <v>38</v>
      </c>
      <c r="I884" s="19" t="s">
        <v>39</v>
      </c>
      <c r="K884" s="73" t="s">
        <v>556</v>
      </c>
      <c r="L884" s="6">
        <v>24</v>
      </c>
      <c r="M884" s="7">
        <v>435.7</v>
      </c>
      <c r="O884" s="9">
        <v>693</v>
      </c>
      <c r="P884" s="141"/>
      <c r="Q884" s="95"/>
      <c r="R884" s="12">
        <v>2500</v>
      </c>
      <c r="S884" s="12">
        <f t="shared" si="73"/>
        <v>1089250</v>
      </c>
      <c r="T884" s="33"/>
      <c r="U884" s="34"/>
      <c r="V884" s="15">
        <v>6566</v>
      </c>
      <c r="W884" s="16">
        <f t="shared" si="74"/>
        <v>4550238</v>
      </c>
      <c r="Z884" s="18">
        <f t="shared" si="72"/>
        <v>3460988</v>
      </c>
    </row>
    <row r="885" spans="1:31" ht="16" customHeight="1" x14ac:dyDescent="0.45">
      <c r="A885" s="1">
        <v>2510</v>
      </c>
      <c r="B885" s="2">
        <v>45960</v>
      </c>
      <c r="C885" s="24"/>
      <c r="D885" s="4" t="s">
        <v>37</v>
      </c>
      <c r="E885" s="5" t="s">
        <v>28</v>
      </c>
      <c r="G885" s="5" t="s">
        <v>28</v>
      </c>
      <c r="H885" s="19" t="s">
        <v>38</v>
      </c>
      <c r="I885" s="19" t="s">
        <v>39</v>
      </c>
      <c r="K885" s="73" t="s">
        <v>557</v>
      </c>
      <c r="L885" s="6">
        <v>24</v>
      </c>
      <c r="M885" s="7">
        <v>446.5</v>
      </c>
      <c r="O885" s="9">
        <v>700</v>
      </c>
      <c r="P885" s="141"/>
      <c r="Q885" s="95"/>
      <c r="R885" s="12">
        <v>2500</v>
      </c>
      <c r="S885" s="12">
        <f t="shared" si="73"/>
        <v>1116250</v>
      </c>
      <c r="T885" s="33"/>
      <c r="U885" s="34"/>
      <c r="V885" s="15">
        <v>6566</v>
      </c>
      <c r="W885" s="16">
        <f t="shared" si="74"/>
        <v>4596200</v>
      </c>
      <c r="Z885" s="18">
        <f t="shared" si="72"/>
        <v>3479950</v>
      </c>
    </row>
    <row r="886" spans="1:31" ht="16" customHeight="1" x14ac:dyDescent="0.45">
      <c r="A886" s="1">
        <v>2510</v>
      </c>
      <c r="B886" s="2">
        <v>45960</v>
      </c>
      <c r="C886" s="24"/>
      <c r="D886" s="4" t="s">
        <v>37</v>
      </c>
      <c r="E886" s="5" t="s">
        <v>28</v>
      </c>
      <c r="G886" s="5" t="s">
        <v>28</v>
      </c>
      <c r="H886" s="19" t="s">
        <v>38</v>
      </c>
      <c r="I886" s="19" t="s">
        <v>39</v>
      </c>
      <c r="K886" s="73" t="s">
        <v>558</v>
      </c>
      <c r="L886" s="6">
        <v>24</v>
      </c>
      <c r="M886" s="7">
        <v>451</v>
      </c>
      <c r="O886" s="9">
        <v>703</v>
      </c>
      <c r="P886" s="141"/>
      <c r="Q886" s="95"/>
      <c r="R886" s="12">
        <v>2500</v>
      </c>
      <c r="S886" s="12">
        <f t="shared" si="73"/>
        <v>1127500</v>
      </c>
      <c r="T886" s="33"/>
      <c r="U886" s="34"/>
      <c r="V886" s="15">
        <v>6566</v>
      </c>
      <c r="W886" s="16">
        <f t="shared" si="74"/>
        <v>4615898</v>
      </c>
      <c r="Z886" s="18">
        <f t="shared" si="72"/>
        <v>3488398</v>
      </c>
    </row>
    <row r="887" spans="1:31" s="21" customFormat="1" ht="16" customHeight="1" x14ac:dyDescent="0.45">
      <c r="A887" s="1">
        <v>2510</v>
      </c>
      <c r="B887" s="2">
        <v>45960</v>
      </c>
      <c r="C887" s="3"/>
      <c r="D887" s="4" t="s">
        <v>159</v>
      </c>
      <c r="E887" s="5"/>
      <c r="F887" s="5"/>
      <c r="G887" s="5" t="s">
        <v>28</v>
      </c>
      <c r="H887" s="19" t="s">
        <v>189</v>
      </c>
      <c r="I887" s="19"/>
      <c r="J887" s="19"/>
      <c r="K887" s="20"/>
      <c r="L887" s="6"/>
      <c r="M887" s="7"/>
      <c r="N887" s="8">
        <v>28957</v>
      </c>
      <c r="O887" s="9"/>
      <c r="P887" s="10"/>
      <c r="Q887" s="11"/>
      <c r="R887" s="12">
        <v>130</v>
      </c>
      <c r="S887" s="12">
        <f t="shared" ref="S887:S896" si="75">N887*R887</f>
        <v>3764410</v>
      </c>
      <c r="T887" s="13"/>
      <c r="U887" s="14"/>
      <c r="V887" s="15"/>
      <c r="W887" s="16"/>
      <c r="X887" s="12"/>
      <c r="Y887" s="17"/>
      <c r="Z887" s="18">
        <f t="shared" si="72"/>
        <v>-3764410</v>
      </c>
      <c r="AA887" s="17"/>
      <c r="AB887" s="17"/>
      <c r="AC887" s="17"/>
      <c r="AD887" s="17"/>
      <c r="AE887" s="17"/>
    </row>
    <row r="888" spans="1:31" ht="16" customHeight="1" x14ac:dyDescent="0.45">
      <c r="A888" s="1">
        <v>2510</v>
      </c>
      <c r="B888" s="2">
        <v>45950</v>
      </c>
      <c r="D888" s="4" t="s">
        <v>3</v>
      </c>
      <c r="E888" s="5" t="s">
        <v>211</v>
      </c>
      <c r="G888" s="5" t="s">
        <v>1</v>
      </c>
      <c r="H888" s="19" t="s">
        <v>2</v>
      </c>
      <c r="I888" s="19" t="s">
        <v>559</v>
      </c>
      <c r="K888" s="20">
        <v>2</v>
      </c>
      <c r="L888" s="6">
        <v>8</v>
      </c>
      <c r="M888" s="7">
        <v>91.3</v>
      </c>
      <c r="N888" s="8">
        <v>1379</v>
      </c>
      <c r="R888" s="12">
        <v>500</v>
      </c>
      <c r="S888" s="12">
        <f t="shared" si="75"/>
        <v>689500</v>
      </c>
      <c r="Z888" s="18">
        <f t="shared" si="72"/>
        <v>-689500</v>
      </c>
    </row>
    <row r="889" spans="1:31" ht="16" customHeight="1" x14ac:dyDescent="0.45">
      <c r="A889" s="1">
        <v>2510</v>
      </c>
      <c r="B889" s="2">
        <v>45950</v>
      </c>
      <c r="D889" s="4" t="s">
        <v>3</v>
      </c>
      <c r="E889" s="5" t="s">
        <v>211</v>
      </c>
      <c r="G889" s="5" t="s">
        <v>1</v>
      </c>
      <c r="H889" s="19" t="s">
        <v>2</v>
      </c>
      <c r="I889" s="19" t="s">
        <v>56</v>
      </c>
      <c r="K889" s="20">
        <v>28</v>
      </c>
      <c r="L889" s="6">
        <v>8</v>
      </c>
      <c r="M889" s="7">
        <v>93.2</v>
      </c>
      <c r="N889" s="8">
        <v>1454</v>
      </c>
      <c r="R889" s="12">
        <v>500</v>
      </c>
      <c r="S889" s="12">
        <f t="shared" si="75"/>
        <v>727000</v>
      </c>
      <c r="Z889" s="18">
        <f t="shared" si="72"/>
        <v>-727000</v>
      </c>
    </row>
    <row r="890" spans="1:31" ht="16" customHeight="1" x14ac:dyDescent="0.45">
      <c r="A890" s="1">
        <v>2510</v>
      </c>
      <c r="B890" s="2">
        <v>45950</v>
      </c>
      <c r="D890" s="4" t="s">
        <v>3</v>
      </c>
      <c r="E890" s="5" t="s">
        <v>211</v>
      </c>
      <c r="G890" s="5" t="s">
        <v>1</v>
      </c>
      <c r="H890" s="19" t="s">
        <v>2</v>
      </c>
      <c r="I890" s="19" t="s">
        <v>56</v>
      </c>
      <c r="K890" s="20">
        <v>30</v>
      </c>
      <c r="L890" s="6">
        <v>7</v>
      </c>
      <c r="M890" s="7">
        <v>90.8</v>
      </c>
      <c r="N890" s="8">
        <v>1392</v>
      </c>
      <c r="R890" s="12">
        <v>500</v>
      </c>
      <c r="S890" s="12">
        <f t="shared" si="75"/>
        <v>696000</v>
      </c>
      <c r="Z890" s="18">
        <f t="shared" si="72"/>
        <v>-696000</v>
      </c>
    </row>
    <row r="891" spans="1:31" s="21" customFormat="1" ht="16" customHeight="1" x14ac:dyDescent="0.45">
      <c r="A891" s="1">
        <v>2510</v>
      </c>
      <c r="B891" s="2">
        <v>45950</v>
      </c>
      <c r="C891" s="3"/>
      <c r="D891" s="4" t="s">
        <v>3</v>
      </c>
      <c r="E891" s="5" t="s">
        <v>211</v>
      </c>
      <c r="F891" s="5"/>
      <c r="G891" s="5" t="s">
        <v>1</v>
      </c>
      <c r="H891" s="19" t="s">
        <v>2</v>
      </c>
      <c r="I891" s="19" t="s">
        <v>36</v>
      </c>
      <c r="J891" s="19"/>
      <c r="K891" s="20">
        <v>4</v>
      </c>
      <c r="L891" s="6">
        <v>10</v>
      </c>
      <c r="M891" s="7">
        <v>123.7</v>
      </c>
      <c r="N891" s="8">
        <v>1814</v>
      </c>
      <c r="O891" s="9"/>
      <c r="P891" s="10"/>
      <c r="Q891" s="11"/>
      <c r="R891" s="12">
        <v>500</v>
      </c>
      <c r="S891" s="12">
        <f t="shared" si="75"/>
        <v>907000</v>
      </c>
      <c r="T891" s="13"/>
      <c r="U891" s="14"/>
      <c r="V891" s="15"/>
      <c r="W891" s="16"/>
      <c r="X891" s="12"/>
      <c r="Y891" s="17"/>
      <c r="Z891" s="18">
        <f t="shared" si="72"/>
        <v>-907000</v>
      </c>
      <c r="AA891" s="17"/>
      <c r="AB891" s="17"/>
      <c r="AC891" s="17"/>
      <c r="AD891" s="17"/>
      <c r="AE891" s="17"/>
    </row>
    <row r="892" spans="1:31" s="21" customFormat="1" ht="16" customHeight="1" x14ac:dyDescent="0.45">
      <c r="A892" s="1">
        <v>2510</v>
      </c>
      <c r="B892" s="2">
        <v>45950</v>
      </c>
      <c r="C892" s="3"/>
      <c r="D892" s="4" t="s">
        <v>3</v>
      </c>
      <c r="E892" s="5" t="s">
        <v>211</v>
      </c>
      <c r="F892" s="5"/>
      <c r="G892" s="5" t="s">
        <v>1</v>
      </c>
      <c r="H892" s="19" t="s">
        <v>2</v>
      </c>
      <c r="I892" s="19" t="s">
        <v>54</v>
      </c>
      <c r="J892" s="19"/>
      <c r="K892" s="20">
        <v>9</v>
      </c>
      <c r="L892" s="6">
        <v>5</v>
      </c>
      <c r="M892" s="7">
        <v>80.400000000000006</v>
      </c>
      <c r="N892" s="8">
        <v>1159</v>
      </c>
      <c r="O892" s="9"/>
      <c r="P892" s="10"/>
      <c r="Q892" s="11"/>
      <c r="R892" s="12">
        <v>500</v>
      </c>
      <c r="S892" s="12">
        <f t="shared" si="75"/>
        <v>579500</v>
      </c>
      <c r="T892" s="13"/>
      <c r="U892" s="14"/>
      <c r="V892" s="15"/>
      <c r="W892" s="16"/>
      <c r="X892" s="12"/>
      <c r="Y892" s="17"/>
      <c r="Z892" s="18">
        <f t="shared" si="72"/>
        <v>-579500</v>
      </c>
      <c r="AA892" s="17"/>
      <c r="AB892" s="17"/>
      <c r="AC892" s="17"/>
      <c r="AD892" s="17"/>
      <c r="AE892" s="17"/>
    </row>
    <row r="893" spans="1:31" ht="16" customHeight="1" x14ac:dyDescent="0.45">
      <c r="A893" s="1">
        <v>2510</v>
      </c>
      <c r="B893" s="2">
        <v>45957</v>
      </c>
      <c r="D893" s="4" t="s">
        <v>3</v>
      </c>
      <c r="E893" s="5" t="s">
        <v>211</v>
      </c>
      <c r="G893" s="5" t="s">
        <v>1</v>
      </c>
      <c r="H893" s="19" t="s">
        <v>2</v>
      </c>
      <c r="I893" s="19" t="s">
        <v>36</v>
      </c>
      <c r="K893" s="73">
        <v>5</v>
      </c>
      <c r="L893" s="6">
        <v>8</v>
      </c>
      <c r="M893" s="7">
        <v>121.8</v>
      </c>
      <c r="N893" s="8">
        <v>1801</v>
      </c>
      <c r="R893" s="12">
        <v>500</v>
      </c>
      <c r="S893" s="12">
        <f t="shared" si="75"/>
        <v>900500</v>
      </c>
      <c r="Z893" s="18">
        <f t="shared" si="72"/>
        <v>-900500</v>
      </c>
    </row>
    <row r="894" spans="1:31" ht="16" customHeight="1" x14ac:dyDescent="0.45">
      <c r="A894" s="1">
        <v>2510</v>
      </c>
      <c r="B894" s="2">
        <v>45957</v>
      </c>
      <c r="D894" s="4" t="s">
        <v>3</v>
      </c>
      <c r="E894" s="5" t="s">
        <v>211</v>
      </c>
      <c r="G894" s="5" t="s">
        <v>1</v>
      </c>
      <c r="H894" s="19" t="s">
        <v>2</v>
      </c>
      <c r="I894" s="19" t="s">
        <v>53</v>
      </c>
      <c r="K894" s="73">
        <v>40</v>
      </c>
      <c r="L894" s="6">
        <v>1</v>
      </c>
      <c r="M894" s="7">
        <v>15.9</v>
      </c>
      <c r="N894" s="8">
        <v>217</v>
      </c>
      <c r="R894" s="12">
        <v>550</v>
      </c>
      <c r="S894" s="12">
        <f t="shared" si="75"/>
        <v>119350</v>
      </c>
      <c r="T894" s="82"/>
      <c r="U894" s="83"/>
      <c r="Z894" s="18">
        <f t="shared" si="72"/>
        <v>-119350</v>
      </c>
    </row>
    <row r="895" spans="1:31" ht="16" customHeight="1" x14ac:dyDescent="0.45">
      <c r="A895" s="1">
        <v>2510</v>
      </c>
      <c r="B895" s="2">
        <v>45957</v>
      </c>
      <c r="D895" s="4" t="s">
        <v>3</v>
      </c>
      <c r="E895" s="5" t="s">
        <v>211</v>
      </c>
      <c r="G895" s="5" t="s">
        <v>1</v>
      </c>
      <c r="H895" s="19" t="s">
        <v>2</v>
      </c>
      <c r="I895" s="19" t="s">
        <v>160</v>
      </c>
      <c r="K895" s="73">
        <v>2</v>
      </c>
      <c r="L895" s="6">
        <v>1</v>
      </c>
      <c r="M895" s="7">
        <v>15.6</v>
      </c>
      <c r="N895" s="8">
        <v>230</v>
      </c>
      <c r="R895" s="12">
        <v>500</v>
      </c>
      <c r="S895" s="12">
        <f t="shared" si="75"/>
        <v>115000</v>
      </c>
      <c r="Z895" s="18">
        <f t="shared" si="72"/>
        <v>-115000</v>
      </c>
    </row>
    <row r="896" spans="1:31" ht="16" customHeight="1" x14ac:dyDescent="0.45">
      <c r="A896" s="1">
        <v>2510</v>
      </c>
      <c r="B896" s="2">
        <v>45957</v>
      </c>
      <c r="D896" s="4" t="s">
        <v>3</v>
      </c>
      <c r="E896" s="5" t="s">
        <v>211</v>
      </c>
      <c r="G896" s="5" t="s">
        <v>1</v>
      </c>
      <c r="H896" s="19" t="s">
        <v>2</v>
      </c>
      <c r="I896" s="19" t="s">
        <v>36</v>
      </c>
      <c r="K896" s="73">
        <v>6</v>
      </c>
      <c r="L896" s="6">
        <v>12</v>
      </c>
      <c r="M896" s="7">
        <v>108.2</v>
      </c>
      <c r="N896" s="8">
        <v>1565</v>
      </c>
      <c r="R896" s="12">
        <v>500</v>
      </c>
      <c r="S896" s="12">
        <f t="shared" si="75"/>
        <v>782500</v>
      </c>
      <c r="Z896" s="18">
        <f t="shared" si="72"/>
        <v>-782500</v>
      </c>
    </row>
    <row r="897" spans="1:31" s="21" customFormat="1" ht="16" customHeight="1" x14ac:dyDescent="0.45">
      <c r="A897" s="1">
        <v>2510</v>
      </c>
      <c r="B897" s="23">
        <v>45951</v>
      </c>
      <c r="C897" s="24"/>
      <c r="D897" s="25" t="s">
        <v>3</v>
      </c>
      <c r="E897" s="26" t="s">
        <v>1</v>
      </c>
      <c r="F897" s="26"/>
      <c r="G897" s="26" t="s">
        <v>1</v>
      </c>
      <c r="H897" s="27" t="s">
        <v>560</v>
      </c>
      <c r="I897" s="27" t="s">
        <v>53</v>
      </c>
      <c r="J897" s="27"/>
      <c r="K897" s="28"/>
      <c r="L897" s="29">
        <v>6</v>
      </c>
      <c r="M897" s="30">
        <v>47.9</v>
      </c>
      <c r="N897" s="31">
        <v>432</v>
      </c>
      <c r="O897" s="32">
        <v>395</v>
      </c>
      <c r="P897" s="91">
        <v>600</v>
      </c>
      <c r="Q897" s="92"/>
      <c r="R897" s="93">
        <v>850</v>
      </c>
      <c r="S897" s="93">
        <f>P897*R897</f>
        <v>510000</v>
      </c>
      <c r="T897" s="153">
        <f>Q897*S897</f>
        <v>0</v>
      </c>
      <c r="U897" s="153">
        <f>R897*T897</f>
        <v>0</v>
      </c>
      <c r="V897" s="35">
        <v>4750</v>
      </c>
      <c r="W897" s="36">
        <f>O897*V897</f>
        <v>1876250</v>
      </c>
      <c r="X897" s="93"/>
      <c r="Z897" s="18">
        <f t="shared" si="72"/>
        <v>1366250</v>
      </c>
      <c r="AA897" s="17"/>
      <c r="AB897" s="17"/>
      <c r="AC897" s="17"/>
      <c r="AD897" s="17"/>
      <c r="AE897" s="17"/>
    </row>
    <row r="898" spans="1:31" s="21" customFormat="1" ht="16" customHeight="1" x14ac:dyDescent="0.45">
      <c r="A898" s="1">
        <v>2510</v>
      </c>
      <c r="B898" s="23">
        <v>45951</v>
      </c>
      <c r="C898" s="24"/>
      <c r="D898" s="25" t="s">
        <v>3</v>
      </c>
      <c r="E898" s="26" t="s">
        <v>1</v>
      </c>
      <c r="F898" s="26"/>
      <c r="G898" s="26" t="s">
        <v>1</v>
      </c>
      <c r="H898" s="27" t="s">
        <v>560</v>
      </c>
      <c r="I898" s="27" t="s">
        <v>34</v>
      </c>
      <c r="J898" s="27"/>
      <c r="K898" s="28"/>
      <c r="L898" s="29">
        <v>6</v>
      </c>
      <c r="M898" s="30">
        <v>51</v>
      </c>
      <c r="N898" s="31">
        <v>504</v>
      </c>
      <c r="O898" s="32">
        <v>460</v>
      </c>
      <c r="P898" s="91">
        <v>600</v>
      </c>
      <c r="Q898" s="92"/>
      <c r="R898" s="93">
        <v>850</v>
      </c>
      <c r="S898" s="93">
        <f>P898*R898</f>
        <v>510000</v>
      </c>
      <c r="T898" s="33"/>
      <c r="U898" s="34"/>
      <c r="V898" s="35">
        <v>4750</v>
      </c>
      <c r="W898" s="36">
        <f>O898*V898</f>
        <v>2185000</v>
      </c>
      <c r="X898" s="93"/>
      <c r="Z898" s="18">
        <f t="shared" si="72"/>
        <v>1675000</v>
      </c>
      <c r="AA898" s="17"/>
      <c r="AB898" s="17"/>
      <c r="AC898" s="17"/>
      <c r="AD898" s="17"/>
      <c r="AE898" s="17"/>
    </row>
    <row r="899" spans="1:31" ht="16" customHeight="1" x14ac:dyDescent="0.45">
      <c r="A899" s="1">
        <v>2510</v>
      </c>
      <c r="B899" s="2">
        <v>45959</v>
      </c>
      <c r="D899" s="4" t="s">
        <v>3</v>
      </c>
      <c r="E899" s="5" t="s">
        <v>109</v>
      </c>
      <c r="G899" s="5" t="s">
        <v>109</v>
      </c>
      <c r="H899" s="19" t="s">
        <v>561</v>
      </c>
      <c r="L899" s="6">
        <v>1</v>
      </c>
      <c r="M899" s="7">
        <v>19.8</v>
      </c>
      <c r="N899" s="8">
        <v>102</v>
      </c>
      <c r="R899" s="12">
        <v>4800</v>
      </c>
      <c r="S899" s="12">
        <f>M899*R899</f>
        <v>95040</v>
      </c>
      <c r="Z899" s="18">
        <f t="shared" si="72"/>
        <v>-95040</v>
      </c>
    </row>
    <row r="900" spans="1:31" ht="16" customHeight="1" x14ac:dyDescent="0.45">
      <c r="A900" s="1">
        <v>2510</v>
      </c>
      <c r="B900" s="2">
        <v>45952</v>
      </c>
      <c r="D900" s="4" t="s">
        <v>223</v>
      </c>
      <c r="E900" s="5" t="s">
        <v>3</v>
      </c>
      <c r="G900" s="5" t="s">
        <v>1</v>
      </c>
      <c r="H900" s="19" t="s">
        <v>562</v>
      </c>
      <c r="K900" s="73"/>
      <c r="L900" s="6">
        <v>1</v>
      </c>
      <c r="M900" s="7">
        <v>22.6</v>
      </c>
      <c r="N900" s="8">
        <v>200</v>
      </c>
      <c r="R900" s="12">
        <v>10000</v>
      </c>
      <c r="S900" s="12">
        <f>M900*R900</f>
        <v>226000</v>
      </c>
      <c r="Z900" s="18">
        <f t="shared" si="72"/>
        <v>-226000</v>
      </c>
    </row>
    <row r="901" spans="1:31" ht="16" customHeight="1" x14ac:dyDescent="0.45">
      <c r="A901" s="1">
        <v>2510</v>
      </c>
      <c r="B901" s="23">
        <v>45959</v>
      </c>
      <c r="C901" s="24"/>
      <c r="D901" s="25" t="s">
        <v>109</v>
      </c>
      <c r="E901" s="26" t="s">
        <v>203</v>
      </c>
      <c r="F901" s="26"/>
      <c r="G901" s="26" t="s">
        <v>203</v>
      </c>
      <c r="H901" s="27" t="s">
        <v>467</v>
      </c>
      <c r="I901" s="27" t="s">
        <v>210</v>
      </c>
      <c r="J901" s="27"/>
      <c r="K901" s="28"/>
      <c r="L901" s="29">
        <v>6</v>
      </c>
      <c r="M901" s="30"/>
      <c r="N901" s="31">
        <v>1744</v>
      </c>
      <c r="O901" s="32"/>
      <c r="P901" s="91"/>
      <c r="Q901" s="92"/>
      <c r="R901" s="93"/>
      <c r="S901" s="93"/>
      <c r="T901" s="33"/>
      <c r="U901" s="34"/>
      <c r="V901" s="35">
        <v>1400</v>
      </c>
      <c r="W901" s="36">
        <f>N901*V901</f>
        <v>2441600</v>
      </c>
      <c r="X901" s="93"/>
      <c r="Y901" s="21"/>
      <c r="Z901" s="18">
        <f t="shared" si="72"/>
        <v>2441600</v>
      </c>
    </row>
    <row r="902" spans="1:31" ht="16" customHeight="1" x14ac:dyDescent="0.45">
      <c r="A902" s="1">
        <v>2510</v>
      </c>
      <c r="B902" s="2">
        <v>45960</v>
      </c>
      <c r="E902" s="5" t="s">
        <v>1</v>
      </c>
      <c r="G902" s="5" t="s">
        <v>1</v>
      </c>
      <c r="H902" s="19" t="s">
        <v>453</v>
      </c>
      <c r="I902" s="19" t="s">
        <v>14</v>
      </c>
      <c r="V902" s="15" t="s">
        <v>563</v>
      </c>
      <c r="W902" s="16">
        <v>-5052500</v>
      </c>
      <c r="Z902" s="18">
        <f t="shared" si="72"/>
        <v>-5052500</v>
      </c>
    </row>
    <row r="903" spans="1:31" ht="16" customHeight="1" x14ac:dyDescent="0.45">
      <c r="A903" s="1">
        <v>2510</v>
      </c>
      <c r="B903" s="2">
        <v>45960</v>
      </c>
      <c r="C903" s="24"/>
      <c r="E903" s="5" t="s">
        <v>31</v>
      </c>
      <c r="G903" s="5" t="s">
        <v>31</v>
      </c>
      <c r="H903" s="19" t="s">
        <v>188</v>
      </c>
      <c r="K903" s="73"/>
      <c r="P903" s="141"/>
      <c r="Q903" s="95"/>
      <c r="T903" s="33"/>
      <c r="U903" s="34"/>
      <c r="W903" s="16">
        <v>-2340850</v>
      </c>
      <c r="Z903" s="18">
        <f t="shared" si="72"/>
        <v>-2340850</v>
      </c>
    </row>
    <row r="904" spans="1:31" ht="16" customHeight="1" x14ac:dyDescent="0.45">
      <c r="A904" s="1">
        <v>2511</v>
      </c>
      <c r="B904" s="2">
        <v>45978</v>
      </c>
      <c r="D904" s="4" t="s">
        <v>564</v>
      </c>
      <c r="E904" s="5" t="s">
        <v>339</v>
      </c>
      <c r="G904" s="5" t="s">
        <v>28</v>
      </c>
      <c r="H904" s="19" t="s">
        <v>565</v>
      </c>
      <c r="L904" s="6">
        <v>664</v>
      </c>
      <c r="M904" s="7">
        <v>20465.400000000001</v>
      </c>
      <c r="P904" s="10">
        <v>2665</v>
      </c>
      <c r="Q904" s="11">
        <f>M904*P904</f>
        <v>54540291.000000007</v>
      </c>
      <c r="Z904" s="18">
        <f t="shared" si="72"/>
        <v>-54540291.000000007</v>
      </c>
    </row>
    <row r="905" spans="1:31" ht="16" customHeight="1" x14ac:dyDescent="0.45">
      <c r="A905" s="1">
        <v>2511</v>
      </c>
      <c r="B905" s="2">
        <v>45972</v>
      </c>
      <c r="D905" s="4" t="s">
        <v>0</v>
      </c>
      <c r="E905" s="5" t="s">
        <v>3</v>
      </c>
      <c r="G905" s="5" t="s">
        <v>1</v>
      </c>
      <c r="H905" s="19" t="s">
        <v>2</v>
      </c>
      <c r="L905" s="6">
        <v>2</v>
      </c>
      <c r="M905" s="7">
        <v>35</v>
      </c>
      <c r="R905" s="12">
        <v>3800</v>
      </c>
      <c r="S905" s="12">
        <f>M905*R905</f>
        <v>133000</v>
      </c>
      <c r="Z905" s="18">
        <f t="shared" si="72"/>
        <v>-133000</v>
      </c>
    </row>
    <row r="906" spans="1:31" ht="16" customHeight="1" x14ac:dyDescent="0.45">
      <c r="A906" s="1">
        <v>2511</v>
      </c>
      <c r="B906" s="2">
        <v>45981</v>
      </c>
      <c r="D906" s="4" t="s">
        <v>0</v>
      </c>
      <c r="E906" s="5" t="s">
        <v>3</v>
      </c>
      <c r="G906" s="5" t="s">
        <v>1</v>
      </c>
      <c r="H906" s="19" t="s">
        <v>2</v>
      </c>
      <c r="L906" s="6">
        <v>6</v>
      </c>
      <c r="M906" s="7">
        <v>105</v>
      </c>
      <c r="R906" s="12">
        <v>3800</v>
      </c>
      <c r="S906" s="12">
        <f>M906*R906</f>
        <v>399000</v>
      </c>
      <c r="Z906" s="18">
        <f t="shared" si="72"/>
        <v>-399000</v>
      </c>
    </row>
    <row r="907" spans="1:31" s="21" customFormat="1" ht="16" customHeight="1" x14ac:dyDescent="0.45">
      <c r="A907" s="1">
        <v>2511</v>
      </c>
      <c r="B907" s="2" t="s">
        <v>566</v>
      </c>
      <c r="C907" s="3"/>
      <c r="D907" s="4" t="s">
        <v>368</v>
      </c>
      <c r="E907" s="5"/>
      <c r="F907" s="5"/>
      <c r="G907" s="5" t="s">
        <v>1</v>
      </c>
      <c r="H907" s="19" t="s">
        <v>567</v>
      </c>
      <c r="I907" s="19"/>
      <c r="J907" s="19"/>
      <c r="K907" s="20"/>
      <c r="L907" s="6">
        <v>7</v>
      </c>
      <c r="M907" s="7"/>
      <c r="N907" s="8">
        <v>3281</v>
      </c>
      <c r="O907" s="9"/>
      <c r="P907" s="10"/>
      <c r="Q907" s="11"/>
      <c r="R907" s="12">
        <v>650</v>
      </c>
      <c r="S907" s="12">
        <f>N907*R907</f>
        <v>2132650</v>
      </c>
      <c r="T907" s="13"/>
      <c r="U907" s="14"/>
      <c r="V907" s="15"/>
      <c r="W907" s="16"/>
      <c r="X907" s="12"/>
      <c r="Y907" s="17"/>
      <c r="Z907" s="18">
        <f t="shared" si="72"/>
        <v>-2132650</v>
      </c>
      <c r="AA907" s="17"/>
      <c r="AB907" s="17"/>
      <c r="AC907" s="17"/>
      <c r="AD907" s="17"/>
      <c r="AE907" s="17"/>
    </row>
    <row r="908" spans="1:31" s="21" customFormat="1" ht="16" customHeight="1" x14ac:dyDescent="0.45">
      <c r="A908" s="1">
        <v>2511</v>
      </c>
      <c r="B908" s="23">
        <v>45974</v>
      </c>
      <c r="C908" s="24"/>
      <c r="D908" s="25" t="s">
        <v>4</v>
      </c>
      <c r="E908" s="26" t="s">
        <v>5</v>
      </c>
      <c r="F908" s="26"/>
      <c r="G908" s="26" t="s">
        <v>5</v>
      </c>
      <c r="H908" s="27" t="s">
        <v>444</v>
      </c>
      <c r="I908" s="27" t="s">
        <v>25</v>
      </c>
      <c r="J908" s="27"/>
      <c r="K908" s="28">
        <v>138</v>
      </c>
      <c r="L908" s="29">
        <v>9</v>
      </c>
      <c r="M908" s="30"/>
      <c r="N908" s="31"/>
      <c r="O908" s="32">
        <v>839</v>
      </c>
      <c r="P908" s="91"/>
      <c r="Q908" s="92"/>
      <c r="R908" s="93">
        <v>130</v>
      </c>
      <c r="S908" s="93">
        <f>O908*R908</f>
        <v>109070</v>
      </c>
      <c r="T908" s="33"/>
      <c r="U908" s="34"/>
      <c r="V908" s="35">
        <v>6200</v>
      </c>
      <c r="W908" s="36">
        <f>O908*V908</f>
        <v>5201800</v>
      </c>
      <c r="X908" s="93"/>
      <c r="Z908" s="18">
        <f t="shared" si="72"/>
        <v>5092730</v>
      </c>
      <c r="AA908" s="17"/>
      <c r="AB908" s="17"/>
      <c r="AC908" s="17"/>
      <c r="AD908" s="17"/>
      <c r="AE908" s="17"/>
    </row>
    <row r="909" spans="1:31" ht="16" customHeight="1" x14ac:dyDescent="0.45">
      <c r="A909" s="1">
        <v>2511</v>
      </c>
      <c r="B909" s="2">
        <v>45968</v>
      </c>
      <c r="D909" s="4" t="s">
        <v>463</v>
      </c>
      <c r="E909" s="5" t="s">
        <v>37</v>
      </c>
      <c r="G909" s="5" t="s">
        <v>28</v>
      </c>
      <c r="H909" s="19" t="s">
        <v>568</v>
      </c>
      <c r="L909" s="6">
        <v>21</v>
      </c>
      <c r="M909" s="7">
        <v>411.8</v>
      </c>
      <c r="R909" s="12">
        <v>1800</v>
      </c>
      <c r="S909" s="12">
        <f>M909*R909</f>
        <v>741240</v>
      </c>
      <c r="Z909" s="18">
        <f t="shared" si="72"/>
        <v>-741240</v>
      </c>
    </row>
    <row r="910" spans="1:31" ht="16" customHeight="1" x14ac:dyDescent="0.45">
      <c r="A910" s="1">
        <v>2511</v>
      </c>
      <c r="B910" s="2">
        <v>45975</v>
      </c>
      <c r="D910" s="76" t="s">
        <v>463</v>
      </c>
      <c r="E910" s="5" t="s">
        <v>37</v>
      </c>
      <c r="G910" s="5" t="s">
        <v>28</v>
      </c>
      <c r="H910" s="19" t="s">
        <v>38</v>
      </c>
      <c r="L910" s="6">
        <v>48</v>
      </c>
      <c r="M910" s="7">
        <v>977</v>
      </c>
      <c r="R910" s="12">
        <v>2000</v>
      </c>
      <c r="S910" s="12">
        <f>M910*R910</f>
        <v>1954000</v>
      </c>
      <c r="Z910" s="18">
        <f t="shared" ref="Z910:Z973" si="76">W910-S910-Q910</f>
        <v>-1954000</v>
      </c>
    </row>
    <row r="911" spans="1:31" s="21" customFormat="1" ht="16" customHeight="1" x14ac:dyDescent="0.45">
      <c r="A911" s="1">
        <v>2511</v>
      </c>
      <c r="B911" s="2">
        <v>45968</v>
      </c>
      <c r="C911" s="3"/>
      <c r="D911" s="4" t="s">
        <v>463</v>
      </c>
      <c r="E911" s="5" t="s">
        <v>37</v>
      </c>
      <c r="F911" s="5"/>
      <c r="G911" s="5" t="s">
        <v>28</v>
      </c>
      <c r="H911" s="19" t="s">
        <v>38</v>
      </c>
      <c r="I911" s="19"/>
      <c r="J911" s="19"/>
      <c r="K911" s="20"/>
      <c r="L911" s="6">
        <v>122</v>
      </c>
      <c r="M911" s="7">
        <v>2516.6999999999998</v>
      </c>
      <c r="N911" s="8"/>
      <c r="O911" s="9"/>
      <c r="P911" s="10"/>
      <c r="Q911" s="11"/>
      <c r="R911" s="12">
        <v>2000</v>
      </c>
      <c r="S911" s="12">
        <f>M911*R911</f>
        <v>5033400</v>
      </c>
      <c r="T911" s="13"/>
      <c r="U911" s="14"/>
      <c r="V911" s="15"/>
      <c r="W911" s="16"/>
      <c r="X911" s="12"/>
      <c r="Y911" s="17"/>
      <c r="Z911" s="18">
        <f t="shared" si="76"/>
        <v>-5033400</v>
      </c>
      <c r="AA911" s="17"/>
      <c r="AB911" s="17"/>
      <c r="AC911" s="17"/>
      <c r="AD911" s="17"/>
      <c r="AE911" s="17"/>
    </row>
    <row r="912" spans="1:31" s="21" customFormat="1" ht="16" customHeight="1" x14ac:dyDescent="0.45">
      <c r="A912" s="1">
        <v>2511</v>
      </c>
      <c r="B912" s="2">
        <v>45981</v>
      </c>
      <c r="C912" s="3"/>
      <c r="D912" s="4" t="s">
        <v>463</v>
      </c>
      <c r="E912" s="5" t="s">
        <v>37</v>
      </c>
      <c r="F912" s="5"/>
      <c r="G912" s="5" t="s">
        <v>28</v>
      </c>
      <c r="H912" s="19" t="s">
        <v>568</v>
      </c>
      <c r="I912" s="19"/>
      <c r="J912" s="19"/>
      <c r="K912" s="20"/>
      <c r="L912" s="6">
        <v>20</v>
      </c>
      <c r="M912" s="7">
        <v>391.5</v>
      </c>
      <c r="N912" s="8"/>
      <c r="O912" s="9"/>
      <c r="P912" s="10"/>
      <c r="Q912" s="11"/>
      <c r="R912" s="12">
        <v>1800</v>
      </c>
      <c r="S912" s="12">
        <f>M912*R912</f>
        <v>704700</v>
      </c>
      <c r="T912" s="13"/>
      <c r="U912" s="14"/>
      <c r="V912" s="15"/>
      <c r="W912" s="16"/>
      <c r="X912" s="12"/>
      <c r="Y912" s="17"/>
      <c r="Z912" s="18">
        <f t="shared" si="76"/>
        <v>-704700</v>
      </c>
      <c r="AA912" s="17"/>
      <c r="AB912" s="17"/>
      <c r="AC912" s="17"/>
      <c r="AD912" s="17"/>
      <c r="AE912" s="17"/>
    </row>
    <row r="913" spans="1:31" ht="16" customHeight="1" x14ac:dyDescent="0.45">
      <c r="A913" s="1">
        <v>2511</v>
      </c>
      <c r="B913" s="2">
        <v>45989</v>
      </c>
      <c r="D913" s="4" t="s">
        <v>463</v>
      </c>
      <c r="E913" s="5" t="s">
        <v>37</v>
      </c>
      <c r="G913" s="5" t="s">
        <v>28</v>
      </c>
      <c r="H913" s="19" t="s">
        <v>38</v>
      </c>
      <c r="L913" s="6">
        <v>35</v>
      </c>
      <c r="M913" s="7">
        <v>706.4</v>
      </c>
      <c r="P913" s="141"/>
      <c r="Q913" s="95"/>
      <c r="R913" s="12">
        <v>2000</v>
      </c>
      <c r="S913" s="12">
        <f>M913*R913</f>
        <v>1412800</v>
      </c>
      <c r="Z913" s="18">
        <f t="shared" si="76"/>
        <v>-1412800</v>
      </c>
    </row>
    <row r="914" spans="1:31" s="21" customFormat="1" ht="16" customHeight="1" x14ac:dyDescent="0.45">
      <c r="A914" s="1">
        <v>2511</v>
      </c>
      <c r="B914" s="2">
        <v>45960</v>
      </c>
      <c r="C914" s="3"/>
      <c r="D914" s="4" t="s">
        <v>463</v>
      </c>
      <c r="E914" s="5"/>
      <c r="F914" s="5"/>
      <c r="G914" s="5" t="s">
        <v>28</v>
      </c>
      <c r="H914" s="19" t="s">
        <v>569</v>
      </c>
      <c r="I914" s="19"/>
      <c r="J914" s="19"/>
      <c r="K914" s="20"/>
      <c r="L914" s="6"/>
      <c r="M914" s="7">
        <v>750.51</v>
      </c>
      <c r="N914" s="8"/>
      <c r="O914" s="9"/>
      <c r="P914" s="10">
        <v>2405</v>
      </c>
      <c r="Q914" s="11">
        <f>M914*P914</f>
        <v>1804976.55</v>
      </c>
      <c r="R914" s="12"/>
      <c r="S914" s="12"/>
      <c r="T914" s="13"/>
      <c r="U914" s="14"/>
      <c r="V914" s="15"/>
      <c r="W914" s="16"/>
      <c r="X914" s="12"/>
      <c r="Y914" s="17"/>
      <c r="Z914" s="18">
        <f t="shared" si="76"/>
        <v>-1804976.55</v>
      </c>
      <c r="AA914" s="17"/>
      <c r="AB914" s="17"/>
      <c r="AC914" s="17"/>
      <c r="AD914" s="17"/>
      <c r="AE914" s="17"/>
    </row>
    <row r="915" spans="1:31" s="21" customFormat="1" ht="16" customHeight="1" x14ac:dyDescent="0.45">
      <c r="A915" s="1">
        <v>2511</v>
      </c>
      <c r="B915" s="23">
        <v>45966</v>
      </c>
      <c r="C915" s="24"/>
      <c r="D915" s="25" t="s">
        <v>10</v>
      </c>
      <c r="E915" s="26" t="s">
        <v>19</v>
      </c>
      <c r="F915" s="26"/>
      <c r="G915" s="26" t="s">
        <v>19</v>
      </c>
      <c r="H915" s="27" t="s">
        <v>20</v>
      </c>
      <c r="I915" s="27" t="s">
        <v>21</v>
      </c>
      <c r="J915" s="27"/>
      <c r="K915" s="28"/>
      <c r="L915" s="29">
        <v>7</v>
      </c>
      <c r="M915" s="30"/>
      <c r="N915" s="31"/>
      <c r="O915" s="32">
        <v>6032</v>
      </c>
      <c r="P915" s="91"/>
      <c r="Q915" s="92"/>
      <c r="R915" s="93">
        <v>1850</v>
      </c>
      <c r="S915" s="93">
        <f>O915*R915</f>
        <v>11159200</v>
      </c>
      <c r="T915" s="33"/>
      <c r="U915" s="34"/>
      <c r="V915" s="35">
        <v>3595</v>
      </c>
      <c r="W915" s="36">
        <f>O915*V915</f>
        <v>21685040</v>
      </c>
      <c r="X915" s="93"/>
      <c r="Z915" s="18">
        <f t="shared" si="76"/>
        <v>10525840</v>
      </c>
      <c r="AA915" s="17"/>
      <c r="AB915" s="17"/>
      <c r="AC915" s="17"/>
      <c r="AD915" s="17"/>
      <c r="AE915" s="17"/>
    </row>
    <row r="916" spans="1:31" s="21" customFormat="1" ht="16" customHeight="1" x14ac:dyDescent="0.45">
      <c r="A916" s="1">
        <v>2511</v>
      </c>
      <c r="B916" s="23">
        <v>45966</v>
      </c>
      <c r="C916" s="24"/>
      <c r="D916" s="25" t="s">
        <v>10</v>
      </c>
      <c r="E916" s="26" t="s">
        <v>19</v>
      </c>
      <c r="F916" s="26"/>
      <c r="G916" s="26" t="s">
        <v>19</v>
      </c>
      <c r="H916" s="27" t="s">
        <v>20</v>
      </c>
      <c r="I916" s="27" t="s">
        <v>65</v>
      </c>
      <c r="J916" s="27"/>
      <c r="K916" s="28"/>
      <c r="L916" s="29">
        <v>5</v>
      </c>
      <c r="M916" s="30"/>
      <c r="N916" s="31"/>
      <c r="O916" s="32">
        <v>4029</v>
      </c>
      <c r="P916" s="91"/>
      <c r="Q916" s="92"/>
      <c r="R916" s="93">
        <v>1850</v>
      </c>
      <c r="S916" s="93">
        <f>O916*R916</f>
        <v>7453650</v>
      </c>
      <c r="T916" s="33"/>
      <c r="U916" s="34"/>
      <c r="V916" s="35">
        <v>3595</v>
      </c>
      <c r="W916" s="36">
        <f>O916*V916</f>
        <v>14484255</v>
      </c>
      <c r="X916" s="93"/>
      <c r="Z916" s="18">
        <f t="shared" si="76"/>
        <v>7030605</v>
      </c>
      <c r="AA916" s="17"/>
      <c r="AB916" s="17"/>
      <c r="AC916" s="17"/>
      <c r="AD916" s="17"/>
      <c r="AE916" s="17"/>
    </row>
    <row r="917" spans="1:31" s="21" customFormat="1" ht="16" customHeight="1" x14ac:dyDescent="0.45">
      <c r="A917" s="1">
        <v>2511</v>
      </c>
      <c r="B917" s="23">
        <v>45979</v>
      </c>
      <c r="C917" s="24"/>
      <c r="D917" s="25" t="s">
        <v>10</v>
      </c>
      <c r="E917" s="26" t="s">
        <v>19</v>
      </c>
      <c r="F917" s="26"/>
      <c r="G917" s="26" t="s">
        <v>19</v>
      </c>
      <c r="H917" s="27" t="s">
        <v>20</v>
      </c>
      <c r="I917" s="27" t="s">
        <v>16</v>
      </c>
      <c r="J917" s="27"/>
      <c r="K917" s="28"/>
      <c r="L917" s="29">
        <v>6</v>
      </c>
      <c r="M917" s="30"/>
      <c r="N917" s="31"/>
      <c r="O917" s="32">
        <v>3999</v>
      </c>
      <c r="P917" s="91"/>
      <c r="Q917" s="92"/>
      <c r="R917" s="93">
        <v>1850</v>
      </c>
      <c r="S917" s="93">
        <f>O917*R917</f>
        <v>7398150</v>
      </c>
      <c r="T917" s="33"/>
      <c r="U917" s="34"/>
      <c r="V917" s="35">
        <v>3595</v>
      </c>
      <c r="W917" s="36">
        <f>O917*V917</f>
        <v>14376405</v>
      </c>
      <c r="X917" s="93"/>
      <c r="Z917" s="18">
        <f t="shared" si="76"/>
        <v>6978255</v>
      </c>
      <c r="AA917" s="17"/>
      <c r="AB917" s="17"/>
      <c r="AC917" s="17"/>
      <c r="AD917" s="17"/>
      <c r="AE917" s="17"/>
    </row>
    <row r="918" spans="1:31" ht="16" customHeight="1" x14ac:dyDescent="0.45">
      <c r="A918" s="1">
        <v>2511</v>
      </c>
      <c r="B918" s="23">
        <v>45979</v>
      </c>
      <c r="C918" s="24"/>
      <c r="D918" s="25" t="s">
        <v>10</v>
      </c>
      <c r="E918" s="26" t="s">
        <v>19</v>
      </c>
      <c r="F918" s="26"/>
      <c r="G918" s="26" t="s">
        <v>19</v>
      </c>
      <c r="H918" s="27" t="s">
        <v>20</v>
      </c>
      <c r="I918" s="27" t="s">
        <v>570</v>
      </c>
      <c r="J918" s="27"/>
      <c r="K918" s="28"/>
      <c r="L918" s="29">
        <v>1</v>
      </c>
      <c r="M918" s="30"/>
      <c r="N918" s="31"/>
      <c r="O918" s="32">
        <v>433</v>
      </c>
      <c r="P918" s="91"/>
      <c r="Q918" s="92"/>
      <c r="R918" s="93">
        <v>1850</v>
      </c>
      <c r="S918" s="93">
        <f>O918*R918</f>
        <v>801050</v>
      </c>
      <c r="T918" s="33"/>
      <c r="U918" s="34"/>
      <c r="V918" s="35">
        <v>3595</v>
      </c>
      <c r="W918" s="36">
        <f>O918*V918</f>
        <v>1556635</v>
      </c>
      <c r="X918" s="93"/>
      <c r="Y918" s="21"/>
      <c r="Z918" s="18">
        <f t="shared" si="76"/>
        <v>755585</v>
      </c>
    </row>
    <row r="919" spans="1:31" s="21" customFormat="1" ht="16" customHeight="1" x14ac:dyDescent="0.45">
      <c r="A919" s="1">
        <v>2511</v>
      </c>
      <c r="B919" s="2">
        <v>45967</v>
      </c>
      <c r="C919" s="3"/>
      <c r="D919" s="4" t="s">
        <v>22</v>
      </c>
      <c r="E919" s="5" t="s">
        <v>4</v>
      </c>
      <c r="F919" s="5"/>
      <c r="G919" s="5" t="s">
        <v>5</v>
      </c>
      <c r="H919" s="19" t="s">
        <v>6</v>
      </c>
      <c r="I919" s="19" t="s">
        <v>7</v>
      </c>
      <c r="J919" s="19"/>
      <c r="K919" s="20"/>
      <c r="L919" s="6"/>
      <c r="M919" s="7"/>
      <c r="N919" s="8">
        <v>931</v>
      </c>
      <c r="O919" s="9">
        <v>851</v>
      </c>
      <c r="P919" s="10"/>
      <c r="Q919" s="11"/>
      <c r="R919" s="12">
        <v>4450</v>
      </c>
      <c r="S919" s="12">
        <f t="shared" ref="S919:S927" si="77">N919*R919</f>
        <v>4142950</v>
      </c>
      <c r="T919" s="13"/>
      <c r="U919" s="14"/>
      <c r="V919" s="15"/>
      <c r="W919" s="16"/>
      <c r="X919" s="12"/>
      <c r="Y919" s="17"/>
      <c r="Z919" s="18">
        <f t="shared" si="76"/>
        <v>-4142950</v>
      </c>
      <c r="AA919" s="17"/>
      <c r="AB919" s="17"/>
      <c r="AC919" s="17"/>
      <c r="AD919" s="17"/>
      <c r="AE919" s="17"/>
    </row>
    <row r="920" spans="1:31" s="21" customFormat="1" ht="16" customHeight="1" x14ac:dyDescent="0.45">
      <c r="A920" s="1">
        <v>2511</v>
      </c>
      <c r="B920" s="23">
        <v>45987</v>
      </c>
      <c r="C920" s="24"/>
      <c r="D920" s="25" t="s">
        <v>66</v>
      </c>
      <c r="E920" s="26" t="s">
        <v>230</v>
      </c>
      <c r="F920" s="26"/>
      <c r="G920" s="26" t="s">
        <v>230</v>
      </c>
      <c r="H920" s="27" t="s">
        <v>231</v>
      </c>
      <c r="I920" s="27">
        <v>30607</v>
      </c>
      <c r="J920" s="27"/>
      <c r="K920" s="28"/>
      <c r="L920" s="29">
        <v>97</v>
      </c>
      <c r="M920" s="30"/>
      <c r="N920" s="31">
        <v>29308</v>
      </c>
      <c r="O920" s="32">
        <v>26799</v>
      </c>
      <c r="P920" s="91"/>
      <c r="Q920" s="92"/>
      <c r="R920" s="93">
        <v>800</v>
      </c>
      <c r="S920" s="93">
        <f t="shared" si="77"/>
        <v>23446400</v>
      </c>
      <c r="T920" s="33"/>
      <c r="U920" s="34"/>
      <c r="V920" s="35">
        <v>1312</v>
      </c>
      <c r="W920" s="36">
        <f t="shared" ref="W920:W925" si="78">O920*V920</f>
        <v>35160288</v>
      </c>
      <c r="X920" s="93"/>
      <c r="Z920" s="18">
        <f t="shared" si="76"/>
        <v>11713888</v>
      </c>
      <c r="AA920" s="17"/>
      <c r="AB920" s="17"/>
      <c r="AC920" s="17"/>
      <c r="AD920" s="17"/>
      <c r="AE920" s="17"/>
    </row>
    <row r="921" spans="1:31" s="21" customFormat="1" ht="16" customHeight="1" x14ac:dyDescent="0.45">
      <c r="A921" s="1">
        <v>2511</v>
      </c>
      <c r="B921" s="23">
        <v>45987</v>
      </c>
      <c r="C921" s="24"/>
      <c r="D921" s="25" t="s">
        <v>66</v>
      </c>
      <c r="E921" s="26" t="s">
        <v>230</v>
      </c>
      <c r="F921" s="26"/>
      <c r="G921" s="26" t="s">
        <v>230</v>
      </c>
      <c r="H921" s="27" t="s">
        <v>231</v>
      </c>
      <c r="I921" s="27">
        <v>94010</v>
      </c>
      <c r="J921" s="27"/>
      <c r="K921" s="28"/>
      <c r="L921" s="29">
        <v>24</v>
      </c>
      <c r="M921" s="30"/>
      <c r="N921" s="31">
        <v>6962</v>
      </c>
      <c r="O921" s="32">
        <v>6366</v>
      </c>
      <c r="P921" s="91"/>
      <c r="Q921" s="92"/>
      <c r="R921" s="93">
        <v>800</v>
      </c>
      <c r="S921" s="93">
        <f t="shared" si="77"/>
        <v>5569600</v>
      </c>
      <c r="T921" s="33"/>
      <c r="U921" s="34"/>
      <c r="V921" s="35">
        <v>1312</v>
      </c>
      <c r="W921" s="36">
        <f t="shared" si="78"/>
        <v>8352192</v>
      </c>
      <c r="X921" s="93"/>
      <c r="Z921" s="18">
        <f t="shared" si="76"/>
        <v>2782592</v>
      </c>
      <c r="AA921" s="17"/>
      <c r="AB921" s="17"/>
      <c r="AC921" s="17"/>
      <c r="AD921" s="17"/>
      <c r="AE921" s="17"/>
    </row>
    <row r="922" spans="1:31" s="21" customFormat="1" ht="16" customHeight="1" x14ac:dyDescent="0.45">
      <c r="A922" s="1">
        <v>2511</v>
      </c>
      <c r="B922" s="23">
        <v>45987</v>
      </c>
      <c r="C922" s="24"/>
      <c r="D922" s="25" t="s">
        <v>66</v>
      </c>
      <c r="E922" s="26" t="s">
        <v>230</v>
      </c>
      <c r="F922" s="26"/>
      <c r="G922" s="26" t="s">
        <v>230</v>
      </c>
      <c r="H922" s="27" t="s">
        <v>231</v>
      </c>
      <c r="I922" s="27">
        <v>80933</v>
      </c>
      <c r="J922" s="27"/>
      <c r="K922" s="28"/>
      <c r="L922" s="29">
        <v>7</v>
      </c>
      <c r="M922" s="30"/>
      <c r="N922" s="31">
        <v>2003</v>
      </c>
      <c r="O922" s="32">
        <v>1831</v>
      </c>
      <c r="P922" s="91"/>
      <c r="Q922" s="92"/>
      <c r="R922" s="93">
        <v>800</v>
      </c>
      <c r="S922" s="93">
        <f t="shared" si="77"/>
        <v>1602400</v>
      </c>
      <c r="T922" s="33"/>
      <c r="U922" s="34"/>
      <c r="V922" s="35">
        <v>1312</v>
      </c>
      <c r="W922" s="36">
        <f t="shared" si="78"/>
        <v>2402272</v>
      </c>
      <c r="X922" s="93"/>
      <c r="Z922" s="18">
        <f t="shared" si="76"/>
        <v>799872</v>
      </c>
      <c r="AA922" s="17"/>
      <c r="AB922" s="17"/>
      <c r="AC922" s="17"/>
      <c r="AD922" s="17"/>
      <c r="AE922" s="17"/>
    </row>
    <row r="923" spans="1:31" s="21" customFormat="1" ht="16" customHeight="1" x14ac:dyDescent="0.45">
      <c r="A923" s="1">
        <v>2511</v>
      </c>
      <c r="B923" s="23">
        <v>45987</v>
      </c>
      <c r="C923" s="24"/>
      <c r="D923" s="25" t="s">
        <v>66</v>
      </c>
      <c r="E923" s="26" t="s">
        <v>230</v>
      </c>
      <c r="F923" s="26"/>
      <c r="G923" s="26" t="s">
        <v>230</v>
      </c>
      <c r="H923" s="27" t="s">
        <v>231</v>
      </c>
      <c r="I923" s="27">
        <v>30912</v>
      </c>
      <c r="J923" s="27"/>
      <c r="K923" s="28"/>
      <c r="L923" s="29">
        <v>4</v>
      </c>
      <c r="M923" s="30"/>
      <c r="N923" s="31">
        <v>1183</v>
      </c>
      <c r="O923" s="32">
        <v>1081</v>
      </c>
      <c r="P923" s="91"/>
      <c r="Q923" s="92"/>
      <c r="R923" s="93">
        <v>800</v>
      </c>
      <c r="S923" s="93">
        <f t="shared" si="77"/>
        <v>946400</v>
      </c>
      <c r="T923" s="33"/>
      <c r="U923" s="34"/>
      <c r="V923" s="35">
        <v>1312</v>
      </c>
      <c r="W923" s="36">
        <f t="shared" si="78"/>
        <v>1418272</v>
      </c>
      <c r="X923" s="93"/>
      <c r="Z923" s="18">
        <f t="shared" si="76"/>
        <v>471872</v>
      </c>
      <c r="AA923" s="17"/>
      <c r="AB923" s="17"/>
      <c r="AC923" s="17"/>
      <c r="AD923" s="17"/>
      <c r="AE923" s="17"/>
    </row>
    <row r="924" spans="1:31" ht="16" customHeight="1" x14ac:dyDescent="0.45">
      <c r="A924" s="1">
        <v>2511</v>
      </c>
      <c r="B924" s="23">
        <v>45987</v>
      </c>
      <c r="C924" s="24"/>
      <c r="D924" s="25" t="s">
        <v>66</v>
      </c>
      <c r="E924" s="26" t="s">
        <v>230</v>
      </c>
      <c r="F924" s="26"/>
      <c r="G924" s="26" t="s">
        <v>230</v>
      </c>
      <c r="H924" s="27" t="s">
        <v>231</v>
      </c>
      <c r="I924" s="27">
        <v>90840</v>
      </c>
      <c r="J924" s="27"/>
      <c r="K924" s="28"/>
      <c r="L924" s="29">
        <v>18</v>
      </c>
      <c r="M924" s="30"/>
      <c r="N924" s="31">
        <v>5221</v>
      </c>
      <c r="O924" s="32">
        <v>4774</v>
      </c>
      <c r="P924" s="91"/>
      <c r="Q924" s="92"/>
      <c r="R924" s="93">
        <v>800</v>
      </c>
      <c r="S924" s="93">
        <f t="shared" si="77"/>
        <v>4176800</v>
      </c>
      <c r="T924" s="33"/>
      <c r="U924" s="34"/>
      <c r="V924" s="35">
        <v>1312</v>
      </c>
      <c r="W924" s="36">
        <f t="shared" si="78"/>
        <v>6263488</v>
      </c>
      <c r="X924" s="93"/>
      <c r="Y924" s="21"/>
      <c r="Z924" s="18">
        <f t="shared" si="76"/>
        <v>2086688</v>
      </c>
    </row>
    <row r="925" spans="1:31" ht="16" customHeight="1" x14ac:dyDescent="0.45">
      <c r="A925" s="1">
        <v>2511</v>
      </c>
      <c r="B925" s="23">
        <v>45987</v>
      </c>
      <c r="C925" s="24"/>
      <c r="D925" s="25" t="s">
        <v>66</v>
      </c>
      <c r="E925" s="26" t="s">
        <v>230</v>
      </c>
      <c r="F925" s="26"/>
      <c r="G925" s="26" t="s">
        <v>230</v>
      </c>
      <c r="H925" s="27" t="s">
        <v>231</v>
      </c>
      <c r="I925" s="27">
        <v>94006</v>
      </c>
      <c r="J925" s="27"/>
      <c r="K925" s="28"/>
      <c r="L925" s="29">
        <v>11</v>
      </c>
      <c r="M925" s="30"/>
      <c r="N925" s="31">
        <v>3203</v>
      </c>
      <c r="O925" s="32">
        <v>2928</v>
      </c>
      <c r="P925" s="91"/>
      <c r="Q925" s="92"/>
      <c r="R925" s="93">
        <v>800</v>
      </c>
      <c r="S925" s="93">
        <f t="shared" si="77"/>
        <v>2562400</v>
      </c>
      <c r="T925" s="33"/>
      <c r="U925" s="34"/>
      <c r="V925" s="35">
        <v>1312</v>
      </c>
      <c r="W925" s="36">
        <f t="shared" si="78"/>
        <v>3841536</v>
      </c>
      <c r="X925" s="93"/>
      <c r="Y925" s="21"/>
      <c r="Z925" s="18">
        <f t="shared" si="76"/>
        <v>1279136</v>
      </c>
    </row>
    <row r="926" spans="1:31" ht="16" customHeight="1" x14ac:dyDescent="0.45">
      <c r="A926" s="1">
        <v>2511</v>
      </c>
      <c r="B926" s="23">
        <v>45980</v>
      </c>
      <c r="C926" s="24"/>
      <c r="D926" s="25" t="s">
        <v>66</v>
      </c>
      <c r="E926" s="26" t="s">
        <v>117</v>
      </c>
      <c r="F926" s="26"/>
      <c r="G926" s="26" t="s">
        <v>117</v>
      </c>
      <c r="H926" s="27" t="s">
        <v>172</v>
      </c>
      <c r="I926" s="27" t="s">
        <v>147</v>
      </c>
      <c r="J926" s="27"/>
      <c r="K926" s="28"/>
      <c r="L926" s="29">
        <v>13</v>
      </c>
      <c r="M926" s="30"/>
      <c r="N926" s="31">
        <v>4187</v>
      </c>
      <c r="O926" s="32"/>
      <c r="P926" s="91"/>
      <c r="Q926" s="92"/>
      <c r="R926" s="93">
        <v>800</v>
      </c>
      <c r="S926" s="93">
        <f t="shared" si="77"/>
        <v>3349600</v>
      </c>
      <c r="T926" s="33"/>
      <c r="U926" s="34"/>
      <c r="V926" s="35">
        <v>1030</v>
      </c>
      <c r="W926" s="36">
        <f>N926*V926</f>
        <v>4312610</v>
      </c>
      <c r="X926" s="93"/>
      <c r="Y926" s="21"/>
      <c r="Z926" s="18">
        <f t="shared" si="76"/>
        <v>963010</v>
      </c>
    </row>
    <row r="927" spans="1:31" ht="16" customHeight="1" x14ac:dyDescent="0.45">
      <c r="A927" s="1">
        <v>2511</v>
      </c>
      <c r="B927" s="2">
        <v>45979</v>
      </c>
      <c r="D927" s="4" t="s">
        <v>66</v>
      </c>
      <c r="E927" s="5" t="s">
        <v>109</v>
      </c>
      <c r="G927" s="5" t="s">
        <v>230</v>
      </c>
      <c r="H927" s="19" t="s">
        <v>172</v>
      </c>
      <c r="I927" s="19" t="s">
        <v>482</v>
      </c>
      <c r="L927" s="6">
        <v>5</v>
      </c>
      <c r="N927" s="8">
        <v>1483</v>
      </c>
      <c r="R927" s="12">
        <v>800</v>
      </c>
      <c r="S927" s="12">
        <f t="shared" si="77"/>
        <v>1186400</v>
      </c>
      <c r="Z927" s="18">
        <f t="shared" si="76"/>
        <v>-1186400</v>
      </c>
    </row>
    <row r="928" spans="1:31" ht="16" customHeight="1" x14ac:dyDescent="0.45">
      <c r="A928" s="1">
        <v>2511</v>
      </c>
      <c r="B928" s="2">
        <v>45975</v>
      </c>
      <c r="D928" s="4" t="s">
        <v>471</v>
      </c>
      <c r="E928" s="5" t="s">
        <v>571</v>
      </c>
      <c r="G928" s="5" t="s">
        <v>31</v>
      </c>
      <c r="H928" s="19" t="s">
        <v>365</v>
      </c>
      <c r="I928" s="19">
        <v>710</v>
      </c>
      <c r="M928" s="7">
        <v>100</v>
      </c>
      <c r="P928" s="141">
        <v>3750</v>
      </c>
      <c r="Q928" s="95">
        <f t="shared" ref="Q928:Q935" si="79">M928*P928</f>
        <v>375000</v>
      </c>
      <c r="Z928" s="18">
        <f t="shared" si="76"/>
        <v>-375000</v>
      </c>
    </row>
    <row r="929" spans="1:31" ht="16" customHeight="1" x14ac:dyDescent="0.45">
      <c r="A929" s="1">
        <v>2511</v>
      </c>
      <c r="B929" s="2">
        <v>45975</v>
      </c>
      <c r="D929" s="4" t="s">
        <v>471</v>
      </c>
      <c r="E929" s="5" t="s">
        <v>571</v>
      </c>
      <c r="G929" s="5" t="s">
        <v>31</v>
      </c>
      <c r="H929" s="19" t="s">
        <v>365</v>
      </c>
      <c r="I929" s="19">
        <v>452</v>
      </c>
      <c r="M929" s="7">
        <v>120</v>
      </c>
      <c r="P929" s="141">
        <v>3750</v>
      </c>
      <c r="Q929" s="95">
        <f t="shared" si="79"/>
        <v>450000</v>
      </c>
      <c r="Z929" s="18">
        <f t="shared" si="76"/>
        <v>-450000</v>
      </c>
    </row>
    <row r="930" spans="1:31" ht="16" customHeight="1" x14ac:dyDescent="0.45">
      <c r="A930" s="1">
        <v>2511</v>
      </c>
      <c r="B930" s="2">
        <v>45975</v>
      </c>
      <c r="D930" s="4" t="s">
        <v>471</v>
      </c>
      <c r="E930" s="5" t="s">
        <v>571</v>
      </c>
      <c r="G930" s="5" t="s">
        <v>31</v>
      </c>
      <c r="H930" s="19" t="s">
        <v>365</v>
      </c>
      <c r="I930" s="19">
        <v>801</v>
      </c>
      <c r="M930" s="7">
        <v>40</v>
      </c>
      <c r="P930" s="141">
        <v>3750</v>
      </c>
      <c r="Q930" s="95">
        <f t="shared" si="79"/>
        <v>150000</v>
      </c>
      <c r="Z930" s="18">
        <f t="shared" si="76"/>
        <v>-150000</v>
      </c>
    </row>
    <row r="931" spans="1:31" ht="16" customHeight="1" x14ac:dyDescent="0.45">
      <c r="A931" s="1">
        <v>2511</v>
      </c>
      <c r="B931" s="2">
        <v>45975</v>
      </c>
      <c r="D931" s="4" t="s">
        <v>471</v>
      </c>
      <c r="E931" s="5" t="s">
        <v>571</v>
      </c>
      <c r="G931" s="5" t="s">
        <v>31</v>
      </c>
      <c r="H931" s="19" t="s">
        <v>365</v>
      </c>
      <c r="I931" s="19">
        <v>704</v>
      </c>
      <c r="M931" s="7">
        <v>20</v>
      </c>
      <c r="P931" s="141">
        <v>3750</v>
      </c>
      <c r="Q931" s="95">
        <f t="shared" si="79"/>
        <v>75000</v>
      </c>
      <c r="Z931" s="18">
        <f t="shared" si="76"/>
        <v>-75000</v>
      </c>
    </row>
    <row r="932" spans="1:31" ht="16" customHeight="1" x14ac:dyDescent="0.45">
      <c r="A932" s="1">
        <v>2511</v>
      </c>
      <c r="B932" s="2">
        <v>45975</v>
      </c>
      <c r="D932" s="4" t="s">
        <v>471</v>
      </c>
      <c r="E932" s="5" t="s">
        <v>571</v>
      </c>
      <c r="G932" s="5" t="s">
        <v>31</v>
      </c>
      <c r="H932" s="19" t="s">
        <v>365</v>
      </c>
      <c r="I932" s="19">
        <v>421</v>
      </c>
      <c r="M932" s="7">
        <v>80</v>
      </c>
      <c r="P932" s="141">
        <v>3750</v>
      </c>
      <c r="Q932" s="95">
        <f t="shared" si="79"/>
        <v>300000</v>
      </c>
      <c r="Z932" s="18">
        <f t="shared" si="76"/>
        <v>-300000</v>
      </c>
    </row>
    <row r="933" spans="1:31" ht="16" customHeight="1" x14ac:dyDescent="0.45">
      <c r="A933" s="1">
        <v>2511</v>
      </c>
      <c r="B933" s="2">
        <v>45975</v>
      </c>
      <c r="D933" s="4" t="s">
        <v>471</v>
      </c>
      <c r="E933" s="5" t="s">
        <v>571</v>
      </c>
      <c r="G933" s="5" t="s">
        <v>31</v>
      </c>
      <c r="H933" s="19" t="s">
        <v>365</v>
      </c>
      <c r="I933" s="19">
        <v>703</v>
      </c>
      <c r="M933" s="7">
        <v>40</v>
      </c>
      <c r="P933" s="141">
        <v>3750</v>
      </c>
      <c r="Q933" s="95">
        <f t="shared" si="79"/>
        <v>150000</v>
      </c>
      <c r="Z933" s="18">
        <f t="shared" si="76"/>
        <v>-150000</v>
      </c>
    </row>
    <row r="934" spans="1:31" ht="16" customHeight="1" x14ac:dyDescent="0.45">
      <c r="A934" s="1">
        <v>2511</v>
      </c>
      <c r="B934" s="2">
        <v>45975</v>
      </c>
      <c r="D934" s="4" t="s">
        <v>471</v>
      </c>
      <c r="E934" s="5" t="s">
        <v>571</v>
      </c>
      <c r="G934" s="5" t="s">
        <v>31</v>
      </c>
      <c r="H934" s="19" t="s">
        <v>365</v>
      </c>
      <c r="I934" s="19">
        <v>708</v>
      </c>
      <c r="M934" s="7">
        <v>20</v>
      </c>
      <c r="P934" s="141">
        <v>3950</v>
      </c>
      <c r="Q934" s="95">
        <f t="shared" si="79"/>
        <v>79000</v>
      </c>
      <c r="Z934" s="18">
        <f t="shared" si="76"/>
        <v>-79000</v>
      </c>
    </row>
    <row r="935" spans="1:31" ht="16" customHeight="1" x14ac:dyDescent="0.45">
      <c r="A935" s="1">
        <v>2511</v>
      </c>
      <c r="B935" s="2">
        <v>45967</v>
      </c>
      <c r="D935" s="4" t="s">
        <v>80</v>
      </c>
      <c r="E935" s="5" t="s">
        <v>30</v>
      </c>
      <c r="G935" s="5" t="s">
        <v>31</v>
      </c>
      <c r="H935" s="19" t="s">
        <v>81</v>
      </c>
      <c r="L935" s="6">
        <v>3</v>
      </c>
      <c r="M935" s="7">
        <v>1548</v>
      </c>
      <c r="P935" s="141">
        <v>2304</v>
      </c>
      <c r="Q935" s="95">
        <f t="shared" si="79"/>
        <v>3566592</v>
      </c>
      <c r="Z935" s="18">
        <f t="shared" si="76"/>
        <v>-3566592</v>
      </c>
    </row>
    <row r="936" spans="1:31" ht="16" customHeight="1" x14ac:dyDescent="0.45">
      <c r="A936" s="1">
        <v>2511</v>
      </c>
      <c r="B936" s="23">
        <v>45975</v>
      </c>
      <c r="C936" s="24"/>
      <c r="D936" s="89" t="s">
        <v>211</v>
      </c>
      <c r="E936" s="26" t="s">
        <v>1</v>
      </c>
      <c r="F936" s="26"/>
      <c r="G936" s="26" t="s">
        <v>1</v>
      </c>
      <c r="H936" s="27" t="s">
        <v>383</v>
      </c>
      <c r="I936" s="27" t="s">
        <v>572</v>
      </c>
      <c r="J936" s="27"/>
      <c r="K936" s="28"/>
      <c r="L936" s="29">
        <v>1</v>
      </c>
      <c r="M936" s="30"/>
      <c r="N936" s="31"/>
      <c r="O936" s="32">
        <v>222</v>
      </c>
      <c r="P936" s="91"/>
      <c r="Q936" s="92"/>
      <c r="R936" s="93">
        <v>2350</v>
      </c>
      <c r="S936" s="93">
        <f t="shared" ref="S936:S943" si="80">O936*R936</f>
        <v>521700</v>
      </c>
      <c r="T936" s="33"/>
      <c r="U936" s="34"/>
      <c r="V936" s="35">
        <v>4700</v>
      </c>
      <c r="W936" s="36">
        <f t="shared" ref="W936:W943" si="81">O936*V936</f>
        <v>1043400</v>
      </c>
      <c r="X936" s="93"/>
      <c r="Y936" s="21"/>
      <c r="Z936" s="18">
        <f t="shared" si="76"/>
        <v>521700</v>
      </c>
    </row>
    <row r="937" spans="1:31" ht="16" customHeight="1" x14ac:dyDescent="0.45">
      <c r="A937" s="1">
        <v>2511</v>
      </c>
      <c r="B937" s="23">
        <v>45969</v>
      </c>
      <c r="C937" s="24"/>
      <c r="D937" s="25" t="s">
        <v>211</v>
      </c>
      <c r="E937" s="26" t="s">
        <v>1</v>
      </c>
      <c r="F937" s="26"/>
      <c r="G937" s="26" t="s">
        <v>1</v>
      </c>
      <c r="H937" s="27" t="s">
        <v>383</v>
      </c>
      <c r="I937" s="27" t="s">
        <v>63</v>
      </c>
      <c r="J937" s="27"/>
      <c r="K937" s="38" t="s">
        <v>573</v>
      </c>
      <c r="L937" s="29">
        <v>5</v>
      </c>
      <c r="M937" s="30"/>
      <c r="N937" s="31"/>
      <c r="O937" s="32">
        <v>1657</v>
      </c>
      <c r="P937" s="91"/>
      <c r="Q937" s="92"/>
      <c r="R937" s="93">
        <v>2350</v>
      </c>
      <c r="S937" s="93">
        <f t="shared" si="80"/>
        <v>3893950</v>
      </c>
      <c r="T937" s="33"/>
      <c r="U937" s="34"/>
      <c r="V937" s="35">
        <v>4700</v>
      </c>
      <c r="W937" s="36">
        <f t="shared" si="81"/>
        <v>7787900</v>
      </c>
      <c r="X937" s="93"/>
      <c r="Y937" s="21"/>
      <c r="Z937" s="18">
        <f t="shared" si="76"/>
        <v>3893950</v>
      </c>
    </row>
    <row r="938" spans="1:31" ht="16" customHeight="1" x14ac:dyDescent="0.45">
      <c r="A938" s="1">
        <v>2511</v>
      </c>
      <c r="B938" s="23">
        <v>45965</v>
      </c>
      <c r="C938" s="24"/>
      <c r="D938" s="25" t="s">
        <v>211</v>
      </c>
      <c r="E938" s="26" t="s">
        <v>1</v>
      </c>
      <c r="F938" s="26"/>
      <c r="G938" s="26" t="s">
        <v>1</v>
      </c>
      <c r="H938" s="27" t="s">
        <v>383</v>
      </c>
      <c r="I938" s="27" t="s">
        <v>16</v>
      </c>
      <c r="J938" s="27"/>
      <c r="K938" s="28">
        <v>5</v>
      </c>
      <c r="L938" s="29">
        <v>5</v>
      </c>
      <c r="M938" s="30"/>
      <c r="N938" s="31"/>
      <c r="O938" s="32">
        <v>1703</v>
      </c>
      <c r="P938" s="91"/>
      <c r="Q938" s="92"/>
      <c r="R938" s="93">
        <v>2350</v>
      </c>
      <c r="S938" s="93">
        <f t="shared" si="80"/>
        <v>4002050</v>
      </c>
      <c r="T938" s="33"/>
      <c r="U938" s="34"/>
      <c r="V938" s="35">
        <v>4700</v>
      </c>
      <c r="W938" s="36">
        <f t="shared" si="81"/>
        <v>8004100</v>
      </c>
      <c r="X938" s="93"/>
      <c r="Y938" s="21"/>
      <c r="Z938" s="18">
        <f t="shared" si="76"/>
        <v>4002050</v>
      </c>
    </row>
    <row r="939" spans="1:31" ht="16" customHeight="1" x14ac:dyDescent="0.45">
      <c r="A939" s="1">
        <v>2511</v>
      </c>
      <c r="B939" s="23">
        <v>45965</v>
      </c>
      <c r="C939" s="24"/>
      <c r="D939" s="25" t="s">
        <v>211</v>
      </c>
      <c r="E939" s="26" t="s">
        <v>1</v>
      </c>
      <c r="F939" s="26"/>
      <c r="G939" s="26" t="s">
        <v>1</v>
      </c>
      <c r="H939" s="27" t="s">
        <v>383</v>
      </c>
      <c r="I939" s="27" t="s">
        <v>16</v>
      </c>
      <c r="J939" s="27"/>
      <c r="K939" s="28">
        <v>6</v>
      </c>
      <c r="L939" s="29">
        <v>4</v>
      </c>
      <c r="M939" s="30"/>
      <c r="N939" s="31"/>
      <c r="O939" s="32">
        <v>1476</v>
      </c>
      <c r="P939" s="91"/>
      <c r="Q939" s="92"/>
      <c r="R939" s="93">
        <v>2350</v>
      </c>
      <c r="S939" s="93">
        <f t="shared" si="80"/>
        <v>3468600</v>
      </c>
      <c r="T939" s="33"/>
      <c r="U939" s="34"/>
      <c r="V939" s="35">
        <v>4700</v>
      </c>
      <c r="W939" s="36">
        <f t="shared" si="81"/>
        <v>6937200</v>
      </c>
      <c r="X939" s="93"/>
      <c r="Y939" s="21"/>
      <c r="Z939" s="18">
        <f t="shared" si="76"/>
        <v>3468600</v>
      </c>
    </row>
    <row r="940" spans="1:31" ht="16" customHeight="1" x14ac:dyDescent="0.45">
      <c r="A940" s="1">
        <v>2511</v>
      </c>
      <c r="B940" s="23">
        <v>45976</v>
      </c>
      <c r="C940" s="24"/>
      <c r="D940" s="25" t="s">
        <v>211</v>
      </c>
      <c r="E940" s="26" t="s">
        <v>1</v>
      </c>
      <c r="F940" s="26"/>
      <c r="G940" s="26" t="s">
        <v>1</v>
      </c>
      <c r="H940" s="27" t="s">
        <v>383</v>
      </c>
      <c r="I940" s="27" t="s">
        <v>21</v>
      </c>
      <c r="J940" s="27"/>
      <c r="K940" s="28">
        <v>40</v>
      </c>
      <c r="L940" s="29"/>
      <c r="M940" s="30"/>
      <c r="N940" s="31"/>
      <c r="O940" s="32">
        <v>216</v>
      </c>
      <c r="P940" s="91"/>
      <c r="Q940" s="92"/>
      <c r="R940" s="93">
        <v>2350</v>
      </c>
      <c r="S940" s="93">
        <f t="shared" si="80"/>
        <v>507600</v>
      </c>
      <c r="T940" s="33"/>
      <c r="U940" s="34"/>
      <c r="V940" s="35">
        <v>4700</v>
      </c>
      <c r="W940" s="36">
        <f t="shared" si="81"/>
        <v>1015200</v>
      </c>
      <c r="X940" s="93"/>
      <c r="Y940" s="21"/>
      <c r="Z940" s="18">
        <f t="shared" si="76"/>
        <v>507600</v>
      </c>
    </row>
    <row r="941" spans="1:31" ht="16" customHeight="1" x14ac:dyDescent="0.45">
      <c r="A941" s="1">
        <v>2511</v>
      </c>
      <c r="B941" s="23">
        <v>45965</v>
      </c>
      <c r="C941" s="24"/>
      <c r="D941" s="25" t="s">
        <v>211</v>
      </c>
      <c r="E941" s="26" t="s">
        <v>1</v>
      </c>
      <c r="F941" s="26"/>
      <c r="G941" s="26" t="s">
        <v>1</v>
      </c>
      <c r="H941" s="27" t="s">
        <v>383</v>
      </c>
      <c r="I941" s="27" t="s">
        <v>149</v>
      </c>
      <c r="J941" s="27"/>
      <c r="K941" s="28">
        <v>2</v>
      </c>
      <c r="L941" s="29">
        <v>1</v>
      </c>
      <c r="M941" s="30"/>
      <c r="N941" s="31"/>
      <c r="O941" s="32">
        <v>228</v>
      </c>
      <c r="P941" s="91"/>
      <c r="Q941" s="92"/>
      <c r="R941" s="93">
        <v>2350</v>
      </c>
      <c r="S941" s="93">
        <f t="shared" si="80"/>
        <v>535800</v>
      </c>
      <c r="T941" s="33"/>
      <c r="U941" s="34"/>
      <c r="V941" s="35">
        <v>4700</v>
      </c>
      <c r="W941" s="36">
        <f t="shared" si="81"/>
        <v>1071600</v>
      </c>
      <c r="X941" s="93"/>
      <c r="Y941" s="21"/>
      <c r="Z941" s="18">
        <f t="shared" si="76"/>
        <v>535800</v>
      </c>
    </row>
    <row r="942" spans="1:31" ht="16" customHeight="1" x14ac:dyDescent="0.45">
      <c r="A942" s="1">
        <v>2511</v>
      </c>
      <c r="B942" s="23">
        <v>45982</v>
      </c>
      <c r="C942" s="24"/>
      <c r="D942" s="25" t="s">
        <v>211</v>
      </c>
      <c r="E942" s="26" t="s">
        <v>1</v>
      </c>
      <c r="F942" s="26"/>
      <c r="G942" s="26" t="s">
        <v>1</v>
      </c>
      <c r="H942" s="27" t="s">
        <v>453</v>
      </c>
      <c r="I942" s="27" t="s">
        <v>574</v>
      </c>
      <c r="J942" s="27"/>
      <c r="K942" s="28">
        <v>1</v>
      </c>
      <c r="L942" s="29">
        <v>1</v>
      </c>
      <c r="M942" s="30"/>
      <c r="N942" s="31"/>
      <c r="O942" s="32">
        <v>449</v>
      </c>
      <c r="P942" s="91"/>
      <c r="Q942" s="92"/>
      <c r="R942" s="93">
        <v>2350</v>
      </c>
      <c r="S942" s="93">
        <f t="shared" si="80"/>
        <v>1055150</v>
      </c>
      <c r="T942" s="33"/>
      <c r="U942" s="34"/>
      <c r="V942" s="35">
        <v>4700</v>
      </c>
      <c r="W942" s="36">
        <f t="shared" si="81"/>
        <v>2110300</v>
      </c>
      <c r="X942" s="93"/>
      <c r="Y942" s="21"/>
      <c r="Z942" s="18">
        <f t="shared" si="76"/>
        <v>1055150</v>
      </c>
    </row>
    <row r="943" spans="1:31" ht="16" customHeight="1" x14ac:dyDescent="0.45">
      <c r="A943" s="1">
        <v>2511</v>
      </c>
      <c r="B943" s="23">
        <v>45991</v>
      </c>
      <c r="C943" s="24"/>
      <c r="D943" s="25" t="s">
        <v>211</v>
      </c>
      <c r="E943" s="26" t="s">
        <v>1</v>
      </c>
      <c r="F943" s="26"/>
      <c r="G943" s="26" t="s">
        <v>1</v>
      </c>
      <c r="H943" s="27" t="s">
        <v>383</v>
      </c>
      <c r="I943" s="27" t="s">
        <v>126</v>
      </c>
      <c r="J943" s="27"/>
      <c r="K943" s="28"/>
      <c r="L943" s="29">
        <v>4</v>
      </c>
      <c r="M943" s="30"/>
      <c r="N943" s="31"/>
      <c r="O943" s="32">
        <v>1249</v>
      </c>
      <c r="P943" s="91"/>
      <c r="Q943" s="92"/>
      <c r="R943" s="93">
        <v>2350</v>
      </c>
      <c r="S943" s="93">
        <f t="shared" si="80"/>
        <v>2935150</v>
      </c>
      <c r="T943" s="33"/>
      <c r="U943" s="34"/>
      <c r="V943" s="35">
        <v>4700</v>
      </c>
      <c r="W943" s="36">
        <f t="shared" si="81"/>
        <v>5870300</v>
      </c>
      <c r="X943" s="93"/>
      <c r="Y943" s="21"/>
      <c r="Z943" s="154">
        <f t="shared" si="76"/>
        <v>2935150</v>
      </c>
      <c r="AA943" s="21"/>
      <c r="AB943" s="21"/>
      <c r="AC943" s="21"/>
      <c r="AD943" s="21"/>
      <c r="AE943" s="21"/>
    </row>
    <row r="944" spans="1:31" ht="16" customHeight="1" x14ac:dyDescent="0.45">
      <c r="A944" s="1">
        <v>2511</v>
      </c>
      <c r="B944" s="2">
        <v>45982</v>
      </c>
      <c r="D944" s="4" t="s">
        <v>339</v>
      </c>
      <c r="E944" s="5" t="s">
        <v>93</v>
      </c>
      <c r="G944" s="5" t="s">
        <v>28</v>
      </c>
      <c r="H944" s="19" t="s">
        <v>575</v>
      </c>
      <c r="I944" s="19" t="s">
        <v>454</v>
      </c>
      <c r="M944" s="7">
        <v>6180</v>
      </c>
      <c r="R944" s="12">
        <v>0</v>
      </c>
      <c r="Z944" s="18">
        <f t="shared" si="76"/>
        <v>0</v>
      </c>
    </row>
    <row r="945" spans="1:31" ht="16" customHeight="1" x14ac:dyDescent="0.45">
      <c r="A945" s="1">
        <v>2511</v>
      </c>
      <c r="B945" s="2">
        <v>45968</v>
      </c>
      <c r="D945" s="4" t="s">
        <v>339</v>
      </c>
      <c r="E945" s="5" t="s">
        <v>27</v>
      </c>
      <c r="G945" s="5" t="s">
        <v>28</v>
      </c>
      <c r="H945" s="19" t="s">
        <v>396</v>
      </c>
      <c r="L945" s="6">
        <v>2</v>
      </c>
      <c r="M945" s="7">
        <v>847.1</v>
      </c>
      <c r="R945" s="12">
        <v>1000</v>
      </c>
      <c r="S945" s="12">
        <f t="shared" ref="S945:S972" si="82">M945*R945</f>
        <v>847100</v>
      </c>
      <c r="Z945" s="18">
        <f t="shared" si="76"/>
        <v>-847100</v>
      </c>
    </row>
    <row r="946" spans="1:31" ht="16" customHeight="1" x14ac:dyDescent="0.45">
      <c r="A946" s="1">
        <v>2511</v>
      </c>
      <c r="B946" s="2">
        <v>45967</v>
      </c>
      <c r="D946" s="4" t="s">
        <v>339</v>
      </c>
      <c r="E946" s="5" t="s">
        <v>27</v>
      </c>
      <c r="G946" s="5" t="s">
        <v>28</v>
      </c>
      <c r="H946" s="19" t="s">
        <v>396</v>
      </c>
      <c r="L946" s="6">
        <v>3</v>
      </c>
      <c r="M946" s="7">
        <v>1269.2</v>
      </c>
      <c r="R946" s="12">
        <v>1000</v>
      </c>
      <c r="S946" s="12">
        <f t="shared" si="82"/>
        <v>1269200</v>
      </c>
      <c r="Z946" s="18">
        <f t="shared" si="76"/>
        <v>-1269200</v>
      </c>
    </row>
    <row r="947" spans="1:31" ht="16" customHeight="1" x14ac:dyDescent="0.45">
      <c r="A947" s="1">
        <v>2511</v>
      </c>
      <c r="B947" s="2">
        <v>45964</v>
      </c>
      <c r="D947" s="4" t="s">
        <v>339</v>
      </c>
      <c r="E947" s="5" t="s">
        <v>27</v>
      </c>
      <c r="G947" s="5" t="s">
        <v>28</v>
      </c>
      <c r="H947" s="19" t="s">
        <v>396</v>
      </c>
      <c r="M947" s="7">
        <v>592.5</v>
      </c>
      <c r="R947" s="12">
        <v>1000</v>
      </c>
      <c r="S947" s="12">
        <f t="shared" si="82"/>
        <v>592500</v>
      </c>
      <c r="Z947" s="18">
        <f t="shared" si="76"/>
        <v>-592500</v>
      </c>
    </row>
    <row r="948" spans="1:31" ht="16" customHeight="1" x14ac:dyDescent="0.45">
      <c r="A948" s="1">
        <v>2511</v>
      </c>
      <c r="B948" s="2">
        <v>45965</v>
      </c>
      <c r="D948" s="4" t="s">
        <v>339</v>
      </c>
      <c r="E948" s="5" t="s">
        <v>27</v>
      </c>
      <c r="G948" s="5" t="s">
        <v>28</v>
      </c>
      <c r="H948" s="19" t="s">
        <v>396</v>
      </c>
      <c r="L948" s="6">
        <v>6</v>
      </c>
      <c r="M948" s="7">
        <v>568</v>
      </c>
      <c r="R948" s="12">
        <v>1000</v>
      </c>
      <c r="S948" s="12">
        <f t="shared" si="82"/>
        <v>568000</v>
      </c>
      <c r="Z948" s="18">
        <f t="shared" si="76"/>
        <v>-568000</v>
      </c>
    </row>
    <row r="949" spans="1:31" ht="16" customHeight="1" x14ac:dyDescent="0.45">
      <c r="A949" s="1">
        <v>2511</v>
      </c>
      <c r="B949" s="2">
        <v>45962</v>
      </c>
      <c r="D949" s="4" t="s">
        <v>339</v>
      </c>
      <c r="E949" s="5" t="s">
        <v>27</v>
      </c>
      <c r="G949" s="5" t="s">
        <v>28</v>
      </c>
      <c r="H949" s="19" t="s">
        <v>396</v>
      </c>
      <c r="L949" s="6">
        <v>6</v>
      </c>
      <c r="M949" s="7">
        <v>567.79999999999995</v>
      </c>
      <c r="R949" s="12">
        <v>1000</v>
      </c>
      <c r="S949" s="12">
        <f t="shared" si="82"/>
        <v>567800</v>
      </c>
      <c r="Z949" s="18">
        <f t="shared" si="76"/>
        <v>-567800</v>
      </c>
    </row>
    <row r="950" spans="1:31" ht="16" customHeight="1" x14ac:dyDescent="0.45">
      <c r="A950" s="1">
        <v>2511</v>
      </c>
      <c r="B950" s="2">
        <v>45974</v>
      </c>
      <c r="D950" s="76" t="s">
        <v>339</v>
      </c>
      <c r="E950" s="5" t="s">
        <v>27</v>
      </c>
      <c r="G950" s="5" t="s">
        <v>28</v>
      </c>
      <c r="H950" s="19" t="s">
        <v>495</v>
      </c>
      <c r="L950" s="6">
        <v>2</v>
      </c>
      <c r="M950" s="7">
        <v>853</v>
      </c>
      <c r="R950" s="12">
        <v>1000</v>
      </c>
      <c r="S950" s="12">
        <f t="shared" si="82"/>
        <v>853000</v>
      </c>
      <c r="Z950" s="18">
        <f t="shared" si="76"/>
        <v>-853000</v>
      </c>
    </row>
    <row r="951" spans="1:31" s="21" customFormat="1" ht="16" customHeight="1" x14ac:dyDescent="0.45">
      <c r="A951" s="1">
        <v>2511</v>
      </c>
      <c r="B951" s="2">
        <v>45972</v>
      </c>
      <c r="C951" s="3"/>
      <c r="D951" s="4" t="s">
        <v>339</v>
      </c>
      <c r="E951" s="5" t="s">
        <v>27</v>
      </c>
      <c r="F951" s="5"/>
      <c r="G951" s="5" t="s">
        <v>28</v>
      </c>
      <c r="H951" s="19" t="s">
        <v>495</v>
      </c>
      <c r="I951" s="19"/>
      <c r="J951" s="19"/>
      <c r="K951" s="20"/>
      <c r="L951" s="6">
        <v>2</v>
      </c>
      <c r="M951" s="7">
        <v>846.7</v>
      </c>
      <c r="N951" s="8"/>
      <c r="O951" s="9"/>
      <c r="P951" s="10"/>
      <c r="Q951" s="11"/>
      <c r="R951" s="12">
        <v>1000</v>
      </c>
      <c r="S951" s="12">
        <f t="shared" si="82"/>
        <v>846700</v>
      </c>
      <c r="T951" s="13"/>
      <c r="U951" s="14"/>
      <c r="V951" s="15"/>
      <c r="W951" s="16"/>
      <c r="X951" s="12"/>
      <c r="Y951" s="17"/>
      <c r="Z951" s="18">
        <f t="shared" si="76"/>
        <v>-846700</v>
      </c>
      <c r="AA951" s="17"/>
      <c r="AB951" s="17"/>
      <c r="AC951" s="17"/>
      <c r="AD951" s="17"/>
      <c r="AE951" s="17"/>
    </row>
    <row r="952" spans="1:31" s="21" customFormat="1" ht="16" customHeight="1" x14ac:dyDescent="0.45">
      <c r="A952" s="1">
        <v>2511</v>
      </c>
      <c r="B952" s="2">
        <v>45978</v>
      </c>
      <c r="C952" s="3"/>
      <c r="D952" s="4" t="s">
        <v>339</v>
      </c>
      <c r="E952" s="5" t="s">
        <v>27</v>
      </c>
      <c r="F952" s="5"/>
      <c r="G952" s="5" t="s">
        <v>28</v>
      </c>
      <c r="H952" s="19" t="s">
        <v>495</v>
      </c>
      <c r="I952" s="19"/>
      <c r="J952" s="19"/>
      <c r="K952" s="20"/>
      <c r="L952" s="6">
        <v>3</v>
      </c>
      <c r="M952" s="7">
        <v>1273.4000000000001</v>
      </c>
      <c r="N952" s="8"/>
      <c r="O952" s="9"/>
      <c r="P952" s="10"/>
      <c r="Q952" s="11"/>
      <c r="R952" s="12">
        <v>1000</v>
      </c>
      <c r="S952" s="12">
        <f t="shared" si="82"/>
        <v>1273400</v>
      </c>
      <c r="T952" s="13"/>
      <c r="U952" s="14"/>
      <c r="V952" s="15"/>
      <c r="W952" s="16"/>
      <c r="X952" s="12"/>
      <c r="Y952" s="17"/>
      <c r="Z952" s="18">
        <f t="shared" si="76"/>
        <v>-1273400</v>
      </c>
      <c r="AA952" s="17"/>
      <c r="AB952" s="17"/>
      <c r="AC952" s="17"/>
      <c r="AD952" s="17"/>
      <c r="AE952" s="17"/>
    </row>
    <row r="953" spans="1:31" s="21" customFormat="1" ht="16" customHeight="1" x14ac:dyDescent="0.45">
      <c r="A953" s="1">
        <v>2511</v>
      </c>
      <c r="B953" s="2">
        <v>45981</v>
      </c>
      <c r="C953" s="3"/>
      <c r="D953" s="4" t="s">
        <v>339</v>
      </c>
      <c r="E953" s="5" t="s">
        <v>27</v>
      </c>
      <c r="F953" s="5"/>
      <c r="G953" s="5" t="s">
        <v>28</v>
      </c>
      <c r="H953" s="19" t="s">
        <v>495</v>
      </c>
      <c r="I953" s="19"/>
      <c r="J953" s="19"/>
      <c r="K953" s="20"/>
      <c r="L953" s="6">
        <v>2</v>
      </c>
      <c r="M953" s="7">
        <v>841.8</v>
      </c>
      <c r="N953" s="8"/>
      <c r="O953" s="9"/>
      <c r="P953" s="10"/>
      <c r="Q953" s="11"/>
      <c r="R953" s="12">
        <v>1000</v>
      </c>
      <c r="S953" s="12">
        <f t="shared" si="82"/>
        <v>841800</v>
      </c>
      <c r="T953" s="13"/>
      <c r="U953" s="14"/>
      <c r="V953" s="15"/>
      <c r="W953" s="16"/>
      <c r="X953" s="12"/>
      <c r="Y953" s="17"/>
      <c r="Z953" s="18">
        <f t="shared" si="76"/>
        <v>-841800</v>
      </c>
      <c r="AA953" s="17"/>
      <c r="AB953" s="17"/>
      <c r="AC953" s="17"/>
      <c r="AD953" s="17"/>
      <c r="AE953" s="17"/>
    </row>
    <row r="954" spans="1:31" s="21" customFormat="1" ht="16" customHeight="1" x14ac:dyDescent="0.45">
      <c r="A954" s="1">
        <v>2511</v>
      </c>
      <c r="B954" s="2">
        <v>45972</v>
      </c>
      <c r="C954" s="3"/>
      <c r="D954" s="4" t="s">
        <v>339</v>
      </c>
      <c r="E954" s="5" t="s">
        <v>27</v>
      </c>
      <c r="F954" s="5"/>
      <c r="G954" s="5" t="s">
        <v>28</v>
      </c>
      <c r="H954" s="19" t="s">
        <v>576</v>
      </c>
      <c r="I954" s="19"/>
      <c r="J954" s="19"/>
      <c r="K954" s="20"/>
      <c r="L954" s="6">
        <v>1</v>
      </c>
      <c r="M954" s="7">
        <v>417.5</v>
      </c>
      <c r="N954" s="8"/>
      <c r="O954" s="9"/>
      <c r="P954" s="10"/>
      <c r="Q954" s="11"/>
      <c r="R954" s="12">
        <v>1000</v>
      </c>
      <c r="S954" s="12">
        <f t="shared" si="82"/>
        <v>417500</v>
      </c>
      <c r="T954" s="13"/>
      <c r="U954" s="14"/>
      <c r="V954" s="15"/>
      <c r="W954" s="16"/>
      <c r="X954" s="12"/>
      <c r="Y954" s="17"/>
      <c r="Z954" s="18">
        <f t="shared" si="76"/>
        <v>-417500</v>
      </c>
      <c r="AA954" s="17"/>
      <c r="AB954" s="17"/>
      <c r="AC954" s="17"/>
      <c r="AD954" s="17"/>
      <c r="AE954" s="17"/>
    </row>
    <row r="955" spans="1:31" s="21" customFormat="1" ht="16" customHeight="1" x14ac:dyDescent="0.45">
      <c r="A955" s="1">
        <v>2511</v>
      </c>
      <c r="B955" s="2">
        <v>45968</v>
      </c>
      <c r="C955" s="3"/>
      <c r="D955" s="4" t="s">
        <v>339</v>
      </c>
      <c r="E955" s="5" t="s">
        <v>27</v>
      </c>
      <c r="F955" s="5"/>
      <c r="G955" s="5" t="s">
        <v>28</v>
      </c>
      <c r="H955" s="19" t="s">
        <v>576</v>
      </c>
      <c r="I955" s="19"/>
      <c r="J955" s="19"/>
      <c r="K955" s="20"/>
      <c r="L955" s="6">
        <v>1</v>
      </c>
      <c r="M955" s="7">
        <v>419.1</v>
      </c>
      <c r="N955" s="8"/>
      <c r="O955" s="9"/>
      <c r="P955" s="10"/>
      <c r="Q955" s="11"/>
      <c r="R955" s="12">
        <v>1000</v>
      </c>
      <c r="S955" s="12">
        <f t="shared" si="82"/>
        <v>419100</v>
      </c>
      <c r="T955" s="13"/>
      <c r="U955" s="14"/>
      <c r="V955" s="15"/>
      <c r="W955" s="16"/>
      <c r="X955" s="12"/>
      <c r="Y955" s="17"/>
      <c r="Z955" s="18">
        <f t="shared" si="76"/>
        <v>-419100</v>
      </c>
      <c r="AA955" s="17"/>
      <c r="AB955" s="17"/>
      <c r="AC955" s="17"/>
      <c r="AD955" s="17"/>
      <c r="AE955" s="17"/>
    </row>
    <row r="956" spans="1:31" s="21" customFormat="1" ht="16" customHeight="1" x14ac:dyDescent="0.45">
      <c r="A956" s="1">
        <v>2511</v>
      </c>
      <c r="B956" s="2">
        <v>45965</v>
      </c>
      <c r="C956" s="3"/>
      <c r="D956" s="4" t="s">
        <v>339</v>
      </c>
      <c r="E956" s="5" t="s">
        <v>27</v>
      </c>
      <c r="F956" s="5"/>
      <c r="G956" s="5" t="s">
        <v>28</v>
      </c>
      <c r="H956" s="19" t="s">
        <v>576</v>
      </c>
      <c r="I956" s="19"/>
      <c r="J956" s="19"/>
      <c r="K956" s="20"/>
      <c r="L956" s="6">
        <v>1</v>
      </c>
      <c r="M956" s="7">
        <v>421.4</v>
      </c>
      <c r="N956" s="8"/>
      <c r="O956" s="9"/>
      <c r="P956" s="10"/>
      <c r="Q956" s="11"/>
      <c r="R956" s="12">
        <v>1000</v>
      </c>
      <c r="S956" s="12">
        <f t="shared" si="82"/>
        <v>421400</v>
      </c>
      <c r="T956" s="13"/>
      <c r="U956" s="14"/>
      <c r="V956" s="15"/>
      <c r="W956" s="16"/>
      <c r="X956" s="12"/>
      <c r="Y956" s="17"/>
      <c r="Z956" s="18">
        <f t="shared" si="76"/>
        <v>-421400</v>
      </c>
      <c r="AA956" s="17"/>
      <c r="AB956" s="17"/>
      <c r="AC956" s="17"/>
      <c r="AD956" s="17"/>
      <c r="AE956" s="17"/>
    </row>
    <row r="957" spans="1:31" s="21" customFormat="1" ht="16" customHeight="1" x14ac:dyDescent="0.45">
      <c r="A957" s="1">
        <v>2511</v>
      </c>
      <c r="B957" s="2">
        <v>45962</v>
      </c>
      <c r="C957" s="3"/>
      <c r="D957" s="4" t="s">
        <v>339</v>
      </c>
      <c r="E957" s="5" t="s">
        <v>27</v>
      </c>
      <c r="F957" s="5"/>
      <c r="G957" s="5" t="s">
        <v>28</v>
      </c>
      <c r="H957" s="19" t="s">
        <v>576</v>
      </c>
      <c r="I957" s="19"/>
      <c r="J957" s="19"/>
      <c r="K957" s="20"/>
      <c r="L957" s="6">
        <v>1</v>
      </c>
      <c r="M957" s="7">
        <v>418.4</v>
      </c>
      <c r="N957" s="8"/>
      <c r="O957" s="9"/>
      <c r="P957" s="10"/>
      <c r="Q957" s="11"/>
      <c r="R957" s="12">
        <v>1000</v>
      </c>
      <c r="S957" s="12">
        <f t="shared" si="82"/>
        <v>418400</v>
      </c>
      <c r="T957" s="13"/>
      <c r="U957" s="14"/>
      <c r="V957" s="15"/>
      <c r="W957" s="16"/>
      <c r="X957" s="12"/>
      <c r="Y957" s="17"/>
      <c r="Z957" s="18">
        <f t="shared" si="76"/>
        <v>-418400</v>
      </c>
      <c r="AA957" s="17"/>
      <c r="AB957" s="17"/>
      <c r="AC957" s="17"/>
      <c r="AD957" s="17"/>
      <c r="AE957" s="17"/>
    </row>
    <row r="958" spans="1:31" s="21" customFormat="1" ht="16" customHeight="1" x14ac:dyDescent="0.45">
      <c r="A958" s="1">
        <v>2511</v>
      </c>
      <c r="B958" s="2">
        <v>45974</v>
      </c>
      <c r="C958" s="3"/>
      <c r="D958" s="76" t="s">
        <v>339</v>
      </c>
      <c r="E958" s="5" t="s">
        <v>27</v>
      </c>
      <c r="F958" s="5"/>
      <c r="G958" s="5" t="s">
        <v>28</v>
      </c>
      <c r="H958" s="19" t="s">
        <v>386</v>
      </c>
      <c r="I958" s="19"/>
      <c r="J958" s="19"/>
      <c r="K958" s="20"/>
      <c r="L958" s="6">
        <v>9</v>
      </c>
      <c r="M958" s="7">
        <v>252.1</v>
      </c>
      <c r="N958" s="8"/>
      <c r="O958" s="9"/>
      <c r="P958" s="10"/>
      <c r="Q958" s="11"/>
      <c r="R958" s="12">
        <v>1000</v>
      </c>
      <c r="S958" s="12">
        <f t="shared" si="82"/>
        <v>252100</v>
      </c>
      <c r="T958" s="13"/>
      <c r="U958" s="14"/>
      <c r="V958" s="15"/>
      <c r="W958" s="16"/>
      <c r="X958" s="12"/>
      <c r="Y958" s="17"/>
      <c r="Z958" s="18">
        <f t="shared" si="76"/>
        <v>-252100</v>
      </c>
      <c r="AA958" s="17"/>
      <c r="AB958" s="17"/>
      <c r="AC958" s="17"/>
      <c r="AD958" s="17"/>
      <c r="AE958" s="17"/>
    </row>
    <row r="959" spans="1:31" s="21" customFormat="1" ht="16" customHeight="1" x14ac:dyDescent="0.45">
      <c r="A959" s="1">
        <v>2511</v>
      </c>
      <c r="B959" s="2">
        <v>45964</v>
      </c>
      <c r="C959" s="3"/>
      <c r="D959" s="4" t="s">
        <v>339</v>
      </c>
      <c r="E959" s="5" t="s">
        <v>27</v>
      </c>
      <c r="F959" s="5"/>
      <c r="G959" s="5" t="s">
        <v>28</v>
      </c>
      <c r="H959" s="19" t="s">
        <v>199</v>
      </c>
      <c r="I959" s="19"/>
      <c r="J959" s="19"/>
      <c r="K959" s="20"/>
      <c r="L959" s="6"/>
      <c r="M959" s="7">
        <v>448.8</v>
      </c>
      <c r="N959" s="8"/>
      <c r="O959" s="9"/>
      <c r="P959" s="10"/>
      <c r="Q959" s="11"/>
      <c r="R959" s="12">
        <v>1000</v>
      </c>
      <c r="S959" s="12">
        <f t="shared" si="82"/>
        <v>448800</v>
      </c>
      <c r="T959" s="13"/>
      <c r="U959" s="14"/>
      <c r="V959" s="15"/>
      <c r="W959" s="16"/>
      <c r="X959" s="12"/>
      <c r="Y959" s="17"/>
      <c r="Z959" s="18">
        <f t="shared" si="76"/>
        <v>-448800</v>
      </c>
      <c r="AA959" s="17"/>
      <c r="AB959" s="17"/>
      <c r="AC959" s="17"/>
      <c r="AD959" s="17"/>
      <c r="AE959" s="17"/>
    </row>
    <row r="960" spans="1:31" s="21" customFormat="1" ht="16" customHeight="1" x14ac:dyDescent="0.45">
      <c r="A960" s="1">
        <v>2511</v>
      </c>
      <c r="B960" s="2">
        <v>45981</v>
      </c>
      <c r="C960" s="3"/>
      <c r="D960" s="4" t="s">
        <v>339</v>
      </c>
      <c r="E960" s="5" t="s">
        <v>27</v>
      </c>
      <c r="F960" s="5"/>
      <c r="G960" s="5" t="s">
        <v>28</v>
      </c>
      <c r="H960" s="19" t="s">
        <v>199</v>
      </c>
      <c r="I960" s="19"/>
      <c r="J960" s="19"/>
      <c r="K960" s="20"/>
      <c r="L960" s="6">
        <v>1</v>
      </c>
      <c r="M960" s="7">
        <v>223.6</v>
      </c>
      <c r="N960" s="8"/>
      <c r="O960" s="9"/>
      <c r="P960" s="10"/>
      <c r="Q960" s="11"/>
      <c r="R960" s="12">
        <v>1000</v>
      </c>
      <c r="S960" s="12">
        <f t="shared" si="82"/>
        <v>223600</v>
      </c>
      <c r="T960" s="13"/>
      <c r="U960" s="14"/>
      <c r="V960" s="15"/>
      <c r="W960" s="16"/>
      <c r="X960" s="12"/>
      <c r="Y960" s="17"/>
      <c r="Z960" s="18">
        <f t="shared" si="76"/>
        <v>-223600</v>
      </c>
      <c r="AA960" s="17"/>
      <c r="AB960" s="17"/>
      <c r="AC960" s="17"/>
      <c r="AD960" s="17"/>
      <c r="AE960" s="17"/>
    </row>
    <row r="961" spans="1:31" s="21" customFormat="1" ht="16" customHeight="1" x14ac:dyDescent="0.45">
      <c r="A961" s="1">
        <v>2511</v>
      </c>
      <c r="B961" s="2">
        <v>45974</v>
      </c>
      <c r="C961" s="3"/>
      <c r="D961" s="76" t="s">
        <v>339</v>
      </c>
      <c r="E961" s="5" t="s">
        <v>27</v>
      </c>
      <c r="F961" s="5"/>
      <c r="G961" s="5" t="s">
        <v>28</v>
      </c>
      <c r="H961" s="19" t="s">
        <v>205</v>
      </c>
      <c r="I961" s="19"/>
      <c r="J961" s="19"/>
      <c r="K961" s="20"/>
      <c r="L961" s="6">
        <v>1</v>
      </c>
      <c r="M961" s="7">
        <v>220.5</v>
      </c>
      <c r="N961" s="8"/>
      <c r="O961" s="9"/>
      <c r="P961" s="10"/>
      <c r="Q961" s="11"/>
      <c r="R961" s="12">
        <v>1000</v>
      </c>
      <c r="S961" s="12">
        <f t="shared" si="82"/>
        <v>220500</v>
      </c>
      <c r="T961" s="13"/>
      <c r="U961" s="14"/>
      <c r="V961" s="15"/>
      <c r="W961" s="16"/>
      <c r="X961" s="12"/>
      <c r="Y961" s="17"/>
      <c r="Z961" s="18">
        <f t="shared" si="76"/>
        <v>-220500</v>
      </c>
      <c r="AA961" s="17"/>
      <c r="AB961" s="17"/>
      <c r="AC961" s="17"/>
      <c r="AD961" s="17"/>
      <c r="AE961" s="17"/>
    </row>
    <row r="962" spans="1:31" s="21" customFormat="1" ht="16" customHeight="1" x14ac:dyDescent="0.45">
      <c r="A962" s="1">
        <v>2511</v>
      </c>
      <c r="B962" s="2">
        <v>45962</v>
      </c>
      <c r="C962" s="3"/>
      <c r="D962" s="4" t="s">
        <v>339</v>
      </c>
      <c r="E962" s="5" t="s">
        <v>27</v>
      </c>
      <c r="F962" s="5"/>
      <c r="G962" s="5" t="s">
        <v>28</v>
      </c>
      <c r="H962" s="19" t="s">
        <v>205</v>
      </c>
      <c r="I962" s="19"/>
      <c r="J962" s="19"/>
      <c r="K962" s="20"/>
      <c r="L962" s="6">
        <v>1</v>
      </c>
      <c r="M962" s="7">
        <v>225.3</v>
      </c>
      <c r="N962" s="8"/>
      <c r="O962" s="9"/>
      <c r="P962" s="10"/>
      <c r="Q962" s="11"/>
      <c r="R962" s="12">
        <v>1000</v>
      </c>
      <c r="S962" s="12">
        <f t="shared" si="82"/>
        <v>225300</v>
      </c>
      <c r="T962" s="13"/>
      <c r="U962" s="14"/>
      <c r="V962" s="15"/>
      <c r="W962" s="16"/>
      <c r="X962" s="12"/>
      <c r="Y962" s="17"/>
      <c r="Z962" s="18">
        <f t="shared" si="76"/>
        <v>-225300</v>
      </c>
      <c r="AA962" s="17"/>
      <c r="AB962" s="17"/>
      <c r="AC962" s="17"/>
      <c r="AD962" s="17"/>
      <c r="AE962" s="17"/>
    </row>
    <row r="963" spans="1:31" s="21" customFormat="1" ht="16" customHeight="1" x14ac:dyDescent="0.45">
      <c r="A963" s="1">
        <v>2511</v>
      </c>
      <c r="B963" s="2">
        <v>45975</v>
      </c>
      <c r="C963" s="3"/>
      <c r="D963" s="76" t="s">
        <v>93</v>
      </c>
      <c r="E963" s="5" t="s">
        <v>463</v>
      </c>
      <c r="F963" s="5"/>
      <c r="G963" s="5" t="s">
        <v>28</v>
      </c>
      <c r="H963" s="19" t="s">
        <v>396</v>
      </c>
      <c r="I963" s="19"/>
      <c r="J963" s="19"/>
      <c r="K963" s="20"/>
      <c r="L963" s="6"/>
      <c r="M963" s="7">
        <v>1312.5</v>
      </c>
      <c r="N963" s="8"/>
      <c r="O963" s="9"/>
      <c r="P963" s="10"/>
      <c r="Q963" s="11"/>
      <c r="R963" s="12">
        <v>1050</v>
      </c>
      <c r="S963" s="12">
        <f t="shared" si="82"/>
        <v>1378125</v>
      </c>
      <c r="T963" s="13"/>
      <c r="U963" s="14"/>
      <c r="V963" s="15"/>
      <c r="W963" s="16"/>
      <c r="X963" s="12"/>
      <c r="Y963" s="17"/>
      <c r="Z963" s="18">
        <f t="shared" si="76"/>
        <v>-1378125</v>
      </c>
      <c r="AA963" s="17"/>
      <c r="AB963" s="17"/>
      <c r="AC963" s="17"/>
      <c r="AD963" s="17"/>
      <c r="AE963" s="17"/>
    </row>
    <row r="964" spans="1:31" ht="16" customHeight="1" x14ac:dyDescent="0.45">
      <c r="A964" s="1">
        <v>2511</v>
      </c>
      <c r="B964" s="2">
        <v>45968</v>
      </c>
      <c r="D964" s="4" t="s">
        <v>93</v>
      </c>
      <c r="E964" s="5" t="s">
        <v>463</v>
      </c>
      <c r="G964" s="5" t="s">
        <v>28</v>
      </c>
      <c r="H964" s="19" t="s">
        <v>396</v>
      </c>
      <c r="L964" s="6">
        <v>3</v>
      </c>
      <c r="M964" s="7">
        <v>1312.5</v>
      </c>
      <c r="R964" s="12">
        <v>1050</v>
      </c>
      <c r="S964" s="12">
        <f t="shared" si="82"/>
        <v>1378125</v>
      </c>
      <c r="Z964" s="18">
        <f t="shared" si="76"/>
        <v>-1378125</v>
      </c>
    </row>
    <row r="965" spans="1:31" ht="16" customHeight="1" x14ac:dyDescent="0.45">
      <c r="A965" s="1">
        <v>2511</v>
      </c>
      <c r="B965" s="2">
        <v>45966</v>
      </c>
      <c r="D965" s="4" t="s">
        <v>93</v>
      </c>
      <c r="E965" s="5" t="s">
        <v>463</v>
      </c>
      <c r="G965" s="5" t="s">
        <v>28</v>
      </c>
      <c r="H965" s="19" t="s">
        <v>396</v>
      </c>
      <c r="M965" s="7">
        <v>437.5</v>
      </c>
      <c r="R965" s="12">
        <v>1050</v>
      </c>
      <c r="S965" s="12">
        <f t="shared" si="82"/>
        <v>459375</v>
      </c>
      <c r="Z965" s="18">
        <f t="shared" si="76"/>
        <v>-459375</v>
      </c>
    </row>
    <row r="966" spans="1:31" ht="16" customHeight="1" x14ac:dyDescent="0.45">
      <c r="A966" s="1">
        <v>2511</v>
      </c>
      <c r="B966" s="2">
        <v>45966</v>
      </c>
      <c r="D966" s="4" t="s">
        <v>93</v>
      </c>
      <c r="E966" s="5" t="s">
        <v>463</v>
      </c>
      <c r="G966" s="5" t="s">
        <v>28</v>
      </c>
      <c r="H966" s="19" t="s">
        <v>541</v>
      </c>
      <c r="M966" s="7">
        <v>445</v>
      </c>
      <c r="R966" s="12">
        <v>1050</v>
      </c>
      <c r="S966" s="12">
        <f t="shared" si="82"/>
        <v>467250</v>
      </c>
      <c r="Z966" s="18">
        <f t="shared" si="76"/>
        <v>-467250</v>
      </c>
    </row>
    <row r="967" spans="1:31" ht="16" customHeight="1" x14ac:dyDescent="0.45">
      <c r="A967" s="1">
        <v>2511</v>
      </c>
      <c r="B967" s="2">
        <v>45966</v>
      </c>
      <c r="D967" s="4" t="s">
        <v>93</v>
      </c>
      <c r="E967" s="5" t="s">
        <v>463</v>
      </c>
      <c r="G967" s="5" t="s">
        <v>28</v>
      </c>
      <c r="H967" s="19" t="s">
        <v>199</v>
      </c>
      <c r="M967" s="7">
        <v>351.75</v>
      </c>
      <c r="R967" s="12">
        <v>1050</v>
      </c>
      <c r="S967" s="12">
        <f t="shared" si="82"/>
        <v>369337.5</v>
      </c>
      <c r="Z967" s="18">
        <f t="shared" si="76"/>
        <v>-369337.5</v>
      </c>
    </row>
    <row r="968" spans="1:31" ht="16" customHeight="1" x14ac:dyDescent="0.45">
      <c r="A968" s="1">
        <v>2511</v>
      </c>
      <c r="B968" s="2">
        <v>45981</v>
      </c>
      <c r="D968" s="4" t="s">
        <v>93</v>
      </c>
      <c r="E968" s="5" t="s">
        <v>463</v>
      </c>
      <c r="G968" s="5" t="s">
        <v>28</v>
      </c>
      <c r="H968" s="19" t="s">
        <v>396</v>
      </c>
      <c r="L968" s="6">
        <v>1</v>
      </c>
      <c r="M968" s="7">
        <v>437.5</v>
      </c>
      <c r="R968" s="12">
        <v>1050</v>
      </c>
      <c r="S968" s="12">
        <f t="shared" si="82"/>
        <v>459375</v>
      </c>
      <c r="Z968" s="18">
        <f t="shared" si="76"/>
        <v>-459375</v>
      </c>
    </row>
    <row r="969" spans="1:31" ht="16" customHeight="1" x14ac:dyDescent="0.45">
      <c r="A969" s="1">
        <v>2511</v>
      </c>
      <c r="B969" s="2">
        <v>45981</v>
      </c>
      <c r="D969" s="4" t="s">
        <v>93</v>
      </c>
      <c r="E969" s="5" t="s">
        <v>463</v>
      </c>
      <c r="G969" s="5" t="s">
        <v>28</v>
      </c>
      <c r="H969" s="19" t="s">
        <v>310</v>
      </c>
      <c r="L969" s="6">
        <v>1</v>
      </c>
      <c r="M969" s="7">
        <v>437.5</v>
      </c>
      <c r="R969" s="12">
        <v>1050</v>
      </c>
      <c r="S969" s="12">
        <f t="shared" si="82"/>
        <v>459375</v>
      </c>
      <c r="Z969" s="18">
        <f t="shared" si="76"/>
        <v>-459375</v>
      </c>
    </row>
    <row r="970" spans="1:31" s="21" customFormat="1" ht="16" customHeight="1" x14ac:dyDescent="0.45">
      <c r="A970" s="1">
        <v>2511</v>
      </c>
      <c r="B970" s="2">
        <v>45981</v>
      </c>
      <c r="C970" s="3"/>
      <c r="D970" s="4" t="s">
        <v>93</v>
      </c>
      <c r="E970" s="5" t="s">
        <v>463</v>
      </c>
      <c r="F970" s="5"/>
      <c r="G970" s="5" t="s">
        <v>28</v>
      </c>
      <c r="H970" s="19" t="s">
        <v>245</v>
      </c>
      <c r="I970" s="19"/>
      <c r="J970" s="19"/>
      <c r="K970" s="20"/>
      <c r="L970" s="6">
        <v>1</v>
      </c>
      <c r="M970" s="7">
        <v>351.75</v>
      </c>
      <c r="N970" s="8"/>
      <c r="O970" s="9"/>
      <c r="P970" s="10"/>
      <c r="Q970" s="11"/>
      <c r="R970" s="12">
        <v>1050</v>
      </c>
      <c r="S970" s="12">
        <f t="shared" si="82"/>
        <v>369337.5</v>
      </c>
      <c r="T970" s="82"/>
      <c r="U970" s="83"/>
      <c r="V970" s="15"/>
      <c r="W970" s="16"/>
      <c r="X970" s="12"/>
      <c r="Y970" s="17"/>
      <c r="Z970" s="18">
        <f t="shared" si="76"/>
        <v>-369337.5</v>
      </c>
      <c r="AA970" s="17"/>
      <c r="AB970" s="17"/>
      <c r="AC970" s="17"/>
      <c r="AD970" s="17"/>
      <c r="AE970" s="17"/>
    </row>
    <row r="971" spans="1:31" s="21" customFormat="1" ht="16" customHeight="1" x14ac:dyDescent="0.45">
      <c r="A971" s="1">
        <v>2511</v>
      </c>
      <c r="B971" s="2">
        <v>45978</v>
      </c>
      <c r="C971" s="3"/>
      <c r="D971" s="4" t="s">
        <v>93</v>
      </c>
      <c r="E971" s="5" t="s">
        <v>463</v>
      </c>
      <c r="F971" s="5"/>
      <c r="G971" s="5" t="s">
        <v>28</v>
      </c>
      <c r="H971" s="19" t="s">
        <v>396</v>
      </c>
      <c r="I971" s="19"/>
      <c r="J971" s="19"/>
      <c r="K971" s="20"/>
      <c r="L971" s="6">
        <v>2</v>
      </c>
      <c r="M971" s="7">
        <v>875</v>
      </c>
      <c r="N971" s="8"/>
      <c r="O971" s="9"/>
      <c r="P971" s="10"/>
      <c r="Q971" s="11"/>
      <c r="R971" s="12">
        <v>1050</v>
      </c>
      <c r="S971" s="12">
        <f t="shared" si="82"/>
        <v>918750</v>
      </c>
      <c r="T971" s="13"/>
      <c r="U971" s="14"/>
      <c r="V971" s="15"/>
      <c r="W971" s="16"/>
      <c r="X971" s="12"/>
      <c r="Y971" s="17"/>
      <c r="Z971" s="18">
        <f t="shared" si="76"/>
        <v>-918750</v>
      </c>
      <c r="AA971" s="17"/>
      <c r="AB971" s="17"/>
      <c r="AC971" s="17"/>
      <c r="AD971" s="17"/>
      <c r="AE971" s="17"/>
    </row>
    <row r="972" spans="1:31" s="21" customFormat="1" ht="16" customHeight="1" x14ac:dyDescent="0.45">
      <c r="A972" s="1">
        <v>2511</v>
      </c>
      <c r="B972" s="2">
        <v>45978</v>
      </c>
      <c r="C972" s="3"/>
      <c r="D972" s="4" t="s">
        <v>93</v>
      </c>
      <c r="E972" s="5" t="s">
        <v>463</v>
      </c>
      <c r="F972" s="5"/>
      <c r="G972" s="5" t="s">
        <v>28</v>
      </c>
      <c r="H972" s="19" t="s">
        <v>310</v>
      </c>
      <c r="I972" s="19"/>
      <c r="J972" s="19"/>
      <c r="K972" s="20"/>
      <c r="L972" s="6">
        <v>1</v>
      </c>
      <c r="M972" s="7">
        <v>437.5</v>
      </c>
      <c r="N972" s="8"/>
      <c r="O972" s="9"/>
      <c r="P972" s="10"/>
      <c r="Q972" s="11"/>
      <c r="R972" s="12">
        <v>1050</v>
      </c>
      <c r="S972" s="12">
        <f t="shared" si="82"/>
        <v>459375</v>
      </c>
      <c r="T972" s="13"/>
      <c r="U972" s="14"/>
      <c r="V972" s="15"/>
      <c r="W972" s="16"/>
      <c r="X972" s="12"/>
      <c r="Y972" s="17"/>
      <c r="Z972" s="18">
        <f t="shared" si="76"/>
        <v>-459375</v>
      </c>
      <c r="AA972" s="17"/>
      <c r="AB972" s="17"/>
      <c r="AC972" s="17"/>
      <c r="AD972" s="17"/>
      <c r="AE972" s="17"/>
    </row>
    <row r="973" spans="1:31" ht="16" customHeight="1" x14ac:dyDescent="0.45">
      <c r="A973" s="1">
        <v>2511</v>
      </c>
      <c r="B973" s="2">
        <v>45965</v>
      </c>
      <c r="C973" s="24"/>
      <c r="D973" s="4" t="s">
        <v>30</v>
      </c>
      <c r="E973" s="5" t="s">
        <v>31</v>
      </c>
      <c r="G973" s="5" t="s">
        <v>31</v>
      </c>
      <c r="H973" s="19" t="s">
        <v>133</v>
      </c>
      <c r="I973" s="19" t="s">
        <v>577</v>
      </c>
      <c r="O973" s="9">
        <v>635</v>
      </c>
      <c r="P973" s="141"/>
      <c r="Q973" s="95"/>
      <c r="R973" s="12">
        <v>1470</v>
      </c>
      <c r="S973" s="12">
        <f t="shared" ref="S973:U974" si="83">O973*R973</f>
        <v>933450</v>
      </c>
      <c r="T973" s="153">
        <f t="shared" si="83"/>
        <v>0</v>
      </c>
      <c r="U973" s="153">
        <f t="shared" si="83"/>
        <v>0</v>
      </c>
      <c r="V973" s="15">
        <v>2450</v>
      </c>
      <c r="W973" s="16">
        <f>O973*V973</f>
        <v>1555750</v>
      </c>
      <c r="Z973" s="18">
        <f t="shared" si="76"/>
        <v>622300</v>
      </c>
    </row>
    <row r="974" spans="1:31" ht="16" customHeight="1" x14ac:dyDescent="0.45">
      <c r="A974" s="1">
        <v>2511</v>
      </c>
      <c r="B974" s="2">
        <v>45965</v>
      </c>
      <c r="C974" s="24"/>
      <c r="D974" s="4" t="s">
        <v>30</v>
      </c>
      <c r="E974" s="5" t="s">
        <v>31</v>
      </c>
      <c r="G974" s="5" t="s">
        <v>31</v>
      </c>
      <c r="H974" s="19" t="s">
        <v>133</v>
      </c>
      <c r="I974" s="19" t="s">
        <v>577</v>
      </c>
      <c r="O974" s="9">
        <v>-317.5</v>
      </c>
      <c r="P974" s="141"/>
      <c r="Q974" s="95"/>
      <c r="S974" s="12">
        <f t="shared" si="83"/>
        <v>0</v>
      </c>
      <c r="T974" s="153">
        <f t="shared" si="83"/>
        <v>0</v>
      </c>
      <c r="U974" s="153">
        <f t="shared" si="83"/>
        <v>0</v>
      </c>
      <c r="V974" s="15">
        <v>2450</v>
      </c>
      <c r="W974" s="16">
        <f>O974*V974</f>
        <v>-777875</v>
      </c>
      <c r="Z974" s="18">
        <f t="shared" ref="Z974:Z986" si="84">W974-S974-Q974</f>
        <v>-777875</v>
      </c>
    </row>
    <row r="975" spans="1:31" ht="16" customHeight="1" x14ac:dyDescent="0.45">
      <c r="A975" s="1">
        <v>2511</v>
      </c>
      <c r="B975" s="2">
        <v>45965</v>
      </c>
      <c r="C975" s="24"/>
      <c r="D975" s="4" t="s">
        <v>30</v>
      </c>
      <c r="E975" s="5" t="s">
        <v>31</v>
      </c>
      <c r="G975" s="5" t="s">
        <v>31</v>
      </c>
      <c r="H975" s="19" t="s">
        <v>498</v>
      </c>
      <c r="I975" s="19" t="s">
        <v>578</v>
      </c>
      <c r="O975" s="9">
        <v>190</v>
      </c>
      <c r="P975" s="141"/>
      <c r="Q975" s="95"/>
      <c r="R975" s="12">
        <v>1470</v>
      </c>
      <c r="S975" s="12">
        <f>O975*R975</f>
        <v>279300</v>
      </c>
      <c r="T975" s="33"/>
      <c r="U975" s="34"/>
      <c r="V975" s="15">
        <v>4400</v>
      </c>
      <c r="W975" s="16">
        <f>O975*V975</f>
        <v>836000</v>
      </c>
      <c r="Z975" s="18">
        <f t="shared" si="84"/>
        <v>556700</v>
      </c>
    </row>
    <row r="976" spans="1:31" ht="16" customHeight="1" x14ac:dyDescent="0.45">
      <c r="A976" s="1">
        <v>2511</v>
      </c>
      <c r="B976" s="2">
        <v>45987</v>
      </c>
      <c r="C976" s="24"/>
      <c r="D976" s="4" t="s">
        <v>30</v>
      </c>
      <c r="E976" s="5" t="s">
        <v>31</v>
      </c>
      <c r="G976" s="5" t="s">
        <v>31</v>
      </c>
      <c r="H976" s="19" t="s">
        <v>113</v>
      </c>
      <c r="L976" s="6">
        <v>4</v>
      </c>
      <c r="O976" s="9">
        <v>4000</v>
      </c>
      <c r="P976" s="141"/>
      <c r="Q976" s="95"/>
      <c r="R976" s="12">
        <v>1230</v>
      </c>
      <c r="S976" s="12">
        <f>O976*R976</f>
        <v>4920000</v>
      </c>
      <c r="T976" s="33"/>
      <c r="U976" s="34"/>
      <c r="V976" s="15">
        <v>1380</v>
      </c>
      <c r="W976" s="16">
        <f>O976*V976</f>
        <v>5520000</v>
      </c>
      <c r="Z976" s="18">
        <f t="shared" si="84"/>
        <v>600000</v>
      </c>
    </row>
    <row r="977" spans="1:31" ht="16" customHeight="1" x14ac:dyDescent="0.45">
      <c r="A977" s="1">
        <v>2511</v>
      </c>
      <c r="B977" s="2">
        <v>45987</v>
      </c>
      <c r="C977" s="24"/>
      <c r="D977" s="4" t="s">
        <v>30</v>
      </c>
      <c r="E977" s="5" t="s">
        <v>31</v>
      </c>
      <c r="G977" s="5" t="s">
        <v>31</v>
      </c>
      <c r="H977" s="19" t="s">
        <v>133</v>
      </c>
      <c r="L977" s="6">
        <v>2</v>
      </c>
      <c r="O977" s="9">
        <v>1400</v>
      </c>
      <c r="P977" s="141"/>
      <c r="Q977" s="95"/>
      <c r="R977" s="12">
        <v>1470</v>
      </c>
      <c r="S977" s="12">
        <f>O977*R977</f>
        <v>2058000</v>
      </c>
      <c r="T977" s="33"/>
      <c r="U977" s="34"/>
      <c r="V977" s="15">
        <v>2450</v>
      </c>
      <c r="W977" s="16">
        <f>O977*V977</f>
        <v>3430000</v>
      </c>
      <c r="Z977" s="18">
        <f t="shared" si="84"/>
        <v>1372000</v>
      </c>
    </row>
    <row r="978" spans="1:31" ht="16" customHeight="1" x14ac:dyDescent="0.45">
      <c r="A978" s="1">
        <v>2511</v>
      </c>
      <c r="B978" s="2">
        <v>45971</v>
      </c>
      <c r="D978" s="4" t="s">
        <v>27</v>
      </c>
      <c r="E978" s="5" t="s">
        <v>37</v>
      </c>
      <c r="G978" s="5" t="s">
        <v>28</v>
      </c>
      <c r="H978" s="19" t="s">
        <v>33</v>
      </c>
      <c r="L978" s="6">
        <v>228</v>
      </c>
      <c r="M978" s="7">
        <v>3990</v>
      </c>
      <c r="R978" s="12">
        <v>2000</v>
      </c>
      <c r="S978" s="12">
        <f>M978*R978</f>
        <v>7980000</v>
      </c>
      <c r="Z978" s="18">
        <f t="shared" si="84"/>
        <v>-7980000</v>
      </c>
    </row>
    <row r="979" spans="1:31" s="21" customFormat="1" ht="16" customHeight="1" x14ac:dyDescent="0.45">
      <c r="A979" s="1">
        <v>2511</v>
      </c>
      <c r="B979" s="2">
        <v>45962</v>
      </c>
      <c r="C979" s="3"/>
      <c r="D979" s="4" t="s">
        <v>27</v>
      </c>
      <c r="E979" s="5" t="s">
        <v>37</v>
      </c>
      <c r="F979" s="5"/>
      <c r="G979" s="5" t="s">
        <v>28</v>
      </c>
      <c r="H979" s="19" t="s">
        <v>33</v>
      </c>
      <c r="I979" s="19"/>
      <c r="J979" s="19"/>
      <c r="K979" s="20"/>
      <c r="L979" s="6">
        <v>25</v>
      </c>
      <c r="M979" s="7">
        <v>437.5</v>
      </c>
      <c r="N979" s="8"/>
      <c r="O979" s="9"/>
      <c r="P979" s="10"/>
      <c r="Q979" s="11"/>
      <c r="R979" s="12">
        <v>2000</v>
      </c>
      <c r="S979" s="12">
        <f>M979*R979</f>
        <v>875000</v>
      </c>
      <c r="T979" s="13"/>
      <c r="U979" s="14"/>
      <c r="V979" s="15"/>
      <c r="W979" s="16"/>
      <c r="X979" s="12"/>
      <c r="Y979" s="17"/>
      <c r="Z979" s="18">
        <f t="shared" si="84"/>
        <v>-875000</v>
      </c>
      <c r="AA979" s="17"/>
      <c r="AB979" s="17"/>
      <c r="AC979" s="17"/>
      <c r="AD979" s="17"/>
      <c r="AE979" s="17"/>
    </row>
    <row r="980" spans="1:31" s="21" customFormat="1" ht="16" customHeight="1" x14ac:dyDescent="0.45">
      <c r="A980" s="1">
        <v>2511</v>
      </c>
      <c r="B980" s="2">
        <v>45979</v>
      </c>
      <c r="C980" s="3"/>
      <c r="D980" s="4" t="s">
        <v>27</v>
      </c>
      <c r="E980" s="5" t="s">
        <v>37</v>
      </c>
      <c r="F980" s="5"/>
      <c r="G980" s="5" t="s">
        <v>28</v>
      </c>
      <c r="H980" s="19" t="s">
        <v>33</v>
      </c>
      <c r="I980" s="19"/>
      <c r="J980" s="19"/>
      <c r="K980" s="20"/>
      <c r="L980" s="6">
        <v>210</v>
      </c>
      <c r="M980" s="7">
        <v>3675</v>
      </c>
      <c r="N980" s="8"/>
      <c r="O980" s="9"/>
      <c r="P980" s="10"/>
      <c r="Q980" s="11"/>
      <c r="R980" s="12">
        <v>2000</v>
      </c>
      <c r="S980" s="12">
        <f>M980*R980</f>
        <v>7350000</v>
      </c>
      <c r="T980" s="13"/>
      <c r="U980" s="14"/>
      <c r="V980" s="15"/>
      <c r="W980" s="16"/>
      <c r="X980" s="12"/>
      <c r="Y980" s="17"/>
      <c r="Z980" s="18">
        <f t="shared" si="84"/>
        <v>-7350000</v>
      </c>
      <c r="AA980" s="17"/>
      <c r="AB980" s="17"/>
      <c r="AC980" s="17"/>
      <c r="AD980" s="17"/>
      <c r="AE980" s="17"/>
    </row>
    <row r="981" spans="1:31" s="21" customFormat="1" ht="16" customHeight="1" x14ac:dyDescent="0.45">
      <c r="A981" s="1">
        <v>2511</v>
      </c>
      <c r="B981" s="2">
        <v>45991</v>
      </c>
      <c r="C981" s="3"/>
      <c r="D981" s="4" t="s">
        <v>27</v>
      </c>
      <c r="E981" s="5"/>
      <c r="F981" s="5"/>
      <c r="G981" s="5" t="s">
        <v>28</v>
      </c>
      <c r="H981" s="19" t="s">
        <v>201</v>
      </c>
      <c r="I981" s="19"/>
      <c r="J981" s="19"/>
      <c r="K981" s="20"/>
      <c r="L981" s="6"/>
      <c r="M981" s="7">
        <v>1701.5</v>
      </c>
      <c r="N981" s="8"/>
      <c r="O981" s="9"/>
      <c r="P981" s="10"/>
      <c r="Q981" s="11"/>
      <c r="R981" s="12">
        <v>2390</v>
      </c>
      <c r="S981" s="12">
        <f>M981*R981</f>
        <v>4066585</v>
      </c>
      <c r="T981" s="13"/>
      <c r="U981" s="14"/>
      <c r="V981" s="15"/>
      <c r="W981" s="16"/>
      <c r="X981" s="12"/>
      <c r="Y981" s="17"/>
      <c r="Z981" s="18"/>
      <c r="AA981" s="17"/>
      <c r="AB981" s="17"/>
      <c r="AC981" s="17"/>
      <c r="AD981" s="17"/>
      <c r="AE981" s="17"/>
    </row>
    <row r="982" spans="1:31" ht="16" customHeight="1" x14ac:dyDescent="0.45">
      <c r="A982" s="1">
        <v>2511</v>
      </c>
      <c r="B982" s="2">
        <v>45985</v>
      </c>
      <c r="D982" s="4" t="s">
        <v>502</v>
      </c>
      <c r="E982" s="5" t="s">
        <v>302</v>
      </c>
      <c r="G982" s="5" t="s">
        <v>31</v>
      </c>
      <c r="H982" s="19" t="s">
        <v>505</v>
      </c>
      <c r="I982" s="19" t="s">
        <v>579</v>
      </c>
      <c r="L982" s="6">
        <v>28</v>
      </c>
      <c r="M982" s="7">
        <v>140</v>
      </c>
      <c r="P982" s="141">
        <v>1000</v>
      </c>
      <c r="Q982" s="95">
        <f>M982*P982</f>
        <v>140000</v>
      </c>
      <c r="Z982" s="18">
        <f t="shared" ref="Z982:Z1045" si="85">W982-S982-Q982</f>
        <v>-140000</v>
      </c>
    </row>
    <row r="983" spans="1:31" ht="16" customHeight="1" x14ac:dyDescent="0.45">
      <c r="A983" s="1">
        <v>2511</v>
      </c>
      <c r="B983" s="2">
        <v>45985</v>
      </c>
      <c r="D983" s="4" t="s">
        <v>502</v>
      </c>
      <c r="E983" s="5" t="s">
        <v>302</v>
      </c>
      <c r="G983" s="5" t="s">
        <v>31</v>
      </c>
      <c r="H983" s="19" t="s">
        <v>505</v>
      </c>
      <c r="I983" s="19" t="s">
        <v>580</v>
      </c>
      <c r="L983" s="6">
        <v>30</v>
      </c>
      <c r="M983" s="7">
        <v>140</v>
      </c>
      <c r="P983" s="141">
        <v>1000</v>
      </c>
      <c r="Q983" s="95">
        <f>M983*P983</f>
        <v>140000</v>
      </c>
      <c r="Z983" s="18">
        <f t="shared" si="85"/>
        <v>-140000</v>
      </c>
    </row>
    <row r="984" spans="1:31" ht="16" customHeight="1" x14ac:dyDescent="0.45">
      <c r="A984" s="1">
        <v>2511</v>
      </c>
      <c r="B984" s="2">
        <v>45985</v>
      </c>
      <c r="D984" s="4" t="s">
        <v>502</v>
      </c>
      <c r="E984" s="5" t="s">
        <v>302</v>
      </c>
      <c r="G984" s="5" t="s">
        <v>31</v>
      </c>
      <c r="H984" s="19" t="s">
        <v>505</v>
      </c>
      <c r="I984" s="19" t="s">
        <v>581</v>
      </c>
      <c r="L984" s="6">
        <v>28</v>
      </c>
      <c r="M984" s="7">
        <v>136</v>
      </c>
      <c r="P984" s="141">
        <v>1000</v>
      </c>
      <c r="Q984" s="95">
        <f>M984*P984</f>
        <v>136000</v>
      </c>
      <c r="Z984" s="18">
        <f t="shared" si="85"/>
        <v>-136000</v>
      </c>
    </row>
    <row r="985" spans="1:31" ht="16" customHeight="1" x14ac:dyDescent="0.45">
      <c r="A985" s="1">
        <v>2511</v>
      </c>
      <c r="B985" s="2">
        <v>45973</v>
      </c>
      <c r="D985" s="4" t="s">
        <v>35</v>
      </c>
      <c r="E985" s="5" t="s">
        <v>10</v>
      </c>
      <c r="G985" s="5" t="s">
        <v>19</v>
      </c>
      <c r="H985" s="19" t="s">
        <v>104</v>
      </c>
      <c r="I985" s="19" t="s">
        <v>36</v>
      </c>
      <c r="L985" s="6">
        <v>9</v>
      </c>
      <c r="M985" s="7">
        <v>232.5</v>
      </c>
      <c r="N985" s="8">
        <v>4557</v>
      </c>
      <c r="R985" s="12">
        <v>970</v>
      </c>
      <c r="S985" s="12">
        <f>N985*R985</f>
        <v>4420290</v>
      </c>
      <c r="Z985" s="18">
        <f t="shared" si="85"/>
        <v>-4420290</v>
      </c>
    </row>
    <row r="986" spans="1:31" ht="16" customHeight="1" x14ac:dyDescent="0.45">
      <c r="A986" s="1">
        <v>2511</v>
      </c>
      <c r="B986" s="2">
        <v>45973</v>
      </c>
      <c r="D986" s="4" t="s">
        <v>35</v>
      </c>
      <c r="E986" s="5" t="s">
        <v>10</v>
      </c>
      <c r="G986" s="5" t="s">
        <v>19</v>
      </c>
      <c r="H986" s="19" t="s">
        <v>104</v>
      </c>
      <c r="I986" s="19" t="s">
        <v>47</v>
      </c>
      <c r="L986" s="6">
        <v>1</v>
      </c>
      <c r="M986" s="7">
        <v>25.3</v>
      </c>
      <c r="N986" s="8">
        <v>496</v>
      </c>
      <c r="R986" s="12">
        <v>970</v>
      </c>
      <c r="S986" s="12">
        <f>N986*R986</f>
        <v>481120</v>
      </c>
      <c r="Z986" s="18">
        <f t="shared" si="85"/>
        <v>-481120</v>
      </c>
    </row>
    <row r="987" spans="1:31" ht="16" customHeight="1" x14ac:dyDescent="0.45">
      <c r="A987" s="1">
        <v>2511</v>
      </c>
      <c r="B987" s="23">
        <v>45974</v>
      </c>
      <c r="C987" s="24"/>
      <c r="D987" s="25" t="s">
        <v>37</v>
      </c>
      <c r="E987" s="26" t="s">
        <v>5</v>
      </c>
      <c r="F987" s="26"/>
      <c r="G987" s="26" t="s">
        <v>5</v>
      </c>
      <c r="H987" s="27" t="s">
        <v>129</v>
      </c>
      <c r="I987" s="27">
        <v>604</v>
      </c>
      <c r="J987" s="27"/>
      <c r="K987" s="28"/>
      <c r="L987" s="29">
        <v>5</v>
      </c>
      <c r="M987" s="30">
        <v>98.6</v>
      </c>
      <c r="N987" s="31"/>
      <c r="O987" s="32">
        <v>534</v>
      </c>
      <c r="P987" s="91"/>
      <c r="Q987" s="92"/>
      <c r="R987" s="93">
        <v>1850</v>
      </c>
      <c r="S987" s="93">
        <f t="shared" ref="S987:S1013" si="86">M987*R987</f>
        <v>182410</v>
      </c>
      <c r="T987" s="33"/>
      <c r="U987" s="34"/>
      <c r="V987" s="35">
        <v>1270</v>
      </c>
      <c r="W987" s="36">
        <f t="shared" ref="W987:W1014" si="87">O987*V987</f>
        <v>678180</v>
      </c>
      <c r="X987" s="93"/>
      <c r="Y987" s="21"/>
      <c r="Z987" s="18">
        <f t="shared" si="85"/>
        <v>495770</v>
      </c>
    </row>
    <row r="988" spans="1:31" ht="16" customHeight="1" x14ac:dyDescent="0.45">
      <c r="A988" s="1">
        <v>2511</v>
      </c>
      <c r="B988" s="2">
        <v>45972</v>
      </c>
      <c r="C988" s="24"/>
      <c r="D988" s="4" t="s">
        <v>37</v>
      </c>
      <c r="E988" s="5" t="s">
        <v>28</v>
      </c>
      <c r="G988" s="5" t="s">
        <v>28</v>
      </c>
      <c r="H988" s="19" t="s">
        <v>38</v>
      </c>
      <c r="I988" s="19" t="s">
        <v>39</v>
      </c>
      <c r="K988" s="73" t="s">
        <v>582</v>
      </c>
      <c r="L988" s="6">
        <v>27</v>
      </c>
      <c r="M988" s="7">
        <v>501</v>
      </c>
      <c r="O988" s="9">
        <v>758</v>
      </c>
      <c r="P988" s="141"/>
      <c r="Q988" s="95"/>
      <c r="R988" s="12">
        <v>2500</v>
      </c>
      <c r="S988" s="12">
        <f t="shared" si="86"/>
        <v>1252500</v>
      </c>
      <c r="T988" s="33"/>
      <c r="U988" s="34"/>
      <c r="V988" s="15">
        <v>6566</v>
      </c>
      <c r="W988" s="16">
        <f t="shared" si="87"/>
        <v>4977028</v>
      </c>
      <c r="Z988" s="18">
        <f t="shared" si="85"/>
        <v>3724528</v>
      </c>
    </row>
    <row r="989" spans="1:31" ht="16" customHeight="1" x14ac:dyDescent="0.45">
      <c r="A989" s="1">
        <v>2511</v>
      </c>
      <c r="B989" s="2">
        <v>45972</v>
      </c>
      <c r="C989" s="24"/>
      <c r="D989" s="4" t="s">
        <v>37</v>
      </c>
      <c r="E989" s="5" t="s">
        <v>28</v>
      </c>
      <c r="G989" s="5" t="s">
        <v>28</v>
      </c>
      <c r="H989" s="19" t="s">
        <v>38</v>
      </c>
      <c r="I989" s="19" t="s">
        <v>39</v>
      </c>
      <c r="K989" s="73" t="s">
        <v>583</v>
      </c>
      <c r="L989" s="6">
        <v>27</v>
      </c>
      <c r="M989" s="7">
        <v>505</v>
      </c>
      <c r="O989" s="9">
        <v>808</v>
      </c>
      <c r="P989" s="141"/>
      <c r="Q989" s="95"/>
      <c r="R989" s="12">
        <v>2500</v>
      </c>
      <c r="S989" s="12">
        <f t="shared" si="86"/>
        <v>1262500</v>
      </c>
      <c r="T989" s="33"/>
      <c r="U989" s="34"/>
      <c r="V989" s="15">
        <v>6566</v>
      </c>
      <c r="W989" s="16">
        <f t="shared" si="87"/>
        <v>5305328</v>
      </c>
      <c r="Z989" s="18">
        <f t="shared" si="85"/>
        <v>4042828</v>
      </c>
    </row>
    <row r="990" spans="1:31" ht="16" customHeight="1" x14ac:dyDescent="0.45">
      <c r="A990" s="1">
        <v>2511</v>
      </c>
      <c r="B990" s="2">
        <v>45972</v>
      </c>
      <c r="C990" s="24"/>
      <c r="D990" s="4" t="s">
        <v>37</v>
      </c>
      <c r="E990" s="5" t="s">
        <v>28</v>
      </c>
      <c r="G990" s="5" t="s">
        <v>28</v>
      </c>
      <c r="H990" s="19" t="s">
        <v>38</v>
      </c>
      <c r="I990" s="19" t="s">
        <v>39</v>
      </c>
      <c r="K990" s="73" t="s">
        <v>584</v>
      </c>
      <c r="L990" s="6">
        <v>27</v>
      </c>
      <c r="M990" s="7">
        <v>508</v>
      </c>
      <c r="O990" s="9">
        <v>802</v>
      </c>
      <c r="P990" s="141"/>
      <c r="Q990" s="95"/>
      <c r="R990" s="12">
        <v>2500</v>
      </c>
      <c r="S990" s="12">
        <f t="shared" si="86"/>
        <v>1270000</v>
      </c>
      <c r="T990" s="33"/>
      <c r="U990" s="34"/>
      <c r="V990" s="15">
        <v>6566</v>
      </c>
      <c r="W990" s="16">
        <f t="shared" si="87"/>
        <v>5265932</v>
      </c>
      <c r="Z990" s="18">
        <f t="shared" si="85"/>
        <v>3995932</v>
      </c>
    </row>
    <row r="991" spans="1:31" ht="16" customHeight="1" x14ac:dyDescent="0.45">
      <c r="A991" s="1">
        <v>2511</v>
      </c>
      <c r="B991" s="2">
        <v>45972</v>
      </c>
      <c r="C991" s="24"/>
      <c r="D991" s="4" t="s">
        <v>37</v>
      </c>
      <c r="E991" s="5" t="s">
        <v>28</v>
      </c>
      <c r="G991" s="5" t="s">
        <v>28</v>
      </c>
      <c r="H991" s="19" t="s">
        <v>38</v>
      </c>
      <c r="I991" s="19" t="s">
        <v>39</v>
      </c>
      <c r="K991" s="73" t="s">
        <v>585</v>
      </c>
      <c r="L991" s="6">
        <v>27</v>
      </c>
      <c r="M991" s="7">
        <v>503.2</v>
      </c>
      <c r="O991" s="9">
        <v>778</v>
      </c>
      <c r="P991" s="141"/>
      <c r="Q991" s="95"/>
      <c r="R991" s="12">
        <v>2500</v>
      </c>
      <c r="S991" s="12">
        <f t="shared" si="86"/>
        <v>1258000</v>
      </c>
      <c r="T991" s="33"/>
      <c r="U991" s="34"/>
      <c r="V991" s="15">
        <v>6566</v>
      </c>
      <c r="W991" s="16">
        <f t="shared" si="87"/>
        <v>5108348</v>
      </c>
      <c r="Z991" s="18">
        <f t="shared" si="85"/>
        <v>3850348</v>
      </c>
    </row>
    <row r="992" spans="1:31" ht="16" customHeight="1" x14ac:dyDescent="0.45">
      <c r="A992" s="1">
        <v>2511</v>
      </c>
      <c r="B992" s="2">
        <v>45972</v>
      </c>
      <c r="C992" s="24"/>
      <c r="D992" s="4" t="s">
        <v>37</v>
      </c>
      <c r="E992" s="5" t="s">
        <v>28</v>
      </c>
      <c r="G992" s="5" t="s">
        <v>28</v>
      </c>
      <c r="H992" s="19" t="s">
        <v>38</v>
      </c>
      <c r="I992" s="19" t="s">
        <v>39</v>
      </c>
      <c r="K992" s="73" t="s">
        <v>586</v>
      </c>
      <c r="L992" s="6">
        <v>19</v>
      </c>
      <c r="M992" s="7">
        <v>356.6</v>
      </c>
      <c r="O992" s="9">
        <v>557</v>
      </c>
      <c r="P992" s="141"/>
      <c r="Q992" s="95"/>
      <c r="R992" s="12">
        <v>2500</v>
      </c>
      <c r="S992" s="12">
        <f t="shared" si="86"/>
        <v>891500</v>
      </c>
      <c r="T992" s="33"/>
      <c r="U992" s="34"/>
      <c r="V992" s="15">
        <v>6566</v>
      </c>
      <c r="W992" s="16">
        <f t="shared" si="87"/>
        <v>3657262</v>
      </c>
      <c r="Z992" s="18">
        <f t="shared" si="85"/>
        <v>2765762</v>
      </c>
    </row>
    <row r="993" spans="1:31" ht="16" customHeight="1" x14ac:dyDescent="0.45">
      <c r="A993" s="1">
        <v>2511</v>
      </c>
      <c r="B993" s="23">
        <v>45972</v>
      </c>
      <c r="C993" s="24"/>
      <c r="D993" s="25" t="s">
        <v>37</v>
      </c>
      <c r="E993" s="26" t="s">
        <v>28</v>
      </c>
      <c r="F993" s="26"/>
      <c r="G993" s="26" t="s">
        <v>28</v>
      </c>
      <c r="H993" s="27" t="s">
        <v>32</v>
      </c>
      <c r="I993" s="27" t="s">
        <v>47</v>
      </c>
      <c r="J993" s="27"/>
      <c r="K993" s="38" t="s">
        <v>49</v>
      </c>
      <c r="L993" s="29">
        <v>17</v>
      </c>
      <c r="M993" s="30">
        <v>317.89999999999998</v>
      </c>
      <c r="N993" s="31"/>
      <c r="O993" s="32">
        <v>571</v>
      </c>
      <c r="P993" s="91"/>
      <c r="Q993" s="92"/>
      <c r="R993" s="93">
        <v>2500</v>
      </c>
      <c r="S993" s="93">
        <f t="shared" si="86"/>
        <v>794750</v>
      </c>
      <c r="T993" s="33"/>
      <c r="U993" s="34"/>
      <c r="V993" s="35">
        <v>5750</v>
      </c>
      <c r="W993" s="36">
        <f t="shared" si="87"/>
        <v>3283250</v>
      </c>
      <c r="X993" s="93"/>
      <c r="Y993" s="21"/>
      <c r="Z993" s="18">
        <f t="shared" si="85"/>
        <v>2488500</v>
      </c>
    </row>
    <row r="994" spans="1:31" ht="16" customHeight="1" x14ac:dyDescent="0.45">
      <c r="A994" s="1">
        <v>2511</v>
      </c>
      <c r="B994" s="2">
        <v>45965</v>
      </c>
      <c r="C994" s="24"/>
      <c r="D994" s="4" t="s">
        <v>37</v>
      </c>
      <c r="E994" s="5" t="s">
        <v>28</v>
      </c>
      <c r="G994" s="5" t="s">
        <v>28</v>
      </c>
      <c r="H994" s="19" t="s">
        <v>38</v>
      </c>
      <c r="I994" s="19" t="s">
        <v>39</v>
      </c>
      <c r="K994" s="73" t="s">
        <v>152</v>
      </c>
      <c r="L994" s="6">
        <v>32</v>
      </c>
      <c r="M994" s="7">
        <v>468</v>
      </c>
      <c r="O994" s="9">
        <v>740</v>
      </c>
      <c r="P994" s="141"/>
      <c r="Q994" s="95"/>
      <c r="R994" s="12">
        <v>2500</v>
      </c>
      <c r="S994" s="12">
        <f t="shared" si="86"/>
        <v>1170000</v>
      </c>
      <c r="T994" s="33"/>
      <c r="U994" s="34"/>
      <c r="V994" s="15">
        <v>6566</v>
      </c>
      <c r="W994" s="16">
        <f t="shared" si="87"/>
        <v>4858840</v>
      </c>
      <c r="Z994" s="18">
        <f t="shared" si="85"/>
        <v>3688840</v>
      </c>
    </row>
    <row r="995" spans="1:31" ht="16" customHeight="1" x14ac:dyDescent="0.45">
      <c r="A995" s="1">
        <v>2511</v>
      </c>
      <c r="B995" s="2">
        <v>45965</v>
      </c>
      <c r="C995" s="24"/>
      <c r="D995" s="4" t="s">
        <v>37</v>
      </c>
      <c r="E995" s="5" t="s">
        <v>28</v>
      </c>
      <c r="G995" s="5" t="s">
        <v>28</v>
      </c>
      <c r="H995" s="19" t="s">
        <v>38</v>
      </c>
      <c r="I995" s="19" t="s">
        <v>39</v>
      </c>
      <c r="K995" s="73" t="s">
        <v>173</v>
      </c>
      <c r="L995" s="6">
        <v>28</v>
      </c>
      <c r="M995" s="7">
        <v>428.6</v>
      </c>
      <c r="O995" s="9">
        <v>673</v>
      </c>
      <c r="P995" s="141"/>
      <c r="Q995" s="95"/>
      <c r="R995" s="12">
        <v>2500</v>
      </c>
      <c r="S995" s="12">
        <f t="shared" si="86"/>
        <v>1071500</v>
      </c>
      <c r="T995" s="33"/>
      <c r="U995" s="34"/>
      <c r="V995" s="15">
        <v>6566</v>
      </c>
      <c r="W995" s="16">
        <f t="shared" si="87"/>
        <v>4418918</v>
      </c>
      <c r="Z995" s="18">
        <f t="shared" si="85"/>
        <v>3347418</v>
      </c>
    </row>
    <row r="996" spans="1:31" ht="16" customHeight="1" x14ac:dyDescent="0.45">
      <c r="A996" s="1">
        <v>2511</v>
      </c>
      <c r="B996" s="2">
        <v>45965</v>
      </c>
      <c r="C996" s="24"/>
      <c r="D996" s="4" t="s">
        <v>37</v>
      </c>
      <c r="E996" s="5" t="s">
        <v>28</v>
      </c>
      <c r="G996" s="5" t="s">
        <v>28</v>
      </c>
      <c r="H996" s="19" t="s">
        <v>38</v>
      </c>
      <c r="I996" s="19" t="s">
        <v>39</v>
      </c>
      <c r="K996" s="73" t="s">
        <v>155</v>
      </c>
      <c r="L996" s="6">
        <v>25</v>
      </c>
      <c r="M996" s="7">
        <v>372.8</v>
      </c>
      <c r="O996" s="9">
        <v>584</v>
      </c>
      <c r="P996" s="141"/>
      <c r="Q996" s="95"/>
      <c r="R996" s="12">
        <v>2500</v>
      </c>
      <c r="S996" s="12">
        <f t="shared" si="86"/>
        <v>932000</v>
      </c>
      <c r="T996" s="33"/>
      <c r="U996" s="34"/>
      <c r="V996" s="15">
        <v>6566</v>
      </c>
      <c r="W996" s="16">
        <f t="shared" si="87"/>
        <v>3834544</v>
      </c>
      <c r="Z996" s="18">
        <f t="shared" si="85"/>
        <v>2902544</v>
      </c>
    </row>
    <row r="997" spans="1:31" ht="16" customHeight="1" x14ac:dyDescent="0.45">
      <c r="A997" s="1">
        <v>2511</v>
      </c>
      <c r="B997" s="2">
        <v>45965</v>
      </c>
      <c r="C997" s="24"/>
      <c r="D997" s="4" t="s">
        <v>37</v>
      </c>
      <c r="E997" s="5" t="s">
        <v>28</v>
      </c>
      <c r="G997" s="5" t="s">
        <v>28</v>
      </c>
      <c r="H997" s="19" t="s">
        <v>38</v>
      </c>
      <c r="I997" s="19" t="s">
        <v>39</v>
      </c>
      <c r="K997" s="73" t="s">
        <v>145</v>
      </c>
      <c r="L997" s="6">
        <v>17</v>
      </c>
      <c r="M997" s="7">
        <v>254.6</v>
      </c>
      <c r="O997" s="9">
        <v>405</v>
      </c>
      <c r="P997" s="141"/>
      <c r="Q997" s="95"/>
      <c r="R997" s="12">
        <v>2500</v>
      </c>
      <c r="S997" s="12">
        <f t="shared" si="86"/>
        <v>636500</v>
      </c>
      <c r="T997" s="33"/>
      <c r="U997" s="34"/>
      <c r="V997" s="15">
        <v>6566</v>
      </c>
      <c r="W997" s="16">
        <f t="shared" si="87"/>
        <v>2659230</v>
      </c>
      <c r="Z997" s="18">
        <f t="shared" si="85"/>
        <v>2022730</v>
      </c>
    </row>
    <row r="998" spans="1:31" ht="16" customHeight="1" x14ac:dyDescent="0.45">
      <c r="A998" s="1">
        <v>2511</v>
      </c>
      <c r="B998" s="2">
        <v>45965</v>
      </c>
      <c r="C998" s="24"/>
      <c r="D998" s="4" t="s">
        <v>37</v>
      </c>
      <c r="E998" s="5" t="s">
        <v>28</v>
      </c>
      <c r="G998" s="5" t="s">
        <v>28</v>
      </c>
      <c r="H998" s="19" t="s">
        <v>38</v>
      </c>
      <c r="I998" s="19" t="s">
        <v>39</v>
      </c>
      <c r="K998" s="73" t="s">
        <v>146</v>
      </c>
      <c r="L998" s="6">
        <v>32</v>
      </c>
      <c r="M998" s="7">
        <v>489.7</v>
      </c>
      <c r="O998" s="9">
        <v>770</v>
      </c>
      <c r="P998" s="141"/>
      <c r="Q998" s="95"/>
      <c r="R998" s="12">
        <v>2500</v>
      </c>
      <c r="S998" s="12">
        <f t="shared" si="86"/>
        <v>1224250</v>
      </c>
      <c r="T998" s="33"/>
      <c r="U998" s="34"/>
      <c r="V998" s="15">
        <v>6566</v>
      </c>
      <c r="W998" s="16">
        <f t="shared" si="87"/>
        <v>5055820</v>
      </c>
      <c r="Z998" s="18">
        <f t="shared" si="85"/>
        <v>3831570</v>
      </c>
    </row>
    <row r="999" spans="1:31" ht="16" customHeight="1" x14ac:dyDescent="0.45">
      <c r="A999" s="1">
        <v>2511</v>
      </c>
      <c r="B999" s="2">
        <v>45965</v>
      </c>
      <c r="C999" s="24"/>
      <c r="D999" s="4" t="s">
        <v>37</v>
      </c>
      <c r="E999" s="5" t="s">
        <v>28</v>
      </c>
      <c r="G999" s="5" t="s">
        <v>28</v>
      </c>
      <c r="H999" s="19" t="s">
        <v>38</v>
      </c>
      <c r="I999" s="19" t="s">
        <v>39</v>
      </c>
      <c r="K999" s="73" t="s">
        <v>108</v>
      </c>
      <c r="L999" s="6">
        <v>32</v>
      </c>
      <c r="M999" s="7">
        <v>475</v>
      </c>
      <c r="O999" s="9">
        <v>754</v>
      </c>
      <c r="P999" s="141"/>
      <c r="Q999" s="95"/>
      <c r="R999" s="12">
        <v>2500</v>
      </c>
      <c r="S999" s="12">
        <f t="shared" si="86"/>
        <v>1187500</v>
      </c>
      <c r="T999" s="33"/>
      <c r="U999" s="34"/>
      <c r="V999" s="15">
        <v>6566</v>
      </c>
      <c r="W999" s="16">
        <f t="shared" si="87"/>
        <v>4950764</v>
      </c>
      <c r="Z999" s="18">
        <f t="shared" si="85"/>
        <v>3763264</v>
      </c>
    </row>
    <row r="1000" spans="1:31" ht="16" customHeight="1" x14ac:dyDescent="0.45">
      <c r="A1000" s="1">
        <v>2511</v>
      </c>
      <c r="B1000" s="2">
        <v>45980</v>
      </c>
      <c r="C1000" s="24"/>
      <c r="D1000" s="4" t="s">
        <v>37</v>
      </c>
      <c r="E1000" s="5" t="s">
        <v>28</v>
      </c>
      <c r="G1000" s="5" t="s">
        <v>28</v>
      </c>
      <c r="H1000" s="19" t="s">
        <v>38</v>
      </c>
      <c r="I1000" s="19" t="s">
        <v>36</v>
      </c>
      <c r="L1000" s="6">
        <v>15</v>
      </c>
      <c r="M1000" s="7">
        <v>222.8</v>
      </c>
      <c r="O1000" s="9">
        <v>349</v>
      </c>
      <c r="P1000" s="141"/>
      <c r="Q1000" s="95"/>
      <c r="R1000" s="12">
        <v>2500</v>
      </c>
      <c r="S1000" s="12">
        <f t="shared" si="86"/>
        <v>557000</v>
      </c>
      <c r="T1000" s="33"/>
      <c r="U1000" s="34"/>
      <c r="V1000" s="15">
        <v>6566</v>
      </c>
      <c r="W1000" s="16">
        <f t="shared" si="87"/>
        <v>2291534</v>
      </c>
      <c r="Z1000" s="18">
        <f t="shared" si="85"/>
        <v>1734534</v>
      </c>
    </row>
    <row r="1001" spans="1:31" s="21" customFormat="1" ht="16" customHeight="1" x14ac:dyDescent="0.45">
      <c r="A1001" s="1">
        <v>2511</v>
      </c>
      <c r="B1001" s="23">
        <v>45980</v>
      </c>
      <c r="C1001" s="24"/>
      <c r="D1001" s="25" t="s">
        <v>37</v>
      </c>
      <c r="E1001" s="26" t="s">
        <v>28</v>
      </c>
      <c r="F1001" s="26"/>
      <c r="G1001" s="26" t="s">
        <v>28</v>
      </c>
      <c r="H1001" s="27" t="s">
        <v>32</v>
      </c>
      <c r="I1001" s="27" t="s">
        <v>47</v>
      </c>
      <c r="J1001" s="27"/>
      <c r="K1001" s="28"/>
      <c r="L1001" s="29">
        <v>8</v>
      </c>
      <c r="M1001" s="30">
        <v>139.5</v>
      </c>
      <c r="N1001" s="31"/>
      <c r="O1001" s="32">
        <v>262</v>
      </c>
      <c r="P1001" s="91"/>
      <c r="Q1001" s="92"/>
      <c r="R1001" s="93">
        <v>2500</v>
      </c>
      <c r="S1001" s="93">
        <f t="shared" si="86"/>
        <v>348750</v>
      </c>
      <c r="T1001" s="33"/>
      <c r="U1001" s="34"/>
      <c r="V1001" s="35">
        <v>5750</v>
      </c>
      <c r="W1001" s="36">
        <f t="shared" si="87"/>
        <v>1506500</v>
      </c>
      <c r="X1001" s="93"/>
      <c r="Z1001" s="18">
        <f t="shared" si="85"/>
        <v>1157750</v>
      </c>
      <c r="AA1001" s="17"/>
      <c r="AB1001" s="17"/>
      <c r="AC1001" s="17"/>
      <c r="AD1001" s="17"/>
      <c r="AE1001" s="17"/>
    </row>
    <row r="1002" spans="1:31" ht="16" customHeight="1" x14ac:dyDescent="0.45">
      <c r="A1002" s="1">
        <v>2511</v>
      </c>
      <c r="B1002" s="2">
        <v>45982</v>
      </c>
      <c r="C1002" s="24"/>
      <c r="D1002" s="4" t="s">
        <v>37</v>
      </c>
      <c r="E1002" s="5" t="s">
        <v>28</v>
      </c>
      <c r="G1002" s="5" t="s">
        <v>28</v>
      </c>
      <c r="H1002" s="19" t="s">
        <v>38</v>
      </c>
      <c r="I1002" s="19" t="s">
        <v>36</v>
      </c>
      <c r="K1002" s="73" t="s">
        <v>40</v>
      </c>
      <c r="L1002" s="6">
        <v>20</v>
      </c>
      <c r="M1002" s="7">
        <v>364.3</v>
      </c>
      <c r="O1002" s="9">
        <v>572</v>
      </c>
      <c r="P1002" s="141"/>
      <c r="Q1002" s="95"/>
      <c r="R1002" s="12">
        <v>2500</v>
      </c>
      <c r="S1002" s="12">
        <f t="shared" si="86"/>
        <v>910750</v>
      </c>
      <c r="T1002" s="33"/>
      <c r="U1002" s="34"/>
      <c r="V1002" s="15">
        <v>6566</v>
      </c>
      <c r="W1002" s="16">
        <f t="shared" si="87"/>
        <v>3755752</v>
      </c>
      <c r="Z1002" s="18">
        <f t="shared" si="85"/>
        <v>2845002</v>
      </c>
    </row>
    <row r="1003" spans="1:31" ht="16" customHeight="1" x14ac:dyDescent="0.45">
      <c r="A1003" s="1">
        <v>2511</v>
      </c>
      <c r="B1003" s="2">
        <v>45982</v>
      </c>
      <c r="C1003" s="24"/>
      <c r="D1003" s="4" t="s">
        <v>37</v>
      </c>
      <c r="E1003" s="5" t="s">
        <v>28</v>
      </c>
      <c r="G1003" s="5" t="s">
        <v>28</v>
      </c>
      <c r="H1003" s="19" t="s">
        <v>38</v>
      </c>
      <c r="I1003" s="19" t="s">
        <v>36</v>
      </c>
      <c r="K1003" s="73" t="s">
        <v>41</v>
      </c>
      <c r="L1003" s="6">
        <v>20</v>
      </c>
      <c r="M1003" s="7">
        <v>371.5</v>
      </c>
      <c r="O1003" s="9">
        <v>585</v>
      </c>
      <c r="P1003" s="141"/>
      <c r="Q1003" s="95"/>
      <c r="R1003" s="12">
        <v>2500</v>
      </c>
      <c r="S1003" s="12">
        <f t="shared" si="86"/>
        <v>928750</v>
      </c>
      <c r="T1003" s="33"/>
      <c r="U1003" s="34"/>
      <c r="V1003" s="15">
        <v>6566</v>
      </c>
      <c r="W1003" s="16">
        <f t="shared" si="87"/>
        <v>3841110</v>
      </c>
      <c r="Z1003" s="18">
        <f t="shared" si="85"/>
        <v>2912360</v>
      </c>
    </row>
    <row r="1004" spans="1:31" ht="16" customHeight="1" x14ac:dyDescent="0.45">
      <c r="A1004" s="1">
        <v>2511</v>
      </c>
      <c r="B1004" s="2">
        <v>45982</v>
      </c>
      <c r="C1004" s="24"/>
      <c r="D1004" s="4" t="s">
        <v>37</v>
      </c>
      <c r="E1004" s="5" t="s">
        <v>28</v>
      </c>
      <c r="G1004" s="5" t="s">
        <v>28</v>
      </c>
      <c r="H1004" s="19" t="s">
        <v>38</v>
      </c>
      <c r="I1004" s="19" t="s">
        <v>39</v>
      </c>
      <c r="K1004" s="73" t="s">
        <v>41</v>
      </c>
      <c r="L1004" s="6">
        <v>30</v>
      </c>
      <c r="M1004" s="7">
        <v>460.2</v>
      </c>
      <c r="O1004" s="9">
        <v>721</v>
      </c>
      <c r="P1004" s="141"/>
      <c r="Q1004" s="95"/>
      <c r="R1004" s="12">
        <v>2500</v>
      </c>
      <c r="S1004" s="12">
        <f t="shared" si="86"/>
        <v>1150500</v>
      </c>
      <c r="T1004" s="33"/>
      <c r="U1004" s="34"/>
      <c r="V1004" s="15">
        <v>6566</v>
      </c>
      <c r="W1004" s="16">
        <f t="shared" si="87"/>
        <v>4734086</v>
      </c>
      <c r="Z1004" s="18">
        <f t="shared" si="85"/>
        <v>3583586</v>
      </c>
    </row>
    <row r="1005" spans="1:31" ht="16" customHeight="1" x14ac:dyDescent="0.45">
      <c r="A1005" s="1">
        <v>2511</v>
      </c>
      <c r="B1005" s="2">
        <v>45982</v>
      </c>
      <c r="C1005" s="24"/>
      <c r="D1005" s="4" t="s">
        <v>37</v>
      </c>
      <c r="E1005" s="5" t="s">
        <v>28</v>
      </c>
      <c r="G1005" s="5" t="s">
        <v>28</v>
      </c>
      <c r="H1005" s="19" t="s">
        <v>38</v>
      </c>
      <c r="I1005" s="19" t="s">
        <v>39</v>
      </c>
      <c r="K1005" s="73" t="s">
        <v>42</v>
      </c>
      <c r="L1005" s="6">
        <v>28</v>
      </c>
      <c r="M1005" s="7">
        <v>419.9</v>
      </c>
      <c r="O1005" s="9">
        <v>656</v>
      </c>
      <c r="P1005" s="141"/>
      <c r="Q1005" s="95"/>
      <c r="R1005" s="12">
        <v>2500</v>
      </c>
      <c r="S1005" s="12">
        <f t="shared" si="86"/>
        <v>1049750</v>
      </c>
      <c r="T1005" s="33"/>
      <c r="U1005" s="34"/>
      <c r="V1005" s="15">
        <v>6566</v>
      </c>
      <c r="W1005" s="16">
        <f t="shared" si="87"/>
        <v>4307296</v>
      </c>
      <c r="Z1005" s="18">
        <f t="shared" si="85"/>
        <v>3257546</v>
      </c>
    </row>
    <row r="1006" spans="1:31" ht="16" customHeight="1" x14ac:dyDescent="0.45">
      <c r="A1006" s="1">
        <v>2511</v>
      </c>
      <c r="B1006" s="2">
        <v>45982</v>
      </c>
      <c r="C1006" s="24"/>
      <c r="D1006" s="4" t="s">
        <v>37</v>
      </c>
      <c r="E1006" s="5" t="s">
        <v>28</v>
      </c>
      <c r="G1006" s="5" t="s">
        <v>28</v>
      </c>
      <c r="H1006" s="19" t="s">
        <v>38</v>
      </c>
      <c r="I1006" s="19" t="s">
        <v>39</v>
      </c>
      <c r="K1006" s="73" t="s">
        <v>43</v>
      </c>
      <c r="L1006" s="6">
        <v>22</v>
      </c>
      <c r="M1006" s="7">
        <v>336.2</v>
      </c>
      <c r="O1006" s="9">
        <v>517</v>
      </c>
      <c r="P1006" s="141"/>
      <c r="Q1006" s="95"/>
      <c r="R1006" s="12">
        <v>2500</v>
      </c>
      <c r="S1006" s="12">
        <f t="shared" si="86"/>
        <v>840500</v>
      </c>
      <c r="T1006" s="33"/>
      <c r="U1006" s="34"/>
      <c r="V1006" s="15">
        <v>6566</v>
      </c>
      <c r="W1006" s="16">
        <f t="shared" si="87"/>
        <v>3394622</v>
      </c>
      <c r="Z1006" s="18">
        <f t="shared" si="85"/>
        <v>2554122</v>
      </c>
    </row>
    <row r="1007" spans="1:31" ht="16" customHeight="1" x14ac:dyDescent="0.45">
      <c r="A1007" s="1">
        <v>2511</v>
      </c>
      <c r="B1007" s="2">
        <v>45982</v>
      </c>
      <c r="C1007" s="24"/>
      <c r="D1007" s="4" t="s">
        <v>37</v>
      </c>
      <c r="E1007" s="5" t="s">
        <v>28</v>
      </c>
      <c r="G1007" s="5" t="s">
        <v>28</v>
      </c>
      <c r="H1007" s="19" t="s">
        <v>38</v>
      </c>
      <c r="I1007" s="19" t="s">
        <v>39</v>
      </c>
      <c r="K1007" s="73" t="s">
        <v>44</v>
      </c>
      <c r="L1007" s="6">
        <v>18</v>
      </c>
      <c r="M1007" s="7">
        <v>272.10000000000002</v>
      </c>
      <c r="O1007" s="9">
        <v>416</v>
      </c>
      <c r="P1007" s="141"/>
      <c r="Q1007" s="95"/>
      <c r="R1007" s="12">
        <v>2500</v>
      </c>
      <c r="S1007" s="12">
        <f t="shared" si="86"/>
        <v>680250</v>
      </c>
      <c r="T1007" s="33"/>
      <c r="U1007" s="34"/>
      <c r="V1007" s="15">
        <v>6566</v>
      </c>
      <c r="W1007" s="16">
        <f t="shared" si="87"/>
        <v>2731456</v>
      </c>
      <c r="Z1007" s="18">
        <f t="shared" si="85"/>
        <v>2051206</v>
      </c>
    </row>
    <row r="1008" spans="1:31" ht="16" customHeight="1" x14ac:dyDescent="0.45">
      <c r="A1008" s="1">
        <v>2511</v>
      </c>
      <c r="B1008" s="2">
        <v>45982</v>
      </c>
      <c r="C1008" s="24"/>
      <c r="D1008" s="4" t="s">
        <v>37</v>
      </c>
      <c r="E1008" s="5" t="s">
        <v>28</v>
      </c>
      <c r="G1008" s="5" t="s">
        <v>28</v>
      </c>
      <c r="H1008" s="19" t="s">
        <v>38</v>
      </c>
      <c r="I1008" s="19" t="s">
        <v>39</v>
      </c>
      <c r="K1008" s="73" t="s">
        <v>153</v>
      </c>
      <c r="L1008" s="6">
        <v>21</v>
      </c>
      <c r="M1008" s="7">
        <v>310.39999999999998</v>
      </c>
      <c r="O1008" s="9">
        <v>500</v>
      </c>
      <c r="P1008" s="141"/>
      <c r="Q1008" s="95"/>
      <c r="R1008" s="12">
        <v>2500</v>
      </c>
      <c r="S1008" s="12">
        <f t="shared" si="86"/>
        <v>776000</v>
      </c>
      <c r="T1008" s="33"/>
      <c r="U1008" s="34"/>
      <c r="V1008" s="15">
        <v>6566</v>
      </c>
      <c r="W1008" s="16">
        <f t="shared" si="87"/>
        <v>3283000</v>
      </c>
      <c r="Z1008" s="18">
        <f t="shared" si="85"/>
        <v>2507000</v>
      </c>
    </row>
    <row r="1009" spans="1:31" ht="16" customHeight="1" x14ac:dyDescent="0.45">
      <c r="A1009" s="1">
        <v>2511</v>
      </c>
      <c r="B1009" s="2">
        <v>45982</v>
      </c>
      <c r="C1009" s="24"/>
      <c r="D1009" s="4" t="s">
        <v>37</v>
      </c>
      <c r="E1009" s="5" t="s">
        <v>28</v>
      </c>
      <c r="G1009" s="5" t="s">
        <v>28</v>
      </c>
      <c r="H1009" s="19" t="s">
        <v>38</v>
      </c>
      <c r="I1009" s="19" t="s">
        <v>39</v>
      </c>
      <c r="K1009" s="73" t="s">
        <v>154</v>
      </c>
      <c r="L1009" s="6">
        <v>32</v>
      </c>
      <c r="M1009" s="7">
        <v>473.9</v>
      </c>
      <c r="O1009" s="9">
        <v>764</v>
      </c>
      <c r="P1009" s="141"/>
      <c r="Q1009" s="95"/>
      <c r="R1009" s="12">
        <v>2500</v>
      </c>
      <c r="S1009" s="12">
        <f t="shared" si="86"/>
        <v>1184750</v>
      </c>
      <c r="T1009" s="33"/>
      <c r="U1009" s="34"/>
      <c r="V1009" s="15">
        <v>6566</v>
      </c>
      <c r="W1009" s="16">
        <f t="shared" si="87"/>
        <v>5016424</v>
      </c>
      <c r="Z1009" s="18">
        <f t="shared" si="85"/>
        <v>3831674</v>
      </c>
    </row>
    <row r="1010" spans="1:31" ht="16" customHeight="1" x14ac:dyDescent="0.45">
      <c r="A1010" s="1">
        <v>2511</v>
      </c>
      <c r="B1010" s="2">
        <v>45982</v>
      </c>
      <c r="C1010" s="24"/>
      <c r="D1010" s="4" t="s">
        <v>37</v>
      </c>
      <c r="E1010" s="5" t="s">
        <v>28</v>
      </c>
      <c r="G1010" s="5" t="s">
        <v>28</v>
      </c>
      <c r="H1010" s="19" t="s">
        <v>38</v>
      </c>
      <c r="I1010" s="19" t="s">
        <v>39</v>
      </c>
      <c r="K1010" s="73" t="s">
        <v>156</v>
      </c>
      <c r="L1010" s="6">
        <v>24</v>
      </c>
      <c r="M1010" s="7">
        <v>346.4</v>
      </c>
      <c r="O1010" s="9">
        <v>548</v>
      </c>
      <c r="P1010" s="141"/>
      <c r="Q1010" s="95"/>
      <c r="R1010" s="12">
        <v>2500</v>
      </c>
      <c r="S1010" s="12">
        <f t="shared" si="86"/>
        <v>866000</v>
      </c>
      <c r="T1010" s="33"/>
      <c r="U1010" s="34"/>
      <c r="V1010" s="15">
        <v>6566</v>
      </c>
      <c r="W1010" s="16">
        <f t="shared" si="87"/>
        <v>3598168</v>
      </c>
      <c r="Z1010" s="18">
        <f t="shared" si="85"/>
        <v>2732168</v>
      </c>
    </row>
    <row r="1011" spans="1:31" ht="16" customHeight="1" x14ac:dyDescent="0.45">
      <c r="A1011" s="1">
        <v>2511</v>
      </c>
      <c r="B1011" s="2">
        <v>45982</v>
      </c>
      <c r="C1011" s="24"/>
      <c r="D1011" s="4" t="s">
        <v>37</v>
      </c>
      <c r="E1011" s="5" t="s">
        <v>28</v>
      </c>
      <c r="G1011" s="5" t="s">
        <v>28</v>
      </c>
      <c r="H1011" s="19" t="s">
        <v>38</v>
      </c>
      <c r="I1011" s="19" t="s">
        <v>39</v>
      </c>
      <c r="K1011" s="73" t="s">
        <v>157</v>
      </c>
      <c r="L1011" s="6">
        <v>22</v>
      </c>
      <c r="M1011" s="7">
        <v>331.4</v>
      </c>
      <c r="O1011" s="9">
        <v>519</v>
      </c>
      <c r="P1011" s="141"/>
      <c r="Q1011" s="95"/>
      <c r="R1011" s="12">
        <v>2500</v>
      </c>
      <c r="S1011" s="12">
        <f t="shared" si="86"/>
        <v>828500</v>
      </c>
      <c r="T1011" s="33"/>
      <c r="U1011" s="34"/>
      <c r="V1011" s="15">
        <v>6566</v>
      </c>
      <c r="W1011" s="16">
        <f t="shared" si="87"/>
        <v>3407754</v>
      </c>
      <c r="Z1011" s="18">
        <f t="shared" si="85"/>
        <v>2579254</v>
      </c>
    </row>
    <row r="1012" spans="1:31" ht="16" customHeight="1" x14ac:dyDescent="0.45">
      <c r="A1012" s="1">
        <v>2511</v>
      </c>
      <c r="B1012" s="2">
        <v>45982</v>
      </c>
      <c r="C1012" s="24"/>
      <c r="D1012" s="4" t="s">
        <v>37</v>
      </c>
      <c r="E1012" s="5" t="s">
        <v>28</v>
      </c>
      <c r="G1012" s="5" t="s">
        <v>28</v>
      </c>
      <c r="H1012" s="19" t="s">
        <v>38</v>
      </c>
      <c r="I1012" s="19" t="s">
        <v>39</v>
      </c>
      <c r="K1012" s="73" t="s">
        <v>165</v>
      </c>
      <c r="L1012" s="6">
        <v>25</v>
      </c>
      <c r="M1012" s="7">
        <v>377.1</v>
      </c>
      <c r="O1012" s="9">
        <v>581</v>
      </c>
      <c r="P1012" s="141"/>
      <c r="Q1012" s="95"/>
      <c r="R1012" s="12">
        <v>2500</v>
      </c>
      <c r="S1012" s="12">
        <f t="shared" si="86"/>
        <v>942750</v>
      </c>
      <c r="T1012" s="33"/>
      <c r="U1012" s="34"/>
      <c r="V1012" s="15">
        <v>6566</v>
      </c>
      <c r="W1012" s="16">
        <f t="shared" si="87"/>
        <v>3814846</v>
      </c>
      <c r="Z1012" s="18">
        <f t="shared" si="85"/>
        <v>2872096</v>
      </c>
    </row>
    <row r="1013" spans="1:31" ht="16" customHeight="1" x14ac:dyDescent="0.45">
      <c r="A1013" s="1">
        <v>2511</v>
      </c>
      <c r="B1013" s="2">
        <v>45982</v>
      </c>
      <c r="C1013" s="24"/>
      <c r="D1013" s="4" t="s">
        <v>37</v>
      </c>
      <c r="E1013" s="5" t="s">
        <v>28</v>
      </c>
      <c r="G1013" s="5" t="s">
        <v>28</v>
      </c>
      <c r="H1013" s="19" t="s">
        <v>38</v>
      </c>
      <c r="I1013" s="19" t="s">
        <v>39</v>
      </c>
      <c r="K1013" s="73" t="s">
        <v>158</v>
      </c>
      <c r="L1013" s="6">
        <v>20</v>
      </c>
      <c r="M1013" s="7">
        <v>301.10000000000002</v>
      </c>
      <c r="O1013" s="9">
        <v>488</v>
      </c>
      <c r="P1013" s="141"/>
      <c r="Q1013" s="95"/>
      <c r="R1013" s="12">
        <v>2500</v>
      </c>
      <c r="S1013" s="12">
        <f t="shared" si="86"/>
        <v>752750</v>
      </c>
      <c r="T1013" s="33"/>
      <c r="U1013" s="34"/>
      <c r="V1013" s="15">
        <v>6566</v>
      </c>
      <c r="W1013" s="16">
        <f t="shared" si="87"/>
        <v>3204208</v>
      </c>
      <c r="Z1013" s="18">
        <f t="shared" si="85"/>
        <v>2451458</v>
      </c>
    </row>
    <row r="1014" spans="1:31" ht="16" customHeight="1" x14ac:dyDescent="0.45">
      <c r="A1014" s="1">
        <v>2511</v>
      </c>
      <c r="B1014" s="23">
        <v>45987</v>
      </c>
      <c r="C1014" s="24"/>
      <c r="D1014" s="25" t="s">
        <v>587</v>
      </c>
      <c r="E1014" s="26" t="s">
        <v>230</v>
      </c>
      <c r="F1014" s="26"/>
      <c r="G1014" s="26" t="s">
        <v>230</v>
      </c>
      <c r="H1014" s="27" t="s">
        <v>231</v>
      </c>
      <c r="I1014" s="27"/>
      <c r="J1014" s="27"/>
      <c r="K1014" s="28"/>
      <c r="L1014" s="29"/>
      <c r="M1014" s="30"/>
      <c r="N1014" s="31"/>
      <c r="O1014" s="32">
        <v>-489</v>
      </c>
      <c r="P1014" s="91"/>
      <c r="Q1014" s="92"/>
      <c r="R1014" s="93"/>
      <c r="S1014" s="93"/>
      <c r="T1014" s="33"/>
      <c r="U1014" s="34"/>
      <c r="V1014" s="35">
        <v>1312</v>
      </c>
      <c r="W1014" s="36">
        <f t="shared" si="87"/>
        <v>-641568</v>
      </c>
      <c r="X1014" s="93"/>
      <c r="Y1014" s="21"/>
      <c r="Z1014" s="18">
        <f t="shared" si="85"/>
        <v>-641568</v>
      </c>
    </row>
    <row r="1015" spans="1:31" ht="16" customHeight="1" x14ac:dyDescent="0.45">
      <c r="A1015" s="1">
        <v>2511</v>
      </c>
      <c r="B1015" s="23">
        <v>45971</v>
      </c>
      <c r="C1015" s="24"/>
      <c r="D1015" s="25" t="s">
        <v>588</v>
      </c>
      <c r="E1015" s="26" t="s">
        <v>17</v>
      </c>
      <c r="F1015" s="26"/>
      <c r="G1015" s="26" t="s">
        <v>17</v>
      </c>
      <c r="H1015" s="27" t="s">
        <v>88</v>
      </c>
      <c r="I1015" s="27" t="s">
        <v>34</v>
      </c>
      <c r="J1015" s="27"/>
      <c r="K1015" s="28"/>
      <c r="L1015" s="29">
        <v>33</v>
      </c>
      <c r="M1015" s="30"/>
      <c r="N1015" s="31">
        <v>10728</v>
      </c>
      <c r="O1015" s="32"/>
      <c r="P1015" s="91"/>
      <c r="Q1015" s="92"/>
      <c r="R1015" s="93">
        <v>2190</v>
      </c>
      <c r="S1015" s="93">
        <f t="shared" ref="S1015:S1023" si="88">N1015*R1015</f>
        <v>23494320</v>
      </c>
      <c r="T1015" s="33"/>
      <c r="U1015" s="34"/>
      <c r="V1015" s="35">
        <v>2390</v>
      </c>
      <c r="W1015" s="36">
        <f>N1015*V1015</f>
        <v>25639920</v>
      </c>
      <c r="X1015" s="93"/>
      <c r="Y1015" s="21"/>
      <c r="Z1015" s="18">
        <f t="shared" si="85"/>
        <v>2145600</v>
      </c>
    </row>
    <row r="1016" spans="1:31" ht="16" customHeight="1" x14ac:dyDescent="0.45">
      <c r="A1016" s="1">
        <v>2511</v>
      </c>
      <c r="B1016" s="2">
        <v>45991</v>
      </c>
      <c r="D1016" s="4" t="s">
        <v>159</v>
      </c>
      <c r="G1016" s="5" t="s">
        <v>28</v>
      </c>
      <c r="H1016" s="19" t="s">
        <v>202</v>
      </c>
      <c r="N1016" s="8">
        <v>17145</v>
      </c>
      <c r="R1016" s="12">
        <v>130</v>
      </c>
      <c r="S1016" s="12">
        <f t="shared" si="88"/>
        <v>2228850</v>
      </c>
      <c r="Z1016" s="18">
        <f t="shared" si="85"/>
        <v>-2228850</v>
      </c>
    </row>
    <row r="1017" spans="1:31" ht="16" customHeight="1" x14ac:dyDescent="0.45">
      <c r="A1017" s="1">
        <v>2511</v>
      </c>
      <c r="B1017" s="2">
        <v>45964</v>
      </c>
      <c r="D1017" s="4" t="s">
        <v>3</v>
      </c>
      <c r="E1017" s="5" t="s">
        <v>211</v>
      </c>
      <c r="G1017" s="5" t="s">
        <v>1</v>
      </c>
      <c r="H1017" s="19" t="s">
        <v>2</v>
      </c>
      <c r="I1017" s="19" t="s">
        <v>56</v>
      </c>
      <c r="K1017" s="73" t="s">
        <v>589</v>
      </c>
      <c r="L1017" s="6">
        <v>2</v>
      </c>
      <c r="M1017" s="7">
        <v>19.399999999999999</v>
      </c>
      <c r="N1017" s="8">
        <v>302</v>
      </c>
      <c r="R1017" s="12">
        <v>500</v>
      </c>
      <c r="S1017" s="12">
        <f t="shared" si="88"/>
        <v>151000</v>
      </c>
      <c r="Z1017" s="18">
        <f t="shared" si="85"/>
        <v>-151000</v>
      </c>
    </row>
    <row r="1018" spans="1:31" ht="16" customHeight="1" x14ac:dyDescent="0.45">
      <c r="A1018" s="1">
        <v>2511</v>
      </c>
      <c r="B1018" s="2">
        <v>45964</v>
      </c>
      <c r="D1018" s="4" t="s">
        <v>3</v>
      </c>
      <c r="E1018" s="5" t="s">
        <v>211</v>
      </c>
      <c r="G1018" s="5" t="s">
        <v>1</v>
      </c>
      <c r="H1018" s="19" t="s">
        <v>2</v>
      </c>
      <c r="I1018" s="19" t="s">
        <v>56</v>
      </c>
      <c r="K1018" s="73" t="s">
        <v>590</v>
      </c>
      <c r="L1018" s="6">
        <v>6</v>
      </c>
      <c r="M1018" s="7">
        <v>93.6</v>
      </c>
      <c r="N1018" s="8">
        <v>1444</v>
      </c>
      <c r="R1018" s="12">
        <v>500</v>
      </c>
      <c r="S1018" s="12">
        <f t="shared" si="88"/>
        <v>722000</v>
      </c>
      <c r="Z1018" s="18">
        <f t="shared" si="85"/>
        <v>-722000</v>
      </c>
    </row>
    <row r="1019" spans="1:31" ht="16" customHeight="1" x14ac:dyDescent="0.45">
      <c r="A1019" s="1">
        <v>2511</v>
      </c>
      <c r="B1019" s="2">
        <v>45975</v>
      </c>
      <c r="D1019" s="4" t="s">
        <v>3</v>
      </c>
      <c r="E1019" s="5" t="s">
        <v>211</v>
      </c>
      <c r="G1019" s="5" t="s">
        <v>1</v>
      </c>
      <c r="H1019" s="19" t="s">
        <v>2</v>
      </c>
      <c r="I1019" s="19" t="s">
        <v>591</v>
      </c>
      <c r="K1019" s="20">
        <v>1</v>
      </c>
      <c r="L1019" s="6">
        <v>5</v>
      </c>
      <c r="M1019" s="7">
        <v>29.6</v>
      </c>
      <c r="N1019" s="8">
        <v>485</v>
      </c>
      <c r="R1019" s="12">
        <v>500</v>
      </c>
      <c r="S1019" s="12">
        <f t="shared" si="88"/>
        <v>242500</v>
      </c>
      <c r="Z1019" s="18">
        <f t="shared" si="85"/>
        <v>-242500</v>
      </c>
    </row>
    <row r="1020" spans="1:31" s="21" customFormat="1" ht="16" customHeight="1" x14ac:dyDescent="0.45">
      <c r="A1020" s="1">
        <v>2511</v>
      </c>
      <c r="B1020" s="2">
        <v>45978</v>
      </c>
      <c r="C1020" s="3"/>
      <c r="D1020" s="4" t="s">
        <v>3</v>
      </c>
      <c r="E1020" s="5" t="s">
        <v>211</v>
      </c>
      <c r="F1020" s="5"/>
      <c r="G1020" s="5" t="s">
        <v>1</v>
      </c>
      <c r="H1020" s="19" t="s">
        <v>2</v>
      </c>
      <c r="I1020" s="19" t="s">
        <v>130</v>
      </c>
      <c r="J1020" s="19"/>
      <c r="K1020" s="20">
        <v>4</v>
      </c>
      <c r="L1020" s="6">
        <v>9</v>
      </c>
      <c r="M1020" s="7">
        <v>85.5</v>
      </c>
      <c r="N1020" s="8">
        <v>1246</v>
      </c>
      <c r="O1020" s="9"/>
      <c r="P1020" s="10"/>
      <c r="Q1020" s="11"/>
      <c r="R1020" s="12">
        <v>550</v>
      </c>
      <c r="S1020" s="12">
        <f t="shared" si="88"/>
        <v>685300</v>
      </c>
      <c r="T1020" s="13"/>
      <c r="U1020" s="14"/>
      <c r="V1020" s="15"/>
      <c r="W1020" s="16"/>
      <c r="X1020" s="12"/>
      <c r="Y1020" s="17"/>
      <c r="Z1020" s="18">
        <f t="shared" si="85"/>
        <v>-685300</v>
      </c>
      <c r="AA1020" s="17"/>
      <c r="AB1020" s="17"/>
      <c r="AC1020" s="17"/>
      <c r="AD1020" s="17"/>
      <c r="AE1020" s="17"/>
    </row>
    <row r="1021" spans="1:31" s="21" customFormat="1" ht="16" customHeight="1" x14ac:dyDescent="0.45">
      <c r="A1021" s="1">
        <v>2511</v>
      </c>
      <c r="B1021" s="2">
        <v>45966</v>
      </c>
      <c r="C1021" s="3"/>
      <c r="D1021" s="4" t="s">
        <v>3</v>
      </c>
      <c r="E1021" s="5" t="s">
        <v>211</v>
      </c>
      <c r="F1021" s="5"/>
      <c r="G1021" s="5" t="s">
        <v>1</v>
      </c>
      <c r="H1021" s="19" t="s">
        <v>2</v>
      </c>
      <c r="I1021" s="19" t="s">
        <v>592</v>
      </c>
      <c r="J1021" s="19"/>
      <c r="K1021" s="20"/>
      <c r="L1021" s="6">
        <v>1</v>
      </c>
      <c r="M1021" s="7">
        <v>15.2</v>
      </c>
      <c r="N1021" s="8">
        <v>230</v>
      </c>
      <c r="O1021" s="9"/>
      <c r="P1021" s="10"/>
      <c r="Q1021" s="11"/>
      <c r="R1021" s="12">
        <v>550</v>
      </c>
      <c r="S1021" s="12">
        <f t="shared" si="88"/>
        <v>126500</v>
      </c>
      <c r="T1021" s="13"/>
      <c r="U1021" s="14"/>
      <c r="V1021" s="15"/>
      <c r="W1021" s="16"/>
      <c r="X1021" s="12"/>
      <c r="Y1021" s="17"/>
      <c r="Z1021" s="18">
        <f t="shared" si="85"/>
        <v>-126500</v>
      </c>
      <c r="AA1021" s="17"/>
      <c r="AB1021" s="17"/>
      <c r="AC1021" s="17"/>
      <c r="AD1021" s="17"/>
      <c r="AE1021" s="17"/>
    </row>
    <row r="1022" spans="1:31" ht="16" customHeight="1" x14ac:dyDescent="0.45">
      <c r="A1022" s="1">
        <v>2511</v>
      </c>
      <c r="B1022" s="2">
        <v>45987</v>
      </c>
      <c r="D1022" s="4" t="s">
        <v>3</v>
      </c>
      <c r="E1022" s="5" t="s">
        <v>211</v>
      </c>
      <c r="G1022" s="5" t="s">
        <v>1</v>
      </c>
      <c r="H1022" s="19" t="s">
        <v>2</v>
      </c>
      <c r="I1022" s="19" t="s">
        <v>53</v>
      </c>
      <c r="K1022" s="20">
        <v>42</v>
      </c>
      <c r="L1022" s="6">
        <v>6</v>
      </c>
      <c r="M1022" s="7">
        <v>93.5</v>
      </c>
      <c r="N1022" s="8">
        <v>1339</v>
      </c>
      <c r="R1022" s="12">
        <v>550</v>
      </c>
      <c r="S1022" s="12">
        <f t="shared" si="88"/>
        <v>736450</v>
      </c>
      <c r="Z1022" s="18">
        <f t="shared" si="85"/>
        <v>-736450</v>
      </c>
    </row>
    <row r="1023" spans="1:31" s="21" customFormat="1" ht="16" customHeight="1" x14ac:dyDescent="0.45">
      <c r="A1023" s="1">
        <v>2511</v>
      </c>
      <c r="B1023" s="2">
        <v>45987</v>
      </c>
      <c r="C1023" s="3"/>
      <c r="D1023" s="4" t="s">
        <v>3</v>
      </c>
      <c r="E1023" s="5" t="s">
        <v>211</v>
      </c>
      <c r="F1023" s="5"/>
      <c r="G1023" s="5" t="s">
        <v>1</v>
      </c>
      <c r="H1023" s="19" t="s">
        <v>2</v>
      </c>
      <c r="I1023" s="19" t="s">
        <v>53</v>
      </c>
      <c r="J1023" s="19"/>
      <c r="K1023" s="20">
        <v>41</v>
      </c>
      <c r="L1023" s="6">
        <v>9</v>
      </c>
      <c r="M1023" s="7">
        <v>92.3</v>
      </c>
      <c r="N1023" s="8">
        <v>1272</v>
      </c>
      <c r="O1023" s="9"/>
      <c r="P1023" s="10"/>
      <c r="Q1023" s="11"/>
      <c r="R1023" s="12">
        <v>550</v>
      </c>
      <c r="S1023" s="12">
        <f t="shared" si="88"/>
        <v>699600</v>
      </c>
      <c r="T1023" s="13"/>
      <c r="U1023" s="14"/>
      <c r="V1023" s="15"/>
      <c r="W1023" s="16"/>
      <c r="X1023" s="12"/>
      <c r="Y1023" s="17"/>
      <c r="Z1023" s="18">
        <f t="shared" si="85"/>
        <v>-699600</v>
      </c>
      <c r="AA1023" s="17"/>
      <c r="AB1023" s="17"/>
      <c r="AC1023" s="17"/>
      <c r="AD1023" s="17"/>
      <c r="AE1023" s="17"/>
    </row>
    <row r="1024" spans="1:31" ht="16" customHeight="1" x14ac:dyDescent="0.45">
      <c r="A1024" s="1">
        <v>2511</v>
      </c>
      <c r="B1024" s="23">
        <v>45987</v>
      </c>
      <c r="C1024" s="24"/>
      <c r="D1024" s="25" t="s">
        <v>109</v>
      </c>
      <c r="E1024" s="26" t="s">
        <v>230</v>
      </c>
      <c r="F1024" s="26"/>
      <c r="G1024" s="26" t="s">
        <v>230</v>
      </c>
      <c r="H1024" s="27" t="s">
        <v>231</v>
      </c>
      <c r="I1024" s="27">
        <v>94010</v>
      </c>
      <c r="J1024" s="27"/>
      <c r="K1024" s="28"/>
      <c r="L1024" s="29">
        <v>2</v>
      </c>
      <c r="M1024" s="30"/>
      <c r="N1024" s="31">
        <v>580</v>
      </c>
      <c r="O1024" s="32">
        <v>530</v>
      </c>
      <c r="P1024" s="91"/>
      <c r="Q1024" s="92"/>
      <c r="R1024" s="93" t="s">
        <v>232</v>
      </c>
      <c r="S1024" s="93"/>
      <c r="T1024" s="33"/>
      <c r="U1024" s="34"/>
      <c r="V1024" s="35">
        <v>1312</v>
      </c>
      <c r="W1024" s="36">
        <f>O1024*V1024</f>
        <v>695360</v>
      </c>
      <c r="X1024" s="93"/>
      <c r="Y1024" s="21"/>
      <c r="Z1024" s="18">
        <f t="shared" si="85"/>
        <v>695360</v>
      </c>
    </row>
    <row r="1025" spans="1:31" ht="16" customHeight="1" x14ac:dyDescent="0.45">
      <c r="A1025" s="1">
        <v>2511</v>
      </c>
      <c r="B1025" s="23">
        <v>45917</v>
      </c>
      <c r="C1025" s="24"/>
      <c r="D1025" s="25" t="s">
        <v>109</v>
      </c>
      <c r="E1025" s="26" t="s">
        <v>230</v>
      </c>
      <c r="F1025" s="26"/>
      <c r="G1025" s="26" t="s">
        <v>230</v>
      </c>
      <c r="H1025" s="27" t="s">
        <v>231</v>
      </c>
      <c r="I1025" s="27" t="s">
        <v>593</v>
      </c>
      <c r="J1025" s="27"/>
      <c r="K1025" s="28"/>
      <c r="L1025" s="29">
        <v>5</v>
      </c>
      <c r="M1025" s="30"/>
      <c r="N1025" s="31">
        <v>1372</v>
      </c>
      <c r="O1025" s="32">
        <v>1254</v>
      </c>
      <c r="P1025" s="91"/>
      <c r="Q1025" s="92"/>
      <c r="R1025" s="93" t="s">
        <v>232</v>
      </c>
      <c r="S1025" s="93"/>
      <c r="T1025" s="33"/>
      <c r="U1025" s="34"/>
      <c r="V1025" s="35">
        <v>1312</v>
      </c>
      <c r="W1025" s="36">
        <f>O1025*V1025</f>
        <v>1645248</v>
      </c>
      <c r="X1025" s="93"/>
      <c r="Y1025" s="21"/>
      <c r="Z1025" s="18">
        <f t="shared" si="85"/>
        <v>1645248</v>
      </c>
    </row>
    <row r="1026" spans="1:31" ht="16" customHeight="1" x14ac:dyDescent="0.45">
      <c r="A1026" s="1">
        <v>2511</v>
      </c>
      <c r="B1026" s="23">
        <v>45980</v>
      </c>
      <c r="C1026" s="24"/>
      <c r="D1026" s="25" t="s">
        <v>109</v>
      </c>
      <c r="E1026" s="26" t="s">
        <v>1</v>
      </c>
      <c r="F1026" s="26" t="s">
        <v>594</v>
      </c>
      <c r="G1026" s="26" t="s">
        <v>1</v>
      </c>
      <c r="H1026" s="27" t="s">
        <v>595</v>
      </c>
      <c r="I1026" s="27" t="s">
        <v>596</v>
      </c>
      <c r="J1026" s="27"/>
      <c r="K1026" s="28"/>
      <c r="L1026" s="29"/>
      <c r="M1026" s="30"/>
      <c r="N1026" s="31"/>
      <c r="O1026" s="32">
        <v>1600</v>
      </c>
      <c r="P1026" s="91"/>
      <c r="Q1026" s="92"/>
      <c r="R1026" s="93" t="s">
        <v>597</v>
      </c>
      <c r="S1026" s="93"/>
      <c r="T1026" s="33"/>
      <c r="U1026" s="34"/>
      <c r="V1026" s="35">
        <v>5250</v>
      </c>
      <c r="W1026" s="36">
        <f>O1026*V1026</f>
        <v>8400000</v>
      </c>
      <c r="X1026" s="93"/>
      <c r="Y1026" s="21"/>
      <c r="Z1026" s="18">
        <f t="shared" si="85"/>
        <v>8400000</v>
      </c>
    </row>
    <row r="1027" spans="1:31" s="21" customFormat="1" ht="16" customHeight="1" x14ac:dyDescent="0.45">
      <c r="A1027" s="1">
        <v>2511</v>
      </c>
      <c r="B1027" s="2">
        <v>45967</v>
      </c>
      <c r="C1027" s="3"/>
      <c r="D1027" s="4" t="s">
        <v>123</v>
      </c>
      <c r="E1027" s="5" t="s">
        <v>37</v>
      </c>
      <c r="F1027" s="5"/>
      <c r="G1027" s="5" t="s">
        <v>5</v>
      </c>
      <c r="H1027" s="19" t="s">
        <v>131</v>
      </c>
      <c r="I1027" s="19"/>
      <c r="J1027" s="19"/>
      <c r="K1027" s="20"/>
      <c r="L1027" s="6">
        <v>5</v>
      </c>
      <c r="M1027" s="7">
        <v>102.5</v>
      </c>
      <c r="N1027" s="8"/>
      <c r="O1027" s="9"/>
      <c r="P1027" s="10"/>
      <c r="Q1027" s="11"/>
      <c r="R1027" s="12">
        <v>3700</v>
      </c>
      <c r="S1027" s="12">
        <f>M1027*R1027</f>
        <v>379250</v>
      </c>
      <c r="T1027" s="13"/>
      <c r="U1027" s="14"/>
      <c r="V1027" s="15"/>
      <c r="W1027" s="16"/>
      <c r="X1027" s="12"/>
      <c r="Y1027" s="17"/>
      <c r="Z1027" s="18">
        <f t="shared" si="85"/>
        <v>-379250</v>
      </c>
      <c r="AA1027" s="17"/>
      <c r="AB1027" s="17"/>
      <c r="AC1027" s="17"/>
      <c r="AD1027" s="17"/>
      <c r="AE1027" s="17"/>
    </row>
    <row r="1028" spans="1:31" ht="16" customHeight="1" x14ac:dyDescent="0.45">
      <c r="A1028" s="1">
        <v>2511</v>
      </c>
      <c r="B1028" s="2">
        <v>45960</v>
      </c>
      <c r="C1028" s="24"/>
      <c r="E1028" s="5" t="s">
        <v>31</v>
      </c>
      <c r="G1028" s="5" t="s">
        <v>31</v>
      </c>
      <c r="H1028" s="19" t="s">
        <v>598</v>
      </c>
      <c r="I1028" s="19" t="s">
        <v>188</v>
      </c>
      <c r="P1028" s="141"/>
      <c r="Q1028" s="95"/>
      <c r="T1028" s="33"/>
      <c r="U1028" s="34"/>
      <c r="W1028" s="16">
        <v>-1878150</v>
      </c>
      <c r="Z1028" s="18">
        <f t="shared" si="85"/>
        <v>-1878150</v>
      </c>
    </row>
    <row r="1029" spans="1:31" s="21" customFormat="1" ht="16" customHeight="1" x14ac:dyDescent="0.45">
      <c r="A1029" s="1">
        <v>2512</v>
      </c>
      <c r="B1029" s="2">
        <v>46002</v>
      </c>
      <c r="C1029" s="3"/>
      <c r="D1029" s="4" t="s">
        <v>22</v>
      </c>
      <c r="E1029" s="5" t="s">
        <v>4</v>
      </c>
      <c r="F1029" s="5"/>
      <c r="G1029" s="5" t="s">
        <v>5</v>
      </c>
      <c r="H1029" s="19" t="s">
        <v>8</v>
      </c>
      <c r="I1029" s="19"/>
      <c r="J1029" s="19"/>
      <c r="K1029" s="20"/>
      <c r="L1029" s="6">
        <v>7</v>
      </c>
      <c r="M1029" s="7"/>
      <c r="N1029" s="8"/>
      <c r="O1029" s="9">
        <v>419</v>
      </c>
      <c r="P1029" s="10"/>
      <c r="Q1029" s="11"/>
      <c r="R1029" s="12">
        <v>4870</v>
      </c>
      <c r="S1029" s="12">
        <f>O1029*R1029</f>
        <v>2040530</v>
      </c>
      <c r="T1029" s="13"/>
      <c r="U1029" s="14"/>
      <c r="V1029" s="15"/>
      <c r="W1029" s="16"/>
      <c r="X1029" s="12"/>
      <c r="Y1029" s="17"/>
      <c r="Z1029" s="18">
        <f t="shared" si="85"/>
        <v>-2040530</v>
      </c>
      <c r="AA1029" s="17"/>
      <c r="AB1029" s="17"/>
      <c r="AC1029" s="17"/>
      <c r="AD1029" s="17"/>
      <c r="AE1029" s="17"/>
    </row>
    <row r="1030" spans="1:31" ht="16" customHeight="1" x14ac:dyDescent="0.45">
      <c r="A1030" s="1">
        <v>2512</v>
      </c>
      <c r="B1030" s="2">
        <v>46002</v>
      </c>
      <c r="D1030" s="4" t="s">
        <v>22</v>
      </c>
      <c r="E1030" s="5" t="s">
        <v>4</v>
      </c>
      <c r="G1030" s="5" t="s">
        <v>5</v>
      </c>
      <c r="H1030" s="19" t="s">
        <v>9</v>
      </c>
      <c r="L1030" s="6">
        <v>5</v>
      </c>
      <c r="O1030" s="9">
        <v>460</v>
      </c>
      <c r="R1030" s="12">
        <v>4870</v>
      </c>
      <c r="S1030" s="12">
        <f>O1030*R1030</f>
        <v>2240200</v>
      </c>
      <c r="Z1030" s="18">
        <f t="shared" si="85"/>
        <v>-2240200</v>
      </c>
    </row>
    <row r="1031" spans="1:31" ht="16" customHeight="1" x14ac:dyDescent="0.45">
      <c r="A1031" s="1">
        <v>2512</v>
      </c>
      <c r="B1031" s="2">
        <v>46002</v>
      </c>
      <c r="D1031" s="4" t="s">
        <v>22</v>
      </c>
      <c r="E1031" s="5" t="s">
        <v>4</v>
      </c>
      <c r="G1031" s="5" t="s">
        <v>5</v>
      </c>
      <c r="H1031" s="19" t="s">
        <v>599</v>
      </c>
      <c r="L1031" s="6">
        <v>4</v>
      </c>
      <c r="O1031" s="9">
        <v>383</v>
      </c>
      <c r="R1031" s="12">
        <v>4870</v>
      </c>
      <c r="S1031" s="12">
        <f>O1031*R1031</f>
        <v>1865210</v>
      </c>
      <c r="Z1031" s="18">
        <f t="shared" si="85"/>
        <v>-1865210</v>
      </c>
    </row>
    <row r="1032" spans="1:31" ht="16" customHeight="1" x14ac:dyDescent="0.45">
      <c r="A1032" s="1">
        <v>2512</v>
      </c>
      <c r="B1032" s="2">
        <v>45999</v>
      </c>
      <c r="D1032" s="4" t="s">
        <v>93</v>
      </c>
      <c r="E1032" s="5" t="s">
        <v>463</v>
      </c>
      <c r="G1032" s="5" t="s">
        <v>28</v>
      </c>
      <c r="H1032" s="19" t="s">
        <v>101</v>
      </c>
      <c r="L1032" s="6">
        <v>2</v>
      </c>
      <c r="M1032" s="7">
        <v>875</v>
      </c>
      <c r="R1032" s="12">
        <v>1050</v>
      </c>
      <c r="S1032" s="12">
        <f>M1032*R1032</f>
        <v>918750</v>
      </c>
      <c r="Z1032" s="18">
        <f t="shared" si="85"/>
        <v>-918750</v>
      </c>
    </row>
    <row r="1033" spans="1:31" s="21" customFormat="1" ht="16" customHeight="1" x14ac:dyDescent="0.45">
      <c r="A1033" s="1">
        <v>2512</v>
      </c>
      <c r="B1033" s="2">
        <v>45999</v>
      </c>
      <c r="C1033" s="3"/>
      <c r="D1033" s="4" t="s">
        <v>93</v>
      </c>
      <c r="E1033" s="5" t="s">
        <v>463</v>
      </c>
      <c r="F1033" s="5"/>
      <c r="G1033" s="5" t="s">
        <v>28</v>
      </c>
      <c r="H1033" s="19" t="s">
        <v>95</v>
      </c>
      <c r="I1033" s="19"/>
      <c r="J1033" s="19"/>
      <c r="K1033" s="20"/>
      <c r="L1033" s="6">
        <v>1</v>
      </c>
      <c r="M1033" s="7">
        <v>365.8</v>
      </c>
      <c r="N1033" s="8"/>
      <c r="O1033" s="9"/>
      <c r="P1033" s="10"/>
      <c r="Q1033" s="11"/>
      <c r="R1033" s="12">
        <v>1050</v>
      </c>
      <c r="S1033" s="12">
        <f>M1033*R1033</f>
        <v>384090</v>
      </c>
      <c r="T1033" s="13"/>
      <c r="U1033" s="14"/>
      <c r="V1033" s="15"/>
      <c r="W1033" s="16"/>
      <c r="X1033" s="12"/>
      <c r="Y1033" s="17"/>
      <c r="Z1033" s="18">
        <f t="shared" si="85"/>
        <v>-384090</v>
      </c>
      <c r="AA1033" s="17"/>
      <c r="AB1033" s="17"/>
      <c r="AC1033" s="17"/>
      <c r="AD1033" s="17"/>
      <c r="AE1033" s="17"/>
    </row>
    <row r="1034" spans="1:31" s="21" customFormat="1" ht="16" customHeight="1" x14ac:dyDescent="0.45">
      <c r="A1034" s="1">
        <v>2512</v>
      </c>
      <c r="B1034" s="2">
        <v>46014</v>
      </c>
      <c r="C1034" s="3"/>
      <c r="D1034" s="4" t="s">
        <v>93</v>
      </c>
      <c r="E1034" s="5" t="s">
        <v>463</v>
      </c>
      <c r="F1034" s="5"/>
      <c r="G1034" s="5" t="s">
        <v>28</v>
      </c>
      <c r="H1034" s="19" t="s">
        <v>101</v>
      </c>
      <c r="I1034" s="19"/>
      <c r="J1034" s="19"/>
      <c r="K1034" s="20"/>
      <c r="L1034" s="6">
        <v>3</v>
      </c>
      <c r="M1034" s="7">
        <v>1312.5</v>
      </c>
      <c r="N1034" s="8"/>
      <c r="O1034" s="9"/>
      <c r="P1034" s="10"/>
      <c r="Q1034" s="11"/>
      <c r="R1034" s="12">
        <v>1050</v>
      </c>
      <c r="S1034" s="12">
        <f>M1034*R1034</f>
        <v>1378125</v>
      </c>
      <c r="T1034" s="13"/>
      <c r="U1034" s="14"/>
      <c r="V1034" s="15"/>
      <c r="W1034" s="16"/>
      <c r="X1034" s="12"/>
      <c r="Y1034" s="17"/>
      <c r="Z1034" s="18">
        <f t="shared" si="85"/>
        <v>-1378125</v>
      </c>
      <c r="AA1034" s="17"/>
      <c r="AB1034" s="17"/>
      <c r="AC1034" s="17"/>
      <c r="AD1034" s="17"/>
      <c r="AE1034" s="17"/>
    </row>
    <row r="1035" spans="1:31" s="21" customFormat="1" ht="16" customHeight="1" x14ac:dyDescent="0.45">
      <c r="A1035" s="1">
        <v>2512</v>
      </c>
      <c r="B1035" s="2">
        <v>46386</v>
      </c>
      <c r="C1035" s="3"/>
      <c r="D1035" s="4" t="s">
        <v>93</v>
      </c>
      <c r="E1035" s="5" t="s">
        <v>463</v>
      </c>
      <c r="F1035" s="5"/>
      <c r="G1035" s="5" t="s">
        <v>28</v>
      </c>
      <c r="H1035" s="19" t="s">
        <v>495</v>
      </c>
      <c r="I1035" s="19"/>
      <c r="J1035" s="19"/>
      <c r="K1035" s="20"/>
      <c r="L1035" s="6">
        <v>2</v>
      </c>
      <c r="M1035" s="7">
        <v>875</v>
      </c>
      <c r="N1035" s="8"/>
      <c r="O1035" s="9"/>
      <c r="P1035" s="10"/>
      <c r="Q1035" s="11"/>
      <c r="R1035" s="12">
        <v>1050</v>
      </c>
      <c r="S1035" s="12">
        <f>M1035*R1035</f>
        <v>918750</v>
      </c>
      <c r="T1035" s="13"/>
      <c r="U1035" s="14"/>
      <c r="V1035" s="15"/>
      <c r="W1035" s="16"/>
      <c r="X1035" s="12"/>
      <c r="Y1035" s="17"/>
      <c r="Z1035" s="18">
        <f t="shared" si="85"/>
        <v>-918750</v>
      </c>
      <c r="AA1035" s="17"/>
      <c r="AB1035" s="17"/>
      <c r="AC1035" s="17"/>
      <c r="AD1035" s="17"/>
      <c r="AE1035" s="17"/>
    </row>
    <row r="1036" spans="1:31" ht="16" customHeight="1" x14ac:dyDescent="0.45">
      <c r="A1036" s="1">
        <v>2512</v>
      </c>
      <c r="B1036" s="2">
        <v>46386</v>
      </c>
      <c r="D1036" s="4" t="s">
        <v>93</v>
      </c>
      <c r="E1036" s="5" t="s">
        <v>463</v>
      </c>
      <c r="G1036" s="5" t="s">
        <v>28</v>
      </c>
      <c r="H1036" s="19" t="s">
        <v>310</v>
      </c>
      <c r="L1036" s="6">
        <v>1</v>
      </c>
      <c r="M1036" s="7">
        <v>437.5</v>
      </c>
      <c r="R1036" s="12">
        <v>1050</v>
      </c>
      <c r="S1036" s="12">
        <f>M1036*R1036</f>
        <v>459375</v>
      </c>
      <c r="Z1036" s="18">
        <f t="shared" si="85"/>
        <v>-459375</v>
      </c>
    </row>
    <row r="1037" spans="1:31" ht="16" customHeight="1" x14ac:dyDescent="0.45">
      <c r="A1037" s="1">
        <v>2512</v>
      </c>
      <c r="B1037" s="2">
        <v>45998</v>
      </c>
      <c r="D1037" s="4" t="s">
        <v>66</v>
      </c>
      <c r="E1037" s="5" t="s">
        <v>10</v>
      </c>
      <c r="G1037" s="5" t="s">
        <v>1</v>
      </c>
      <c r="H1037" s="19" t="s">
        <v>172</v>
      </c>
      <c r="I1037" s="19" t="s">
        <v>53</v>
      </c>
      <c r="N1037" s="8">
        <v>1520</v>
      </c>
      <c r="R1037" s="12">
        <v>800</v>
      </c>
      <c r="S1037" s="12">
        <f>N1037*R1037</f>
        <v>1216000</v>
      </c>
      <c r="Z1037" s="18">
        <f t="shared" si="85"/>
        <v>-1216000</v>
      </c>
    </row>
    <row r="1038" spans="1:31" ht="16" customHeight="1" x14ac:dyDescent="0.45">
      <c r="A1038" s="1">
        <v>2512</v>
      </c>
      <c r="B1038" s="23">
        <v>45995</v>
      </c>
      <c r="C1038" s="24"/>
      <c r="D1038" s="25" t="s">
        <v>93</v>
      </c>
      <c r="E1038" s="26" t="s">
        <v>600</v>
      </c>
      <c r="F1038" s="26"/>
      <c r="G1038" s="26" t="s">
        <v>187</v>
      </c>
      <c r="H1038" s="27" t="s">
        <v>601</v>
      </c>
      <c r="I1038" s="27"/>
      <c r="J1038" s="27"/>
      <c r="K1038" s="28"/>
      <c r="L1038" s="29">
        <v>3</v>
      </c>
      <c r="M1038" s="30">
        <v>1591.35</v>
      </c>
      <c r="N1038" s="31"/>
      <c r="O1038" s="32"/>
      <c r="P1038" s="91"/>
      <c r="Q1038" s="92"/>
      <c r="R1038" s="93">
        <v>1250</v>
      </c>
      <c r="S1038" s="93">
        <f>M1038*R1038</f>
        <v>1989187.5</v>
      </c>
      <c r="T1038" s="33"/>
      <c r="U1038" s="34"/>
      <c r="V1038" s="35">
        <v>4350</v>
      </c>
      <c r="W1038" s="36">
        <f>M1039*V1038</f>
        <v>3806250</v>
      </c>
      <c r="X1038" s="93"/>
      <c r="Y1038" s="21"/>
      <c r="Z1038" s="18">
        <f t="shared" si="85"/>
        <v>1817062.5</v>
      </c>
      <c r="AA1038" s="21"/>
      <c r="AB1038" s="21"/>
      <c r="AC1038" s="21"/>
      <c r="AD1038" s="21"/>
      <c r="AE1038" s="21"/>
    </row>
    <row r="1039" spans="1:31" ht="16" customHeight="1" x14ac:dyDescent="0.45">
      <c r="A1039" s="1">
        <v>2512</v>
      </c>
      <c r="B1039" s="23">
        <v>46014</v>
      </c>
      <c r="C1039" s="24"/>
      <c r="D1039" s="25" t="s">
        <v>93</v>
      </c>
      <c r="E1039" s="26" t="s">
        <v>600</v>
      </c>
      <c r="F1039" s="26"/>
      <c r="G1039" s="26" t="s">
        <v>187</v>
      </c>
      <c r="H1039" s="27" t="s">
        <v>602</v>
      </c>
      <c r="I1039" s="27"/>
      <c r="J1039" s="27"/>
      <c r="K1039" s="28"/>
      <c r="L1039" s="29"/>
      <c r="M1039" s="30">
        <v>875</v>
      </c>
      <c r="N1039" s="31"/>
      <c r="O1039" s="32"/>
      <c r="P1039" s="91"/>
      <c r="Q1039" s="92"/>
      <c r="R1039" s="93">
        <v>1250</v>
      </c>
      <c r="S1039" s="93">
        <f>M1039*R1039</f>
        <v>1093750</v>
      </c>
      <c r="T1039" s="33"/>
      <c r="U1039" s="34"/>
      <c r="V1039" s="35">
        <v>3750</v>
      </c>
      <c r="W1039" s="36">
        <f>M1039*V1039</f>
        <v>3281250</v>
      </c>
      <c r="X1039" s="93"/>
      <c r="Y1039" s="21"/>
      <c r="Z1039" s="18">
        <f t="shared" si="85"/>
        <v>2187500</v>
      </c>
      <c r="AA1039" s="21"/>
      <c r="AB1039" s="21"/>
      <c r="AC1039" s="21"/>
      <c r="AD1039" s="21"/>
      <c r="AE1039" s="21"/>
    </row>
    <row r="1040" spans="1:31" s="21" customFormat="1" ht="16" customHeight="1" x14ac:dyDescent="0.45">
      <c r="A1040" s="1">
        <v>2512</v>
      </c>
      <c r="B1040" s="23">
        <v>46014</v>
      </c>
      <c r="C1040" s="24"/>
      <c r="D1040" s="25" t="s">
        <v>93</v>
      </c>
      <c r="E1040" s="26" t="s">
        <v>600</v>
      </c>
      <c r="F1040" s="26"/>
      <c r="G1040" s="26" t="s">
        <v>187</v>
      </c>
      <c r="H1040" s="27" t="s">
        <v>601</v>
      </c>
      <c r="I1040" s="27"/>
      <c r="J1040" s="27"/>
      <c r="K1040" s="28"/>
      <c r="L1040" s="29"/>
      <c r="M1040" s="30">
        <v>437.5</v>
      </c>
      <c r="N1040" s="31"/>
      <c r="O1040" s="32"/>
      <c r="P1040" s="91"/>
      <c r="Q1040" s="92"/>
      <c r="R1040" s="93">
        <v>1250</v>
      </c>
      <c r="S1040" s="93">
        <f>M1040*R1040</f>
        <v>546875</v>
      </c>
      <c r="T1040" s="33"/>
      <c r="U1040" s="34"/>
      <c r="V1040" s="35">
        <v>4350</v>
      </c>
      <c r="W1040" s="36">
        <f>M1040*V1040</f>
        <v>1903125</v>
      </c>
      <c r="X1040" s="93"/>
      <c r="Z1040" s="18">
        <f t="shared" si="85"/>
        <v>1356250</v>
      </c>
    </row>
    <row r="1041" spans="1:31" ht="16" customHeight="1" x14ac:dyDescent="0.45">
      <c r="A1041" s="1">
        <v>2512</v>
      </c>
      <c r="B1041" s="23">
        <v>46386</v>
      </c>
      <c r="C1041" s="24"/>
      <c r="D1041" s="25" t="s">
        <v>93</v>
      </c>
      <c r="E1041" s="26" t="s">
        <v>187</v>
      </c>
      <c r="F1041" s="26"/>
      <c r="G1041" s="26" t="s">
        <v>187</v>
      </c>
      <c r="H1041" s="27" t="s">
        <v>601</v>
      </c>
      <c r="I1041" s="27"/>
      <c r="J1041" s="27"/>
      <c r="K1041" s="28"/>
      <c r="L1041" s="29">
        <v>2</v>
      </c>
      <c r="M1041" s="30">
        <v>875</v>
      </c>
      <c r="N1041" s="31"/>
      <c r="O1041" s="32"/>
      <c r="P1041" s="91"/>
      <c r="Q1041" s="92"/>
      <c r="R1041" s="93">
        <v>1250</v>
      </c>
      <c r="S1041" s="93">
        <f>M1041*R1041</f>
        <v>1093750</v>
      </c>
      <c r="T1041" s="33"/>
      <c r="U1041" s="34"/>
      <c r="V1041" s="35">
        <v>4350</v>
      </c>
      <c r="W1041" s="36">
        <f>M1041*V1041</f>
        <v>3806250</v>
      </c>
      <c r="X1041" s="93"/>
      <c r="Y1041" s="21"/>
      <c r="Z1041" s="18">
        <f t="shared" si="85"/>
        <v>2712500</v>
      </c>
      <c r="AA1041" s="21"/>
      <c r="AB1041" s="21"/>
      <c r="AC1041" s="21"/>
      <c r="AD1041" s="21"/>
      <c r="AE1041" s="21"/>
    </row>
    <row r="1042" spans="1:31" s="21" customFormat="1" ht="16" customHeight="1" x14ac:dyDescent="0.45">
      <c r="A1042" s="1">
        <v>2512</v>
      </c>
      <c r="B1042" s="23">
        <v>46386</v>
      </c>
      <c r="C1042" s="24"/>
      <c r="D1042" s="25" t="s">
        <v>93</v>
      </c>
      <c r="E1042" s="26" t="s">
        <v>187</v>
      </c>
      <c r="F1042" s="26"/>
      <c r="G1042" s="26" t="s">
        <v>187</v>
      </c>
      <c r="H1042" s="27" t="s">
        <v>603</v>
      </c>
      <c r="I1042" s="27"/>
      <c r="J1042" s="27"/>
      <c r="K1042" s="28"/>
      <c r="L1042" s="29">
        <v>1</v>
      </c>
      <c r="M1042" s="30">
        <v>437.5</v>
      </c>
      <c r="N1042" s="31"/>
      <c r="O1042" s="32"/>
      <c r="P1042" s="91"/>
      <c r="Q1042" s="92"/>
      <c r="R1042" s="93">
        <v>1050</v>
      </c>
      <c r="S1042" s="93">
        <f>M1042*R1042</f>
        <v>459375</v>
      </c>
      <c r="T1042" s="33"/>
      <c r="U1042" s="34"/>
      <c r="V1042" s="35">
        <v>3750</v>
      </c>
      <c r="W1042" s="36">
        <f>M1042*V1042</f>
        <v>1640625</v>
      </c>
      <c r="X1042" s="93"/>
      <c r="Z1042" s="18">
        <f t="shared" si="85"/>
        <v>1181250</v>
      </c>
    </row>
    <row r="1043" spans="1:31" ht="16" customHeight="1" x14ac:dyDescent="0.45">
      <c r="A1043" s="1">
        <v>2512</v>
      </c>
      <c r="B1043" s="2">
        <v>46000</v>
      </c>
      <c r="D1043" s="155" t="s">
        <v>604</v>
      </c>
      <c r="E1043" s="5" t="s">
        <v>211</v>
      </c>
      <c r="G1043" s="5" t="s">
        <v>1</v>
      </c>
      <c r="H1043" s="19" t="s">
        <v>605</v>
      </c>
      <c r="I1043" s="19" t="s">
        <v>36</v>
      </c>
      <c r="L1043" s="6">
        <v>7</v>
      </c>
      <c r="N1043" s="8">
        <v>3071</v>
      </c>
      <c r="R1043" s="12">
        <v>600</v>
      </c>
      <c r="S1043" s="12">
        <f>N1043*R1043</f>
        <v>1842600</v>
      </c>
      <c r="Z1043" s="18">
        <f t="shared" si="85"/>
        <v>-1842600</v>
      </c>
    </row>
    <row r="1044" spans="1:31" s="21" customFormat="1" ht="16" customHeight="1" x14ac:dyDescent="0.45">
      <c r="A1044" s="1">
        <v>2512</v>
      </c>
      <c r="B1044" s="2">
        <v>46387</v>
      </c>
      <c r="C1044" s="3"/>
      <c r="D1044" s="4" t="s">
        <v>3</v>
      </c>
      <c r="E1044" s="5" t="s">
        <v>211</v>
      </c>
      <c r="F1044" s="5"/>
      <c r="G1044" s="5" t="s">
        <v>1</v>
      </c>
      <c r="H1044" s="19" t="s">
        <v>2</v>
      </c>
      <c r="I1044" s="19" t="s">
        <v>53</v>
      </c>
      <c r="J1044" s="19"/>
      <c r="K1044" s="20">
        <v>43</v>
      </c>
      <c r="L1044" s="6">
        <v>9</v>
      </c>
      <c r="M1044" s="7">
        <v>123</v>
      </c>
      <c r="N1044" s="8">
        <v>1679</v>
      </c>
      <c r="O1044" s="9"/>
      <c r="P1044" s="10"/>
      <c r="Q1044" s="11"/>
      <c r="R1044" s="12">
        <v>550</v>
      </c>
      <c r="S1044" s="12">
        <f>N1044*R1044</f>
        <v>923450</v>
      </c>
      <c r="T1044" s="13"/>
      <c r="U1044" s="14"/>
      <c r="V1044" s="15"/>
      <c r="W1044" s="16"/>
      <c r="X1044" s="12"/>
      <c r="Y1044" s="17"/>
      <c r="Z1044" s="18">
        <f t="shared" si="85"/>
        <v>-923450</v>
      </c>
      <c r="AA1044" s="17"/>
      <c r="AB1044" s="17"/>
      <c r="AC1044" s="17"/>
      <c r="AD1044" s="17"/>
      <c r="AE1044" s="17"/>
    </row>
    <row r="1045" spans="1:31" ht="16" customHeight="1" x14ac:dyDescent="0.45">
      <c r="A1045" s="1">
        <v>2512</v>
      </c>
      <c r="B1045" s="2">
        <v>46387</v>
      </c>
      <c r="D1045" s="4" t="s">
        <v>3</v>
      </c>
      <c r="E1045" s="5" t="s">
        <v>211</v>
      </c>
      <c r="G1045" s="5" t="s">
        <v>1</v>
      </c>
      <c r="H1045" s="19" t="s">
        <v>2</v>
      </c>
      <c r="I1045" s="19" t="s">
        <v>53</v>
      </c>
      <c r="K1045" s="20">
        <v>44</v>
      </c>
      <c r="L1045" s="6">
        <v>6</v>
      </c>
      <c r="M1045" s="7">
        <v>94</v>
      </c>
      <c r="N1045" s="8">
        <v>1286</v>
      </c>
      <c r="R1045" s="12">
        <v>550</v>
      </c>
      <c r="S1045" s="12">
        <f>N1045*R1045</f>
        <v>707300</v>
      </c>
      <c r="Z1045" s="18">
        <f t="shared" si="85"/>
        <v>-707300</v>
      </c>
    </row>
    <row r="1046" spans="1:31" ht="16" customHeight="1" x14ac:dyDescent="0.45">
      <c r="A1046" s="1">
        <v>2512</v>
      </c>
      <c r="B1046" s="2">
        <v>46387</v>
      </c>
      <c r="D1046" s="4" t="s">
        <v>3</v>
      </c>
      <c r="E1046" s="5" t="s">
        <v>211</v>
      </c>
      <c r="G1046" s="5" t="s">
        <v>1</v>
      </c>
      <c r="H1046" s="19" t="s">
        <v>2</v>
      </c>
      <c r="I1046" s="19" t="s">
        <v>56</v>
      </c>
      <c r="K1046" s="20">
        <v>31</v>
      </c>
      <c r="L1046" s="6">
        <v>6</v>
      </c>
      <c r="M1046" s="7">
        <v>92</v>
      </c>
      <c r="N1046" s="8">
        <v>1386</v>
      </c>
      <c r="R1046" s="12">
        <v>500</v>
      </c>
      <c r="S1046" s="12">
        <f>N1046*R1046</f>
        <v>693000</v>
      </c>
      <c r="Z1046" s="18">
        <f t="shared" ref="Z1046:Z1109" si="89">W1046-S1046-Q1046</f>
        <v>-693000</v>
      </c>
    </row>
    <row r="1047" spans="1:31" ht="16" customHeight="1" x14ac:dyDescent="0.45">
      <c r="A1047" s="1">
        <v>2512</v>
      </c>
      <c r="B1047" s="2">
        <v>46387</v>
      </c>
      <c r="D1047" s="4" t="s">
        <v>3</v>
      </c>
      <c r="E1047" s="5" t="s">
        <v>211</v>
      </c>
      <c r="G1047" s="5" t="s">
        <v>1</v>
      </c>
      <c r="H1047" s="19" t="s">
        <v>2</v>
      </c>
      <c r="I1047" s="19" t="s">
        <v>56</v>
      </c>
      <c r="K1047" s="20">
        <v>32</v>
      </c>
      <c r="L1047" s="6">
        <v>7</v>
      </c>
      <c r="M1047" s="7">
        <v>92</v>
      </c>
      <c r="N1047" s="8">
        <v>1411</v>
      </c>
      <c r="R1047" s="12">
        <v>500</v>
      </c>
      <c r="S1047" s="12">
        <f>N1047*R1047</f>
        <v>705500</v>
      </c>
      <c r="Z1047" s="18">
        <f t="shared" si="89"/>
        <v>-705500</v>
      </c>
    </row>
    <row r="1048" spans="1:31" ht="16" customHeight="1" x14ac:dyDescent="0.45">
      <c r="A1048" s="1">
        <v>2512</v>
      </c>
      <c r="B1048" s="23">
        <v>46008</v>
      </c>
      <c r="C1048" s="24"/>
      <c r="D1048" s="25" t="s">
        <v>10</v>
      </c>
      <c r="E1048" s="26" t="s">
        <v>1</v>
      </c>
      <c r="F1048" s="26"/>
      <c r="G1048" s="26" t="s">
        <v>1</v>
      </c>
      <c r="H1048" s="27" t="s">
        <v>64</v>
      </c>
      <c r="I1048" s="27" t="s">
        <v>21</v>
      </c>
      <c r="J1048" s="27"/>
      <c r="K1048" s="28"/>
      <c r="L1048" s="29">
        <v>2</v>
      </c>
      <c r="M1048" s="30"/>
      <c r="N1048" s="31"/>
      <c r="O1048" s="32">
        <v>1406</v>
      </c>
      <c r="P1048" s="91"/>
      <c r="Q1048" s="92"/>
      <c r="R1048" s="93">
        <v>1850</v>
      </c>
      <c r="S1048" s="93">
        <f>O1048*R1048</f>
        <v>2601100</v>
      </c>
      <c r="T1048" s="33"/>
      <c r="U1048" s="34"/>
      <c r="V1048" s="35">
        <v>3450</v>
      </c>
      <c r="W1048" s="36">
        <f>O1048*V1048</f>
        <v>4850700</v>
      </c>
      <c r="X1048" s="93"/>
      <c r="Y1048" s="21"/>
      <c r="Z1048" s="18">
        <f t="shared" si="89"/>
        <v>2249600</v>
      </c>
      <c r="AA1048" s="21"/>
      <c r="AB1048" s="21"/>
      <c r="AC1048" s="21"/>
      <c r="AD1048" s="21"/>
      <c r="AE1048" s="21"/>
    </row>
    <row r="1049" spans="1:31" ht="16" customHeight="1" x14ac:dyDescent="0.45">
      <c r="A1049" s="1">
        <v>2512</v>
      </c>
      <c r="B1049" s="23">
        <v>46000</v>
      </c>
      <c r="C1049" s="24"/>
      <c r="D1049" s="25" t="s">
        <v>606</v>
      </c>
      <c r="E1049" s="26" t="s">
        <v>1</v>
      </c>
      <c r="F1049" s="26"/>
      <c r="G1049" s="26" t="s">
        <v>1</v>
      </c>
      <c r="H1049" s="27" t="s">
        <v>383</v>
      </c>
      <c r="I1049" s="27" t="s">
        <v>12</v>
      </c>
      <c r="J1049" s="27"/>
      <c r="K1049" s="28"/>
      <c r="L1049" s="29">
        <v>8</v>
      </c>
      <c r="M1049" s="30"/>
      <c r="N1049" s="31"/>
      <c r="O1049" s="32">
        <v>2560</v>
      </c>
      <c r="P1049" s="91"/>
      <c r="Q1049" s="92"/>
      <c r="R1049" s="93">
        <v>2350</v>
      </c>
      <c r="S1049" s="93">
        <f>O1049*R1049</f>
        <v>6016000</v>
      </c>
      <c r="T1049" s="33"/>
      <c r="U1049" s="34"/>
      <c r="V1049" s="35">
        <v>4700</v>
      </c>
      <c r="W1049" s="36">
        <f>O1049*V1049</f>
        <v>12032000</v>
      </c>
      <c r="X1049" s="93"/>
      <c r="Y1049" s="21"/>
      <c r="Z1049" s="18">
        <f t="shared" si="89"/>
        <v>6016000</v>
      </c>
      <c r="AA1049" s="21"/>
      <c r="AB1049" s="21"/>
      <c r="AC1049" s="21"/>
      <c r="AD1049" s="21"/>
      <c r="AE1049" s="21"/>
    </row>
    <row r="1050" spans="1:31" ht="16" customHeight="1" x14ac:dyDescent="0.45">
      <c r="A1050" s="1">
        <v>2512</v>
      </c>
      <c r="B1050" s="23">
        <v>46007</v>
      </c>
      <c r="C1050" s="24"/>
      <c r="D1050" s="25" t="s">
        <v>211</v>
      </c>
      <c r="E1050" s="26" t="s">
        <v>1</v>
      </c>
      <c r="F1050" s="26"/>
      <c r="G1050" s="26" t="s">
        <v>1</v>
      </c>
      <c r="H1050" s="27" t="s">
        <v>605</v>
      </c>
      <c r="I1050" s="27" t="s">
        <v>16</v>
      </c>
      <c r="J1050" s="27"/>
      <c r="K1050" s="28"/>
      <c r="L1050" s="29">
        <v>1</v>
      </c>
      <c r="M1050" s="30"/>
      <c r="N1050" s="31"/>
      <c r="O1050" s="32">
        <v>444</v>
      </c>
      <c r="P1050" s="91"/>
      <c r="Q1050" s="92"/>
      <c r="R1050" s="93">
        <v>0</v>
      </c>
      <c r="S1050" s="93">
        <f>O1050*R1050</f>
        <v>0</v>
      </c>
      <c r="T1050" s="33"/>
      <c r="U1050" s="34"/>
      <c r="V1050" s="35" t="s">
        <v>607</v>
      </c>
      <c r="W1050" s="36">
        <v>0</v>
      </c>
      <c r="X1050" s="93"/>
      <c r="Y1050" s="21"/>
      <c r="Z1050" s="18">
        <f t="shared" si="89"/>
        <v>0</v>
      </c>
      <c r="AA1050" s="21"/>
      <c r="AB1050" s="21"/>
      <c r="AC1050" s="21"/>
      <c r="AD1050" s="21"/>
      <c r="AE1050" s="21"/>
    </row>
    <row r="1051" spans="1:31" ht="16" customHeight="1" x14ac:dyDescent="0.45">
      <c r="A1051" s="1">
        <v>2512</v>
      </c>
      <c r="B1051" s="23">
        <v>46002</v>
      </c>
      <c r="C1051" s="24"/>
      <c r="D1051" s="25" t="s">
        <v>3</v>
      </c>
      <c r="E1051" s="26" t="s">
        <v>1</v>
      </c>
      <c r="F1051" s="26"/>
      <c r="G1051" s="26" t="s">
        <v>1</v>
      </c>
      <c r="H1051" s="27" t="s">
        <v>561</v>
      </c>
      <c r="I1051" s="27" t="s">
        <v>608</v>
      </c>
      <c r="J1051" s="27"/>
      <c r="K1051" s="28"/>
      <c r="L1051" s="29">
        <v>9</v>
      </c>
      <c r="M1051" s="30">
        <v>165</v>
      </c>
      <c r="N1051" s="31">
        <v>935</v>
      </c>
      <c r="O1051" s="32">
        <v>854</v>
      </c>
      <c r="P1051" s="91"/>
      <c r="Q1051" s="92"/>
      <c r="R1051" s="93">
        <v>4700</v>
      </c>
      <c r="S1051" s="93">
        <f>M1051*R1051</f>
        <v>775500</v>
      </c>
      <c r="T1051" s="33"/>
      <c r="U1051" s="34"/>
      <c r="V1051" s="35">
        <v>5350</v>
      </c>
      <c r="W1051" s="36">
        <f>O1051*V1051</f>
        <v>4568900</v>
      </c>
      <c r="X1051" s="93"/>
      <c r="Y1051" s="21"/>
      <c r="Z1051" s="18">
        <f t="shared" si="89"/>
        <v>3793400</v>
      </c>
      <c r="AA1051" s="21"/>
      <c r="AB1051" s="21"/>
      <c r="AC1051" s="21"/>
      <c r="AD1051" s="21"/>
      <c r="AE1051" s="21"/>
    </row>
    <row r="1052" spans="1:31" ht="16" customHeight="1" x14ac:dyDescent="0.45">
      <c r="A1052" s="1">
        <v>2512</v>
      </c>
      <c r="B1052" s="2">
        <v>45995</v>
      </c>
      <c r="D1052" s="4" t="s">
        <v>181</v>
      </c>
      <c r="E1052" s="5" t="s">
        <v>93</v>
      </c>
      <c r="G1052" s="5" t="s">
        <v>28</v>
      </c>
      <c r="H1052" s="19" t="s">
        <v>182</v>
      </c>
      <c r="J1052" s="19" t="s">
        <v>200</v>
      </c>
      <c r="M1052" s="7">
        <v>1500</v>
      </c>
      <c r="P1052" s="10">
        <v>2205</v>
      </c>
      <c r="Q1052" s="11">
        <f>M1052*P1052</f>
        <v>3307500</v>
      </c>
      <c r="Z1052" s="18">
        <f t="shared" si="89"/>
        <v>-3307500</v>
      </c>
    </row>
    <row r="1053" spans="1:31" ht="16" customHeight="1" x14ac:dyDescent="0.45">
      <c r="A1053" s="1">
        <v>2512</v>
      </c>
      <c r="B1053" s="2">
        <v>45999</v>
      </c>
      <c r="D1053" s="4" t="s">
        <v>339</v>
      </c>
      <c r="E1053" s="5" t="s">
        <v>93</v>
      </c>
      <c r="G1053" s="5" t="s">
        <v>28</v>
      </c>
      <c r="H1053" s="19" t="s">
        <v>575</v>
      </c>
      <c r="I1053" s="19" t="s">
        <v>454</v>
      </c>
      <c r="L1053" s="6">
        <v>35</v>
      </c>
      <c r="M1053" s="7">
        <v>2147</v>
      </c>
      <c r="R1053" s="12" t="s">
        <v>454</v>
      </c>
      <c r="S1053" s="12">
        <v>0</v>
      </c>
      <c r="Z1053" s="18">
        <f t="shared" si="89"/>
        <v>0</v>
      </c>
    </row>
    <row r="1054" spans="1:31" s="21" customFormat="1" ht="16" customHeight="1" x14ac:dyDescent="0.45">
      <c r="A1054" s="1">
        <v>2512</v>
      </c>
      <c r="B1054" s="2">
        <v>46010</v>
      </c>
      <c r="C1054" s="3"/>
      <c r="D1054" s="4" t="s">
        <v>430</v>
      </c>
      <c r="E1054" s="5" t="s">
        <v>93</v>
      </c>
      <c r="F1054" s="5"/>
      <c r="G1054" s="5" t="s">
        <v>28</v>
      </c>
      <c r="H1054" s="19" t="s">
        <v>95</v>
      </c>
      <c r="I1054" s="19" t="s">
        <v>540</v>
      </c>
      <c r="J1054" s="19"/>
      <c r="K1054" s="20"/>
      <c r="L1054" s="6">
        <v>48</v>
      </c>
      <c r="M1054" s="7">
        <v>1517</v>
      </c>
      <c r="N1054" s="8"/>
      <c r="O1054" s="9"/>
      <c r="P1054" s="10">
        <v>4000</v>
      </c>
      <c r="Q1054" s="11">
        <f>M1054*P1054</f>
        <v>6068000</v>
      </c>
      <c r="R1054" s="12"/>
      <c r="S1054" s="12"/>
      <c r="T1054" s="13"/>
      <c r="U1054" s="14"/>
      <c r="V1054" s="15"/>
      <c r="W1054" s="16"/>
      <c r="X1054" s="12"/>
      <c r="Y1054" s="17"/>
      <c r="Z1054" s="18">
        <f t="shared" si="89"/>
        <v>-6068000</v>
      </c>
      <c r="AA1054" s="17"/>
      <c r="AB1054" s="17"/>
      <c r="AC1054" s="17"/>
      <c r="AD1054" s="17"/>
      <c r="AE1054" s="17"/>
    </row>
    <row r="1055" spans="1:31" s="21" customFormat="1" ht="16" customHeight="1" x14ac:dyDescent="0.45">
      <c r="A1055" s="1">
        <v>2512</v>
      </c>
      <c r="B1055" s="2">
        <v>45999</v>
      </c>
      <c r="C1055" s="3"/>
      <c r="D1055" s="4" t="s">
        <v>339</v>
      </c>
      <c r="E1055" s="5" t="s">
        <v>27</v>
      </c>
      <c r="F1055" s="5"/>
      <c r="G1055" s="5" t="s">
        <v>28</v>
      </c>
      <c r="H1055" s="19" t="s">
        <v>495</v>
      </c>
      <c r="I1055" s="19"/>
      <c r="J1055" s="19"/>
      <c r="K1055" s="20"/>
      <c r="L1055" s="6">
        <v>3</v>
      </c>
      <c r="M1055" s="7">
        <v>1262.9000000000001</v>
      </c>
      <c r="N1055" s="8"/>
      <c r="O1055" s="9"/>
      <c r="P1055" s="10"/>
      <c r="Q1055" s="11"/>
      <c r="R1055" s="12">
        <v>1000</v>
      </c>
      <c r="S1055" s="12">
        <f>M1055*R1055</f>
        <v>1262900</v>
      </c>
      <c r="T1055" s="13"/>
      <c r="U1055" s="14"/>
      <c r="V1055" s="15"/>
      <c r="W1055" s="16"/>
      <c r="X1055" s="12"/>
      <c r="Y1055" s="17"/>
      <c r="Z1055" s="18">
        <f t="shared" si="89"/>
        <v>-1262900</v>
      </c>
      <c r="AA1055" s="17"/>
      <c r="AB1055" s="17"/>
      <c r="AC1055" s="17"/>
      <c r="AD1055" s="17"/>
      <c r="AE1055" s="17"/>
    </row>
    <row r="1056" spans="1:31" s="21" customFormat="1" ht="16" customHeight="1" x14ac:dyDescent="0.45">
      <c r="A1056" s="1">
        <v>2512</v>
      </c>
      <c r="B1056" s="2">
        <v>45995</v>
      </c>
      <c r="C1056" s="3"/>
      <c r="D1056" s="4" t="s">
        <v>339</v>
      </c>
      <c r="E1056" s="5" t="s">
        <v>27</v>
      </c>
      <c r="F1056" s="5"/>
      <c r="G1056" s="5" t="s">
        <v>28</v>
      </c>
      <c r="H1056" s="19" t="s">
        <v>495</v>
      </c>
      <c r="I1056" s="19"/>
      <c r="J1056" s="19"/>
      <c r="K1056" s="20"/>
      <c r="L1056" s="6">
        <v>3</v>
      </c>
      <c r="M1056" s="7">
        <v>1268.5999999999999</v>
      </c>
      <c r="N1056" s="8"/>
      <c r="O1056" s="9"/>
      <c r="P1056" s="10"/>
      <c r="Q1056" s="11"/>
      <c r="R1056" s="12">
        <v>1000</v>
      </c>
      <c r="S1056" s="12">
        <f>M1056*R1056</f>
        <v>1268600</v>
      </c>
      <c r="T1056" s="13"/>
      <c r="U1056" s="14"/>
      <c r="V1056" s="15"/>
      <c r="W1056" s="16"/>
      <c r="X1056" s="12"/>
      <c r="Y1056" s="17"/>
      <c r="Z1056" s="18">
        <f t="shared" si="89"/>
        <v>-1268600</v>
      </c>
      <c r="AA1056" s="17"/>
      <c r="AB1056" s="17"/>
      <c r="AC1056" s="17"/>
      <c r="AD1056" s="17"/>
      <c r="AE1056" s="17"/>
    </row>
    <row r="1057" spans="1:31" s="21" customFormat="1" ht="16" customHeight="1" x14ac:dyDescent="0.45">
      <c r="A1057" s="1">
        <v>2512</v>
      </c>
      <c r="B1057" s="2">
        <v>45994</v>
      </c>
      <c r="C1057" s="3"/>
      <c r="D1057" s="4" t="s">
        <v>93</v>
      </c>
      <c r="E1057" s="5" t="s">
        <v>27</v>
      </c>
      <c r="F1057" s="5"/>
      <c r="G1057" s="5" t="s">
        <v>28</v>
      </c>
      <c r="H1057" s="19" t="s">
        <v>310</v>
      </c>
      <c r="I1057" s="19"/>
      <c r="J1057" s="19"/>
      <c r="K1057" s="20"/>
      <c r="L1057" s="6">
        <v>2</v>
      </c>
      <c r="M1057" s="7">
        <v>875</v>
      </c>
      <c r="N1057" s="8"/>
      <c r="O1057" s="9"/>
      <c r="P1057" s="10"/>
      <c r="Q1057" s="11"/>
      <c r="R1057" s="12">
        <v>1050</v>
      </c>
      <c r="S1057" s="12">
        <f>M1057*R1057</f>
        <v>918750</v>
      </c>
      <c r="T1057" s="13"/>
      <c r="U1057" s="14"/>
      <c r="V1057" s="15"/>
      <c r="W1057" s="16"/>
      <c r="X1057" s="12"/>
      <c r="Y1057" s="17"/>
      <c r="Z1057" s="18">
        <f t="shared" si="89"/>
        <v>-918750</v>
      </c>
      <c r="AA1057" s="17"/>
      <c r="AB1057" s="17"/>
      <c r="AC1057" s="17"/>
      <c r="AD1057" s="17"/>
      <c r="AE1057" s="17"/>
    </row>
    <row r="1058" spans="1:31" s="21" customFormat="1" ht="16" customHeight="1" x14ac:dyDescent="0.45">
      <c r="A1058" s="1">
        <v>2512</v>
      </c>
      <c r="B1058" s="23">
        <v>46003</v>
      </c>
      <c r="C1058" s="24"/>
      <c r="D1058" s="25" t="s">
        <v>4</v>
      </c>
      <c r="E1058" s="26" t="s">
        <v>5</v>
      </c>
      <c r="F1058" s="26"/>
      <c r="G1058" s="26" t="s">
        <v>5</v>
      </c>
      <c r="H1058" s="27" t="s">
        <v>6</v>
      </c>
      <c r="I1058" s="27" t="s">
        <v>9</v>
      </c>
      <c r="J1058" s="27"/>
      <c r="K1058" s="28"/>
      <c r="L1058" s="29">
        <v>5</v>
      </c>
      <c r="M1058" s="30"/>
      <c r="N1058" s="31"/>
      <c r="O1058" s="32">
        <v>454</v>
      </c>
      <c r="P1058" s="91"/>
      <c r="Q1058" s="92"/>
      <c r="R1058" s="93">
        <v>170</v>
      </c>
      <c r="S1058" s="93">
        <f>O1058*R1058</f>
        <v>77180</v>
      </c>
      <c r="T1058" s="33"/>
      <c r="U1058" s="34"/>
      <c r="V1058" s="35">
        <v>6200</v>
      </c>
      <c r="W1058" s="36">
        <f>O1058*V1058</f>
        <v>2814800</v>
      </c>
      <c r="X1058" s="93"/>
      <c r="Z1058" s="18">
        <f t="shared" si="89"/>
        <v>2737620</v>
      </c>
    </row>
    <row r="1059" spans="1:31" s="21" customFormat="1" ht="16" customHeight="1" x14ac:dyDescent="0.45">
      <c r="A1059" s="1">
        <v>2512</v>
      </c>
      <c r="B1059" s="23">
        <v>46003</v>
      </c>
      <c r="C1059" s="24"/>
      <c r="D1059" s="25" t="s">
        <v>4</v>
      </c>
      <c r="E1059" s="26" t="s">
        <v>5</v>
      </c>
      <c r="F1059" s="26"/>
      <c r="G1059" s="26" t="s">
        <v>5</v>
      </c>
      <c r="H1059" s="27" t="s">
        <v>6</v>
      </c>
      <c r="I1059" s="27" t="s">
        <v>8</v>
      </c>
      <c r="J1059" s="27"/>
      <c r="K1059" s="28"/>
      <c r="L1059" s="29">
        <v>6</v>
      </c>
      <c r="M1059" s="30"/>
      <c r="N1059" s="31"/>
      <c r="O1059" s="32">
        <v>385</v>
      </c>
      <c r="P1059" s="91"/>
      <c r="Q1059" s="92"/>
      <c r="R1059" s="93">
        <v>170</v>
      </c>
      <c r="S1059" s="93">
        <f>O1059*R1059</f>
        <v>65450</v>
      </c>
      <c r="T1059" s="33"/>
      <c r="U1059" s="34"/>
      <c r="V1059" s="35">
        <v>6200</v>
      </c>
      <c r="W1059" s="36">
        <f>O1059*V1059</f>
        <v>2387000</v>
      </c>
      <c r="X1059" s="93"/>
      <c r="Z1059" s="18">
        <f t="shared" si="89"/>
        <v>2321550</v>
      </c>
    </row>
    <row r="1060" spans="1:31" s="21" customFormat="1" ht="16" customHeight="1" x14ac:dyDescent="0.45">
      <c r="A1060" s="1">
        <v>2512</v>
      </c>
      <c r="B1060" s="23">
        <v>46003</v>
      </c>
      <c r="C1060" s="24"/>
      <c r="D1060" s="25" t="s">
        <v>4</v>
      </c>
      <c r="E1060" s="26" t="s">
        <v>5</v>
      </c>
      <c r="F1060" s="26"/>
      <c r="G1060" s="26" t="s">
        <v>5</v>
      </c>
      <c r="H1060" s="27" t="s">
        <v>6</v>
      </c>
      <c r="I1060" s="27" t="s">
        <v>599</v>
      </c>
      <c r="J1060" s="27"/>
      <c r="K1060" s="28"/>
      <c r="L1060" s="29">
        <v>4</v>
      </c>
      <c r="M1060" s="30"/>
      <c r="N1060" s="31"/>
      <c r="O1060" s="32">
        <v>380</v>
      </c>
      <c r="P1060" s="91"/>
      <c r="Q1060" s="92"/>
      <c r="R1060" s="93">
        <v>170</v>
      </c>
      <c r="S1060" s="93">
        <f>O1060*R1060</f>
        <v>64600</v>
      </c>
      <c r="T1060" s="33"/>
      <c r="U1060" s="34"/>
      <c r="V1060" s="35">
        <v>6200</v>
      </c>
      <c r="W1060" s="36">
        <f>O1060*V1060</f>
        <v>2356000</v>
      </c>
      <c r="X1060" s="93"/>
      <c r="Z1060" s="18">
        <f t="shared" si="89"/>
        <v>2291400</v>
      </c>
    </row>
    <row r="1061" spans="1:31" s="21" customFormat="1" ht="16" customHeight="1" x14ac:dyDescent="0.45">
      <c r="A1061" s="1">
        <v>2512</v>
      </c>
      <c r="B1061" s="23">
        <v>46002</v>
      </c>
      <c r="C1061" s="24"/>
      <c r="D1061" s="25" t="s">
        <v>22</v>
      </c>
      <c r="E1061" s="26" t="s">
        <v>5</v>
      </c>
      <c r="F1061" s="26"/>
      <c r="G1061" s="26" t="s">
        <v>5</v>
      </c>
      <c r="H1061" s="27" t="s">
        <v>115</v>
      </c>
      <c r="I1061" s="27"/>
      <c r="J1061" s="27"/>
      <c r="K1061" s="28"/>
      <c r="L1061" s="29">
        <v>3</v>
      </c>
      <c r="M1061" s="30"/>
      <c r="N1061" s="31"/>
      <c r="O1061" s="32"/>
      <c r="P1061" s="91"/>
      <c r="Q1061" s="92"/>
      <c r="R1061" s="93">
        <v>500000</v>
      </c>
      <c r="S1061" s="93">
        <f>L1061*R1061</f>
        <v>1500000</v>
      </c>
      <c r="T1061" s="33"/>
      <c r="U1061" s="34"/>
      <c r="V1061" s="35">
        <v>250000</v>
      </c>
      <c r="W1061" s="36">
        <f>L1061*V1061</f>
        <v>750000</v>
      </c>
      <c r="X1061" s="93"/>
      <c r="Z1061" s="18">
        <f t="shared" si="89"/>
        <v>-750000</v>
      </c>
    </row>
    <row r="1062" spans="1:31" s="21" customFormat="1" ht="16" customHeight="1" x14ac:dyDescent="0.45">
      <c r="A1062" s="1">
        <v>2512</v>
      </c>
      <c r="B1062" s="23">
        <v>46003</v>
      </c>
      <c r="C1062" s="24"/>
      <c r="D1062" s="25" t="s">
        <v>37</v>
      </c>
      <c r="E1062" s="26" t="s">
        <v>5</v>
      </c>
      <c r="F1062" s="26"/>
      <c r="G1062" s="26" t="s">
        <v>609</v>
      </c>
      <c r="H1062" s="27" t="s">
        <v>129</v>
      </c>
      <c r="I1062" s="27" t="s">
        <v>7</v>
      </c>
      <c r="J1062" s="27"/>
      <c r="K1062" s="28"/>
      <c r="L1062" s="29">
        <v>5</v>
      </c>
      <c r="M1062" s="30">
        <v>99</v>
      </c>
      <c r="N1062" s="31"/>
      <c r="O1062" s="32">
        <v>498</v>
      </c>
      <c r="P1062" s="91"/>
      <c r="Q1062" s="92"/>
      <c r="R1062" s="93">
        <v>1850</v>
      </c>
      <c r="S1062" s="93">
        <f t="shared" ref="S1062:S1101" si="90">M1062*R1062</f>
        <v>183150</v>
      </c>
      <c r="T1062" s="33"/>
      <c r="U1062" s="34"/>
      <c r="V1062" s="35">
        <v>1270</v>
      </c>
      <c r="W1062" s="36">
        <f>O1062*V1062</f>
        <v>632460</v>
      </c>
      <c r="X1062" s="93"/>
      <c r="Z1062" s="18">
        <f t="shared" si="89"/>
        <v>449310</v>
      </c>
    </row>
    <row r="1063" spans="1:31" s="21" customFormat="1" ht="16" customHeight="1" x14ac:dyDescent="0.45">
      <c r="A1063" s="1">
        <v>2512</v>
      </c>
      <c r="B1063" s="23">
        <v>46003</v>
      </c>
      <c r="C1063" s="24"/>
      <c r="D1063" s="25" t="s">
        <v>37</v>
      </c>
      <c r="E1063" s="26" t="s">
        <v>5</v>
      </c>
      <c r="F1063" s="26"/>
      <c r="G1063" s="26" t="s">
        <v>609</v>
      </c>
      <c r="H1063" s="27" t="s">
        <v>129</v>
      </c>
      <c r="I1063" s="27" t="s">
        <v>121</v>
      </c>
      <c r="J1063" s="27"/>
      <c r="K1063" s="28"/>
      <c r="L1063" s="29">
        <v>5</v>
      </c>
      <c r="M1063" s="30">
        <v>99</v>
      </c>
      <c r="N1063" s="31"/>
      <c r="O1063" s="32">
        <v>498</v>
      </c>
      <c r="P1063" s="91"/>
      <c r="Q1063" s="92"/>
      <c r="R1063" s="93">
        <v>1850</v>
      </c>
      <c r="S1063" s="93">
        <f t="shared" si="90"/>
        <v>183150</v>
      </c>
      <c r="T1063" s="33"/>
      <c r="U1063" s="34"/>
      <c r="V1063" s="35">
        <v>1270</v>
      </c>
      <c r="W1063" s="36">
        <f>O1063*V1063</f>
        <v>632460</v>
      </c>
      <c r="X1063" s="93"/>
      <c r="Z1063" s="18">
        <f t="shared" si="89"/>
        <v>449310</v>
      </c>
    </row>
    <row r="1064" spans="1:31" s="21" customFormat="1" ht="16" customHeight="1" x14ac:dyDescent="0.45">
      <c r="A1064" s="1">
        <v>2512</v>
      </c>
      <c r="B1064" s="23">
        <v>46003</v>
      </c>
      <c r="C1064" s="24"/>
      <c r="D1064" s="25" t="s">
        <v>37</v>
      </c>
      <c r="E1064" s="26" t="s">
        <v>5</v>
      </c>
      <c r="F1064" s="26"/>
      <c r="G1064" s="26" t="s">
        <v>609</v>
      </c>
      <c r="H1064" s="27" t="s">
        <v>129</v>
      </c>
      <c r="I1064" s="27" t="s">
        <v>599</v>
      </c>
      <c r="J1064" s="27"/>
      <c r="K1064" s="28"/>
      <c r="L1064" s="29">
        <v>5</v>
      </c>
      <c r="M1064" s="30">
        <v>98.9</v>
      </c>
      <c r="N1064" s="31"/>
      <c r="O1064" s="32">
        <v>501</v>
      </c>
      <c r="P1064" s="91"/>
      <c r="Q1064" s="92"/>
      <c r="R1064" s="93">
        <v>1850</v>
      </c>
      <c r="S1064" s="93">
        <f t="shared" si="90"/>
        <v>182965</v>
      </c>
      <c r="T1064" s="33"/>
      <c r="U1064" s="34"/>
      <c r="V1064" s="35">
        <v>1270</v>
      </c>
      <c r="W1064" s="36">
        <f>O1064*V1064</f>
        <v>636270</v>
      </c>
      <c r="X1064" s="93"/>
      <c r="Z1064" s="18">
        <f t="shared" si="89"/>
        <v>453305</v>
      </c>
    </row>
    <row r="1065" spans="1:31" ht="16" customHeight="1" x14ac:dyDescent="0.45">
      <c r="A1065" s="1">
        <v>2512</v>
      </c>
      <c r="B1065" s="2">
        <v>46003</v>
      </c>
      <c r="D1065" s="4" t="s">
        <v>463</v>
      </c>
      <c r="E1065" s="5" t="s">
        <v>37</v>
      </c>
      <c r="G1065" s="5" t="s">
        <v>28</v>
      </c>
      <c r="H1065" s="19" t="s">
        <v>38</v>
      </c>
      <c r="L1065" s="6">
        <v>80</v>
      </c>
      <c r="M1065" s="7">
        <v>1675.8</v>
      </c>
      <c r="P1065" s="141"/>
      <c r="Q1065" s="95"/>
      <c r="R1065" s="12">
        <v>2000</v>
      </c>
      <c r="S1065" s="12">
        <f t="shared" si="90"/>
        <v>3351600</v>
      </c>
      <c r="Z1065" s="18">
        <f t="shared" si="89"/>
        <v>-3351600</v>
      </c>
    </row>
    <row r="1066" spans="1:31" ht="16" customHeight="1" x14ac:dyDescent="0.45">
      <c r="A1066" s="1">
        <v>2512</v>
      </c>
      <c r="B1066" s="2">
        <v>46000</v>
      </c>
      <c r="D1066" s="4" t="s">
        <v>463</v>
      </c>
      <c r="E1066" s="5" t="s">
        <v>37</v>
      </c>
      <c r="G1066" s="5" t="s">
        <v>28</v>
      </c>
      <c r="H1066" s="19" t="s">
        <v>38</v>
      </c>
      <c r="L1066" s="6">
        <v>125</v>
      </c>
      <c r="M1066" s="7">
        <v>2570.6</v>
      </c>
      <c r="P1066" s="141"/>
      <c r="Q1066" s="95"/>
      <c r="R1066" s="12">
        <v>2000</v>
      </c>
      <c r="S1066" s="12">
        <f t="shared" si="90"/>
        <v>5141200</v>
      </c>
      <c r="Z1066" s="18">
        <f t="shared" si="89"/>
        <v>-5141200</v>
      </c>
    </row>
    <row r="1067" spans="1:31" s="21" customFormat="1" ht="16" customHeight="1" x14ac:dyDescent="0.45">
      <c r="A1067" s="1">
        <v>2512</v>
      </c>
      <c r="B1067" s="2">
        <v>45999</v>
      </c>
      <c r="C1067" s="3"/>
      <c r="D1067" s="4" t="s">
        <v>463</v>
      </c>
      <c r="E1067" s="5" t="s">
        <v>37</v>
      </c>
      <c r="F1067" s="5"/>
      <c r="G1067" s="5" t="s">
        <v>28</v>
      </c>
      <c r="H1067" s="19" t="s">
        <v>32</v>
      </c>
      <c r="I1067" s="19"/>
      <c r="J1067" s="19"/>
      <c r="K1067" s="20"/>
      <c r="L1067" s="6">
        <v>20</v>
      </c>
      <c r="M1067" s="7">
        <v>383.7</v>
      </c>
      <c r="N1067" s="8"/>
      <c r="O1067" s="9"/>
      <c r="P1067" s="10"/>
      <c r="Q1067" s="11"/>
      <c r="R1067" s="12">
        <v>1800</v>
      </c>
      <c r="S1067" s="12">
        <f t="shared" si="90"/>
        <v>690660</v>
      </c>
      <c r="T1067" s="13"/>
      <c r="U1067" s="14"/>
      <c r="V1067" s="15"/>
      <c r="W1067" s="16"/>
      <c r="X1067" s="12"/>
      <c r="Y1067" s="17"/>
      <c r="Z1067" s="18">
        <f t="shared" si="89"/>
        <v>-690660</v>
      </c>
      <c r="AA1067" s="17"/>
      <c r="AB1067" s="17"/>
      <c r="AC1067" s="17"/>
      <c r="AD1067" s="17"/>
      <c r="AE1067" s="17"/>
    </row>
    <row r="1068" spans="1:31" s="21" customFormat="1" ht="16" customHeight="1" x14ac:dyDescent="0.45">
      <c r="A1068" s="1">
        <v>2512</v>
      </c>
      <c r="B1068" s="2">
        <v>46366</v>
      </c>
      <c r="C1068" s="3"/>
      <c r="D1068" s="4" t="s">
        <v>27</v>
      </c>
      <c r="E1068" s="5" t="s">
        <v>37</v>
      </c>
      <c r="F1068" s="5"/>
      <c r="G1068" s="5" t="s">
        <v>28</v>
      </c>
      <c r="H1068" s="19" t="s">
        <v>33</v>
      </c>
      <c r="I1068" s="19"/>
      <c r="J1068" s="19"/>
      <c r="K1068" s="20"/>
      <c r="L1068" s="6">
        <v>121</v>
      </c>
      <c r="M1068" s="7">
        <v>1997.5</v>
      </c>
      <c r="N1068" s="8"/>
      <c r="O1068" s="9"/>
      <c r="P1068" s="10"/>
      <c r="Q1068" s="11"/>
      <c r="R1068" s="12">
        <v>2000</v>
      </c>
      <c r="S1068" s="12">
        <f t="shared" si="90"/>
        <v>3995000</v>
      </c>
      <c r="T1068" s="13"/>
      <c r="U1068" s="14"/>
      <c r="V1068" s="15"/>
      <c r="W1068" s="16"/>
      <c r="X1068" s="12"/>
      <c r="Y1068" s="17"/>
      <c r="Z1068" s="18">
        <f t="shared" si="89"/>
        <v>-3995000</v>
      </c>
      <c r="AA1068" s="17"/>
      <c r="AB1068" s="17"/>
      <c r="AC1068" s="17"/>
      <c r="AD1068" s="17"/>
      <c r="AE1068" s="17"/>
    </row>
    <row r="1069" spans="1:31" s="21" customFormat="1" ht="16" customHeight="1" x14ac:dyDescent="0.45">
      <c r="A1069" s="1">
        <v>2512</v>
      </c>
      <c r="B1069" s="2">
        <v>46366</v>
      </c>
      <c r="C1069" s="3"/>
      <c r="D1069" s="4" t="s">
        <v>27</v>
      </c>
      <c r="E1069" s="5" t="s">
        <v>37</v>
      </c>
      <c r="F1069" s="5"/>
      <c r="G1069" s="5" t="s">
        <v>28</v>
      </c>
      <c r="H1069" s="19" t="s">
        <v>33</v>
      </c>
      <c r="I1069" s="19"/>
      <c r="J1069" s="19"/>
      <c r="K1069" s="20"/>
      <c r="L1069" s="6">
        <v>126</v>
      </c>
      <c r="M1069" s="7">
        <v>2205</v>
      </c>
      <c r="N1069" s="8"/>
      <c r="O1069" s="9"/>
      <c r="P1069" s="10"/>
      <c r="Q1069" s="11"/>
      <c r="R1069" s="12">
        <v>2000</v>
      </c>
      <c r="S1069" s="12">
        <f t="shared" si="90"/>
        <v>4410000</v>
      </c>
      <c r="T1069" s="13"/>
      <c r="U1069" s="14"/>
      <c r="V1069" s="15"/>
      <c r="W1069" s="16"/>
      <c r="X1069" s="12"/>
      <c r="Y1069" s="17"/>
      <c r="Z1069" s="18">
        <f t="shared" si="89"/>
        <v>-4410000</v>
      </c>
      <c r="AA1069" s="17"/>
      <c r="AB1069" s="17"/>
      <c r="AC1069" s="17"/>
      <c r="AD1069" s="17"/>
      <c r="AE1069" s="17"/>
    </row>
    <row r="1070" spans="1:31" s="21" customFormat="1" ht="16" customHeight="1" x14ac:dyDescent="0.45">
      <c r="A1070" s="1">
        <v>2512</v>
      </c>
      <c r="B1070" s="2">
        <v>45992</v>
      </c>
      <c r="C1070" s="3"/>
      <c r="D1070" s="4" t="s">
        <v>27</v>
      </c>
      <c r="E1070" s="5" t="s">
        <v>37</v>
      </c>
      <c r="F1070" s="5"/>
      <c r="G1070" s="5" t="s">
        <v>28</v>
      </c>
      <c r="H1070" s="19" t="s">
        <v>33</v>
      </c>
      <c r="I1070" s="19"/>
      <c r="J1070" s="19"/>
      <c r="K1070" s="20"/>
      <c r="L1070" s="6">
        <v>273</v>
      </c>
      <c r="M1070" s="7">
        <v>4777.5</v>
      </c>
      <c r="N1070" s="8"/>
      <c r="O1070" s="9"/>
      <c r="P1070" s="10"/>
      <c r="Q1070" s="11"/>
      <c r="R1070" s="12">
        <v>2000</v>
      </c>
      <c r="S1070" s="12">
        <f t="shared" si="90"/>
        <v>9555000</v>
      </c>
      <c r="T1070" s="13"/>
      <c r="U1070" s="14"/>
      <c r="V1070" s="15"/>
      <c r="W1070" s="16"/>
      <c r="X1070" s="12"/>
      <c r="Y1070" s="17"/>
      <c r="Z1070" s="18">
        <f t="shared" si="89"/>
        <v>-9555000</v>
      </c>
      <c r="AA1070" s="17"/>
      <c r="AB1070" s="17"/>
      <c r="AC1070" s="17"/>
      <c r="AD1070" s="17"/>
      <c r="AE1070" s="17"/>
    </row>
    <row r="1071" spans="1:31" s="21" customFormat="1" ht="16" customHeight="1" x14ac:dyDescent="0.45">
      <c r="A1071" s="1">
        <v>2512</v>
      </c>
      <c r="B1071" s="2">
        <v>45999</v>
      </c>
      <c r="C1071" s="3"/>
      <c r="D1071" s="4" t="s">
        <v>123</v>
      </c>
      <c r="E1071" s="5" t="s">
        <v>37</v>
      </c>
      <c r="F1071" s="5"/>
      <c r="G1071" s="5" t="s">
        <v>5</v>
      </c>
      <c r="H1071" s="19" t="s">
        <v>610</v>
      </c>
      <c r="I1071" s="19"/>
      <c r="J1071" s="19"/>
      <c r="K1071" s="20"/>
      <c r="L1071" s="6">
        <v>15</v>
      </c>
      <c r="M1071" s="7">
        <v>307</v>
      </c>
      <c r="N1071" s="8"/>
      <c r="O1071" s="9"/>
      <c r="P1071" s="10"/>
      <c r="Q1071" s="11"/>
      <c r="R1071" s="12">
        <v>3700</v>
      </c>
      <c r="S1071" s="12">
        <f t="shared" si="90"/>
        <v>1135900</v>
      </c>
      <c r="T1071" s="13"/>
      <c r="U1071" s="14"/>
      <c r="V1071" s="15"/>
      <c r="W1071" s="16"/>
      <c r="X1071" s="12"/>
      <c r="Y1071" s="17"/>
      <c r="Z1071" s="18">
        <f t="shared" si="89"/>
        <v>-1135900</v>
      </c>
      <c r="AA1071" s="17"/>
      <c r="AB1071" s="17"/>
      <c r="AC1071" s="17"/>
      <c r="AD1071" s="17"/>
      <c r="AE1071" s="17"/>
    </row>
    <row r="1072" spans="1:31" ht="16" customHeight="1" x14ac:dyDescent="0.45">
      <c r="A1072" s="1">
        <v>2512</v>
      </c>
      <c r="B1072" s="2">
        <v>46003</v>
      </c>
      <c r="C1072" s="24"/>
      <c r="D1072" s="4" t="s">
        <v>37</v>
      </c>
      <c r="E1072" s="5" t="s">
        <v>28</v>
      </c>
      <c r="G1072" s="5" t="s">
        <v>28</v>
      </c>
      <c r="H1072" s="19" t="s">
        <v>38</v>
      </c>
      <c r="I1072" s="19" t="s">
        <v>39</v>
      </c>
      <c r="K1072" s="73" t="s">
        <v>42</v>
      </c>
      <c r="L1072" s="6">
        <v>6</v>
      </c>
      <c r="M1072" s="7">
        <v>116.6</v>
      </c>
      <c r="O1072" s="9">
        <v>173</v>
      </c>
      <c r="P1072" s="141"/>
      <c r="Q1072" s="95"/>
      <c r="R1072" s="12">
        <v>2500</v>
      </c>
      <c r="S1072" s="12">
        <f t="shared" si="90"/>
        <v>291500</v>
      </c>
      <c r="T1072" s="33"/>
      <c r="U1072" s="34"/>
      <c r="V1072" s="15">
        <v>6566</v>
      </c>
      <c r="W1072" s="16">
        <f t="shared" ref="W1072:W1100" si="91">O1072*V1072</f>
        <v>1135918</v>
      </c>
      <c r="Z1072" s="18">
        <f t="shared" si="89"/>
        <v>844418</v>
      </c>
    </row>
    <row r="1073" spans="1:26" ht="16" customHeight="1" x14ac:dyDescent="0.45">
      <c r="A1073" s="1">
        <v>2512</v>
      </c>
      <c r="B1073" s="2">
        <v>46003</v>
      </c>
      <c r="C1073" s="24"/>
      <c r="D1073" s="4" t="s">
        <v>37</v>
      </c>
      <c r="E1073" s="5" t="s">
        <v>28</v>
      </c>
      <c r="G1073" s="5" t="s">
        <v>28</v>
      </c>
      <c r="H1073" s="19" t="s">
        <v>38</v>
      </c>
      <c r="I1073" s="19" t="s">
        <v>39</v>
      </c>
      <c r="K1073" s="73" t="s">
        <v>45</v>
      </c>
      <c r="L1073" s="6">
        <v>24</v>
      </c>
      <c r="M1073" s="7">
        <v>451.6</v>
      </c>
      <c r="O1073" s="9">
        <v>683</v>
      </c>
      <c r="P1073" s="141"/>
      <c r="Q1073" s="95"/>
      <c r="R1073" s="12">
        <v>2500</v>
      </c>
      <c r="S1073" s="12">
        <f t="shared" si="90"/>
        <v>1129000</v>
      </c>
      <c r="T1073" s="33"/>
      <c r="U1073" s="34"/>
      <c r="V1073" s="15">
        <v>6566</v>
      </c>
      <c r="W1073" s="16">
        <f t="shared" si="91"/>
        <v>4484578</v>
      </c>
      <c r="Z1073" s="18">
        <f t="shared" si="89"/>
        <v>3355578</v>
      </c>
    </row>
    <row r="1074" spans="1:26" ht="16" customHeight="1" x14ac:dyDescent="0.45">
      <c r="A1074" s="1">
        <v>2512</v>
      </c>
      <c r="B1074" s="2">
        <v>46000</v>
      </c>
      <c r="C1074" s="24"/>
      <c r="D1074" s="4" t="s">
        <v>37</v>
      </c>
      <c r="E1074" s="5" t="s">
        <v>28</v>
      </c>
      <c r="G1074" s="5" t="s">
        <v>28</v>
      </c>
      <c r="H1074" s="19" t="s">
        <v>38</v>
      </c>
      <c r="I1074" s="19" t="s">
        <v>39</v>
      </c>
      <c r="K1074" s="73" t="s">
        <v>40</v>
      </c>
      <c r="L1074" s="6">
        <v>29</v>
      </c>
      <c r="M1074" s="7">
        <v>442.9</v>
      </c>
      <c r="O1074" s="9">
        <v>707</v>
      </c>
      <c r="P1074" s="141"/>
      <c r="Q1074" s="95"/>
      <c r="R1074" s="12">
        <v>2500</v>
      </c>
      <c r="S1074" s="12">
        <f t="shared" si="90"/>
        <v>1107250</v>
      </c>
      <c r="T1074" s="33"/>
      <c r="U1074" s="34"/>
      <c r="V1074" s="15">
        <v>6566</v>
      </c>
      <c r="W1074" s="16">
        <f t="shared" si="91"/>
        <v>4642162</v>
      </c>
      <c r="Z1074" s="18">
        <f t="shared" si="89"/>
        <v>3534912</v>
      </c>
    </row>
    <row r="1075" spans="1:26" ht="16" customHeight="1" x14ac:dyDescent="0.45">
      <c r="A1075" s="1">
        <v>2512</v>
      </c>
      <c r="B1075" s="2">
        <v>46000</v>
      </c>
      <c r="C1075" s="24"/>
      <c r="D1075" s="4" t="s">
        <v>37</v>
      </c>
      <c r="E1075" s="5" t="s">
        <v>28</v>
      </c>
      <c r="G1075" s="5" t="s">
        <v>28</v>
      </c>
      <c r="H1075" s="19" t="s">
        <v>38</v>
      </c>
      <c r="I1075" s="19" t="s">
        <v>39</v>
      </c>
      <c r="K1075" s="73" t="s">
        <v>44</v>
      </c>
      <c r="L1075" s="6">
        <v>12</v>
      </c>
      <c r="M1075" s="7">
        <v>180.1</v>
      </c>
      <c r="O1075" s="9">
        <v>276</v>
      </c>
      <c r="P1075" s="141"/>
      <c r="Q1075" s="95"/>
      <c r="R1075" s="12">
        <v>2500</v>
      </c>
      <c r="S1075" s="12">
        <f t="shared" si="90"/>
        <v>450250</v>
      </c>
      <c r="T1075" s="33"/>
      <c r="U1075" s="34"/>
      <c r="V1075" s="15">
        <v>6566</v>
      </c>
      <c r="W1075" s="16">
        <f t="shared" si="91"/>
        <v>1812216</v>
      </c>
      <c r="Z1075" s="18">
        <f t="shared" si="89"/>
        <v>1361966</v>
      </c>
    </row>
    <row r="1076" spans="1:26" ht="16" customHeight="1" x14ac:dyDescent="0.45">
      <c r="A1076" s="1">
        <v>2512</v>
      </c>
      <c r="B1076" s="2">
        <v>46000</v>
      </c>
      <c r="C1076" s="24"/>
      <c r="D1076" s="4" t="s">
        <v>37</v>
      </c>
      <c r="E1076" s="5" t="s">
        <v>28</v>
      </c>
      <c r="G1076" s="5" t="s">
        <v>28</v>
      </c>
      <c r="H1076" s="19" t="s">
        <v>38</v>
      </c>
      <c r="I1076" s="19" t="s">
        <v>39</v>
      </c>
      <c r="K1076" s="73" t="s">
        <v>83</v>
      </c>
      <c r="L1076" s="6">
        <v>32</v>
      </c>
      <c r="M1076" s="7">
        <v>474.5</v>
      </c>
      <c r="O1076" s="9">
        <v>755</v>
      </c>
      <c r="P1076" s="141"/>
      <c r="Q1076" s="95"/>
      <c r="R1076" s="12">
        <v>2500</v>
      </c>
      <c r="S1076" s="12">
        <f t="shared" si="90"/>
        <v>1186250</v>
      </c>
      <c r="T1076" s="33"/>
      <c r="U1076" s="34"/>
      <c r="V1076" s="15">
        <v>6566</v>
      </c>
      <c r="W1076" s="16">
        <f t="shared" si="91"/>
        <v>4957330</v>
      </c>
      <c r="Z1076" s="18">
        <f t="shared" si="89"/>
        <v>3771080</v>
      </c>
    </row>
    <row r="1077" spans="1:26" ht="16" customHeight="1" x14ac:dyDescent="0.45">
      <c r="A1077" s="1">
        <v>2512</v>
      </c>
      <c r="B1077" s="2">
        <v>46000</v>
      </c>
      <c r="C1077" s="24"/>
      <c r="D1077" s="4" t="s">
        <v>37</v>
      </c>
      <c r="E1077" s="5" t="s">
        <v>28</v>
      </c>
      <c r="G1077" s="5" t="s">
        <v>28</v>
      </c>
      <c r="H1077" s="19" t="s">
        <v>38</v>
      </c>
      <c r="I1077" s="19" t="s">
        <v>39</v>
      </c>
      <c r="K1077" s="73" t="s">
        <v>84</v>
      </c>
      <c r="L1077" s="6">
        <v>32</v>
      </c>
      <c r="M1077" s="7">
        <v>475.4</v>
      </c>
      <c r="O1077" s="9">
        <v>740</v>
      </c>
      <c r="P1077" s="141"/>
      <c r="Q1077" s="95"/>
      <c r="R1077" s="12">
        <v>2500</v>
      </c>
      <c r="S1077" s="12">
        <f t="shared" si="90"/>
        <v>1188500</v>
      </c>
      <c r="T1077" s="33"/>
      <c r="U1077" s="34"/>
      <c r="V1077" s="15">
        <v>6566</v>
      </c>
      <c r="W1077" s="16">
        <f t="shared" si="91"/>
        <v>4858840</v>
      </c>
      <c r="Z1077" s="18">
        <f t="shared" si="89"/>
        <v>3670340</v>
      </c>
    </row>
    <row r="1078" spans="1:26" ht="16" customHeight="1" x14ac:dyDescent="0.45">
      <c r="A1078" s="1">
        <v>2512</v>
      </c>
      <c r="B1078" s="2">
        <v>46000</v>
      </c>
      <c r="C1078" s="24"/>
      <c r="D1078" s="4" t="s">
        <v>37</v>
      </c>
      <c r="E1078" s="5" t="s">
        <v>28</v>
      </c>
      <c r="G1078" s="5" t="s">
        <v>28</v>
      </c>
      <c r="H1078" s="19" t="s">
        <v>38</v>
      </c>
      <c r="I1078" s="19" t="s">
        <v>39</v>
      </c>
      <c r="K1078" s="73" t="s">
        <v>85</v>
      </c>
      <c r="L1078" s="6">
        <v>27</v>
      </c>
      <c r="M1078" s="7">
        <v>407.6</v>
      </c>
      <c r="O1078" s="9">
        <v>644</v>
      </c>
      <c r="P1078" s="141"/>
      <c r="Q1078" s="95"/>
      <c r="R1078" s="12">
        <v>2500</v>
      </c>
      <c r="S1078" s="12">
        <f t="shared" si="90"/>
        <v>1019000</v>
      </c>
      <c r="T1078" s="33"/>
      <c r="U1078" s="34"/>
      <c r="V1078" s="15">
        <v>6566</v>
      </c>
      <c r="W1078" s="16">
        <f t="shared" si="91"/>
        <v>4228504</v>
      </c>
      <c r="Z1078" s="18">
        <f t="shared" si="89"/>
        <v>3209504</v>
      </c>
    </row>
    <row r="1079" spans="1:26" ht="16" customHeight="1" x14ac:dyDescent="0.45">
      <c r="A1079" s="1">
        <v>2512</v>
      </c>
      <c r="B1079" s="2">
        <v>46000</v>
      </c>
      <c r="C1079" s="24"/>
      <c r="D1079" s="4" t="s">
        <v>37</v>
      </c>
      <c r="E1079" s="5" t="s">
        <v>28</v>
      </c>
      <c r="G1079" s="5" t="s">
        <v>28</v>
      </c>
      <c r="H1079" s="19" t="s">
        <v>38</v>
      </c>
      <c r="I1079" s="19" t="s">
        <v>39</v>
      </c>
      <c r="K1079" s="73" t="s">
        <v>166</v>
      </c>
      <c r="L1079" s="6">
        <v>22</v>
      </c>
      <c r="M1079" s="7">
        <v>320.8</v>
      </c>
      <c r="O1079" s="9">
        <v>515</v>
      </c>
      <c r="P1079" s="141"/>
      <c r="Q1079" s="95"/>
      <c r="R1079" s="12">
        <v>2500</v>
      </c>
      <c r="S1079" s="12">
        <f t="shared" si="90"/>
        <v>802000</v>
      </c>
      <c r="T1079" s="33"/>
      <c r="U1079" s="34"/>
      <c r="V1079" s="15">
        <v>6566</v>
      </c>
      <c r="W1079" s="16">
        <f t="shared" si="91"/>
        <v>3381490</v>
      </c>
      <c r="Z1079" s="18">
        <f t="shared" si="89"/>
        <v>2579490</v>
      </c>
    </row>
    <row r="1080" spans="1:26" ht="16" customHeight="1" x14ac:dyDescent="0.45">
      <c r="A1080" s="1">
        <v>2512</v>
      </c>
      <c r="B1080" s="2">
        <v>46000</v>
      </c>
      <c r="C1080" s="24"/>
      <c r="D1080" s="4" t="s">
        <v>37</v>
      </c>
      <c r="E1080" s="5" t="s">
        <v>28</v>
      </c>
      <c r="G1080" s="5" t="s">
        <v>28</v>
      </c>
      <c r="H1080" s="19" t="s">
        <v>38</v>
      </c>
      <c r="I1080" s="19" t="s">
        <v>39</v>
      </c>
      <c r="K1080" s="73" t="s">
        <v>167</v>
      </c>
      <c r="L1080" s="6">
        <v>22</v>
      </c>
      <c r="M1080" s="7">
        <v>313.89999999999998</v>
      </c>
      <c r="O1080" s="9">
        <v>500</v>
      </c>
      <c r="P1080" s="141"/>
      <c r="Q1080" s="95"/>
      <c r="R1080" s="12">
        <v>2500</v>
      </c>
      <c r="S1080" s="12">
        <f t="shared" si="90"/>
        <v>784750</v>
      </c>
      <c r="T1080" s="33"/>
      <c r="U1080" s="34"/>
      <c r="V1080" s="15">
        <v>6566</v>
      </c>
      <c r="W1080" s="16">
        <f t="shared" si="91"/>
        <v>3283000</v>
      </c>
      <c r="Z1080" s="18">
        <f t="shared" si="89"/>
        <v>2498250</v>
      </c>
    </row>
    <row r="1081" spans="1:26" ht="16" customHeight="1" x14ac:dyDescent="0.45">
      <c r="A1081" s="1">
        <v>2512</v>
      </c>
      <c r="B1081" s="2">
        <v>45996</v>
      </c>
      <c r="C1081" s="24"/>
      <c r="D1081" s="4" t="s">
        <v>37</v>
      </c>
      <c r="E1081" s="5" t="s">
        <v>28</v>
      </c>
      <c r="G1081" s="5" t="s">
        <v>28</v>
      </c>
      <c r="H1081" s="19" t="s">
        <v>38</v>
      </c>
      <c r="I1081" s="19" t="s">
        <v>39</v>
      </c>
      <c r="K1081" s="73" t="s">
        <v>45</v>
      </c>
      <c r="L1081" s="6">
        <v>31</v>
      </c>
      <c r="M1081" s="7">
        <v>470.2</v>
      </c>
      <c r="O1081" s="9">
        <v>723</v>
      </c>
      <c r="P1081" s="141"/>
      <c r="Q1081" s="95"/>
      <c r="R1081" s="12">
        <v>2500</v>
      </c>
      <c r="S1081" s="12">
        <f t="shared" si="90"/>
        <v>1175500</v>
      </c>
      <c r="T1081" s="33"/>
      <c r="U1081" s="34"/>
      <c r="V1081" s="15">
        <v>6566</v>
      </c>
      <c r="W1081" s="16">
        <f t="shared" si="91"/>
        <v>4747218</v>
      </c>
      <c r="Z1081" s="18">
        <f t="shared" si="89"/>
        <v>3571718</v>
      </c>
    </row>
    <row r="1082" spans="1:26" ht="16" customHeight="1" x14ac:dyDescent="0.45">
      <c r="A1082" s="1">
        <v>2512</v>
      </c>
      <c r="B1082" s="2">
        <v>45996</v>
      </c>
      <c r="C1082" s="24"/>
      <c r="D1082" s="4" t="s">
        <v>37</v>
      </c>
      <c r="E1082" s="5" t="s">
        <v>28</v>
      </c>
      <c r="G1082" s="5" t="s">
        <v>28</v>
      </c>
      <c r="H1082" s="19" t="s">
        <v>38</v>
      </c>
      <c r="I1082" s="19" t="s">
        <v>39</v>
      </c>
      <c r="K1082" s="73" t="s">
        <v>46</v>
      </c>
      <c r="L1082" s="6">
        <v>27</v>
      </c>
      <c r="M1082" s="7">
        <v>405.3</v>
      </c>
      <c r="O1082" s="9">
        <v>645</v>
      </c>
      <c r="P1082" s="141"/>
      <c r="Q1082" s="95"/>
      <c r="R1082" s="12">
        <v>2500</v>
      </c>
      <c r="S1082" s="12">
        <f t="shared" si="90"/>
        <v>1013250</v>
      </c>
      <c r="T1082" s="33"/>
      <c r="U1082" s="34"/>
      <c r="V1082" s="15">
        <v>6566</v>
      </c>
      <c r="W1082" s="16">
        <f t="shared" si="91"/>
        <v>4235070</v>
      </c>
      <c r="Z1082" s="18">
        <f t="shared" si="89"/>
        <v>3221820</v>
      </c>
    </row>
    <row r="1083" spans="1:26" ht="16" customHeight="1" x14ac:dyDescent="0.45">
      <c r="A1083" s="1">
        <v>2512</v>
      </c>
      <c r="B1083" s="2">
        <v>45996</v>
      </c>
      <c r="C1083" s="24"/>
      <c r="D1083" s="4" t="s">
        <v>37</v>
      </c>
      <c r="E1083" s="5" t="s">
        <v>28</v>
      </c>
      <c r="G1083" s="5" t="s">
        <v>28</v>
      </c>
      <c r="H1083" s="19" t="s">
        <v>38</v>
      </c>
      <c r="I1083" s="19" t="s">
        <v>39</v>
      </c>
      <c r="K1083" s="73" t="s">
        <v>49</v>
      </c>
      <c r="L1083" s="6">
        <v>22</v>
      </c>
      <c r="M1083" s="7">
        <v>323.39999999999998</v>
      </c>
      <c r="O1083" s="9">
        <v>515</v>
      </c>
      <c r="P1083" s="141"/>
      <c r="Q1083" s="95"/>
      <c r="R1083" s="12">
        <v>2500</v>
      </c>
      <c r="S1083" s="12">
        <f t="shared" si="90"/>
        <v>808500</v>
      </c>
      <c r="T1083" s="33"/>
      <c r="U1083" s="34"/>
      <c r="V1083" s="15">
        <v>6566</v>
      </c>
      <c r="W1083" s="16">
        <f t="shared" si="91"/>
        <v>3381490</v>
      </c>
      <c r="Z1083" s="18">
        <f t="shared" si="89"/>
        <v>2572990</v>
      </c>
    </row>
    <row r="1084" spans="1:26" ht="16" customHeight="1" x14ac:dyDescent="0.45">
      <c r="A1084" s="1">
        <v>2512</v>
      </c>
      <c r="B1084" s="2">
        <v>45996</v>
      </c>
      <c r="C1084" s="24"/>
      <c r="D1084" s="4" t="s">
        <v>37</v>
      </c>
      <c r="E1084" s="5" t="s">
        <v>28</v>
      </c>
      <c r="G1084" s="5" t="s">
        <v>28</v>
      </c>
      <c r="H1084" s="19" t="s">
        <v>38</v>
      </c>
      <c r="I1084" s="19" t="s">
        <v>39</v>
      </c>
      <c r="K1084" s="73" t="s">
        <v>50</v>
      </c>
      <c r="L1084" s="6">
        <v>26</v>
      </c>
      <c r="M1084" s="7">
        <v>376.6</v>
      </c>
      <c r="O1084" s="9">
        <v>576</v>
      </c>
      <c r="P1084" s="141"/>
      <c r="Q1084" s="95"/>
      <c r="R1084" s="12">
        <v>2500</v>
      </c>
      <c r="S1084" s="12">
        <f t="shared" si="90"/>
        <v>941500</v>
      </c>
      <c r="T1084" s="33"/>
      <c r="U1084" s="34"/>
      <c r="V1084" s="15">
        <v>6566</v>
      </c>
      <c r="W1084" s="16">
        <f t="shared" si="91"/>
        <v>3782016</v>
      </c>
      <c r="Z1084" s="18">
        <f t="shared" si="89"/>
        <v>2840516</v>
      </c>
    </row>
    <row r="1085" spans="1:26" ht="16" customHeight="1" x14ac:dyDescent="0.45">
      <c r="A1085" s="1">
        <v>2512</v>
      </c>
      <c r="B1085" s="2">
        <v>45996</v>
      </c>
      <c r="C1085" s="24"/>
      <c r="D1085" s="4" t="s">
        <v>37</v>
      </c>
      <c r="E1085" s="5" t="s">
        <v>28</v>
      </c>
      <c r="G1085" s="5" t="s">
        <v>28</v>
      </c>
      <c r="H1085" s="19" t="s">
        <v>38</v>
      </c>
      <c r="I1085" s="19" t="s">
        <v>39</v>
      </c>
      <c r="K1085" s="73" t="s">
        <v>51</v>
      </c>
      <c r="L1085" s="6">
        <v>32</v>
      </c>
      <c r="M1085" s="7">
        <v>482.1</v>
      </c>
      <c r="O1085" s="9">
        <v>764</v>
      </c>
      <c r="P1085" s="141"/>
      <c r="Q1085" s="95"/>
      <c r="R1085" s="12">
        <v>2500</v>
      </c>
      <c r="S1085" s="12">
        <f t="shared" si="90"/>
        <v>1205250</v>
      </c>
      <c r="T1085" s="33"/>
      <c r="U1085" s="34"/>
      <c r="V1085" s="15">
        <v>6566</v>
      </c>
      <c r="W1085" s="16">
        <f t="shared" si="91"/>
        <v>5016424</v>
      </c>
      <c r="Z1085" s="18">
        <f t="shared" si="89"/>
        <v>3811174</v>
      </c>
    </row>
    <row r="1086" spans="1:26" ht="16" customHeight="1" x14ac:dyDescent="0.45">
      <c r="A1086" s="1">
        <v>2512</v>
      </c>
      <c r="B1086" s="2">
        <v>45996</v>
      </c>
      <c r="C1086" s="24"/>
      <c r="D1086" s="4" t="s">
        <v>37</v>
      </c>
      <c r="E1086" s="5" t="s">
        <v>28</v>
      </c>
      <c r="G1086" s="5" t="s">
        <v>28</v>
      </c>
      <c r="H1086" s="19" t="s">
        <v>38</v>
      </c>
      <c r="I1086" s="19" t="s">
        <v>39</v>
      </c>
      <c r="K1086" s="73" t="s">
        <v>174</v>
      </c>
      <c r="L1086" s="6">
        <v>31</v>
      </c>
      <c r="M1086" s="7">
        <v>464.3</v>
      </c>
      <c r="O1086" s="9">
        <v>744</v>
      </c>
      <c r="P1086" s="141"/>
      <c r="Q1086" s="95"/>
      <c r="R1086" s="12">
        <v>2500</v>
      </c>
      <c r="S1086" s="12">
        <f t="shared" si="90"/>
        <v>1160750</v>
      </c>
      <c r="T1086" s="33"/>
      <c r="U1086" s="34"/>
      <c r="V1086" s="15">
        <v>6566</v>
      </c>
      <c r="W1086" s="16">
        <f t="shared" si="91"/>
        <v>4885104</v>
      </c>
      <c r="Z1086" s="18">
        <f t="shared" si="89"/>
        <v>3724354</v>
      </c>
    </row>
    <row r="1087" spans="1:26" ht="16" customHeight="1" x14ac:dyDescent="0.45">
      <c r="A1087" s="1">
        <v>2512</v>
      </c>
      <c r="B1087" s="2">
        <v>45996</v>
      </c>
      <c r="C1087" s="24"/>
      <c r="D1087" s="4" t="s">
        <v>37</v>
      </c>
      <c r="E1087" s="5" t="s">
        <v>28</v>
      </c>
      <c r="G1087" s="5" t="s">
        <v>28</v>
      </c>
      <c r="H1087" s="19" t="s">
        <v>38</v>
      </c>
      <c r="I1087" s="19" t="s">
        <v>39</v>
      </c>
      <c r="K1087" s="73" t="s">
        <v>168</v>
      </c>
      <c r="L1087" s="6">
        <v>22</v>
      </c>
      <c r="M1087" s="7">
        <v>320.10000000000002</v>
      </c>
      <c r="O1087" s="9">
        <v>505</v>
      </c>
      <c r="P1087" s="141"/>
      <c r="Q1087" s="95"/>
      <c r="R1087" s="12">
        <v>2500</v>
      </c>
      <c r="S1087" s="12">
        <f t="shared" si="90"/>
        <v>800250</v>
      </c>
      <c r="T1087" s="33"/>
      <c r="U1087" s="34"/>
      <c r="V1087" s="15">
        <v>6566</v>
      </c>
      <c r="W1087" s="16">
        <f t="shared" si="91"/>
        <v>3315830</v>
      </c>
      <c r="Z1087" s="18">
        <f t="shared" si="89"/>
        <v>2515580</v>
      </c>
    </row>
    <row r="1088" spans="1:26" ht="16" customHeight="1" x14ac:dyDescent="0.45">
      <c r="A1088" s="1">
        <v>2512</v>
      </c>
      <c r="B1088" s="2">
        <v>46007</v>
      </c>
      <c r="C1088" s="24"/>
      <c r="D1088" s="4" t="s">
        <v>37</v>
      </c>
      <c r="E1088" s="5" t="s">
        <v>28</v>
      </c>
      <c r="G1088" s="5" t="s">
        <v>28</v>
      </c>
      <c r="H1088" s="19" t="s">
        <v>38</v>
      </c>
      <c r="I1088" s="19" t="s">
        <v>611</v>
      </c>
      <c r="K1088" s="73" t="s">
        <v>40</v>
      </c>
      <c r="L1088" s="6">
        <v>24</v>
      </c>
      <c r="M1088" s="7">
        <v>435.6</v>
      </c>
      <c r="O1088" s="9">
        <v>651</v>
      </c>
      <c r="P1088" s="141"/>
      <c r="Q1088" s="95"/>
      <c r="R1088" s="12">
        <v>2500</v>
      </c>
      <c r="S1088" s="12">
        <f t="shared" si="90"/>
        <v>1089000</v>
      </c>
      <c r="T1088" s="33"/>
      <c r="U1088" s="34"/>
      <c r="V1088" s="15">
        <v>6566</v>
      </c>
      <c r="W1088" s="16">
        <f t="shared" si="91"/>
        <v>4274466</v>
      </c>
      <c r="Z1088" s="18">
        <f t="shared" si="89"/>
        <v>3185466</v>
      </c>
    </row>
    <row r="1089" spans="1:31" ht="16" customHeight="1" x14ac:dyDescent="0.45">
      <c r="A1089" s="1">
        <v>2512</v>
      </c>
      <c r="B1089" s="2">
        <v>46007</v>
      </c>
      <c r="C1089" s="24"/>
      <c r="D1089" s="4" t="s">
        <v>37</v>
      </c>
      <c r="E1089" s="5" t="s">
        <v>28</v>
      </c>
      <c r="G1089" s="5" t="s">
        <v>28</v>
      </c>
      <c r="H1089" s="19" t="s">
        <v>38</v>
      </c>
      <c r="I1089" s="19" t="s">
        <v>611</v>
      </c>
      <c r="K1089" s="73" t="s">
        <v>41</v>
      </c>
      <c r="L1089" s="6">
        <v>24</v>
      </c>
      <c r="M1089" s="7">
        <v>456.5</v>
      </c>
      <c r="O1089" s="9">
        <v>715</v>
      </c>
      <c r="P1089" s="141"/>
      <c r="Q1089" s="95"/>
      <c r="R1089" s="12">
        <v>2500</v>
      </c>
      <c r="S1089" s="12">
        <f t="shared" si="90"/>
        <v>1141250</v>
      </c>
      <c r="T1089" s="33"/>
      <c r="U1089" s="34"/>
      <c r="V1089" s="15">
        <v>6566</v>
      </c>
      <c r="W1089" s="16">
        <f t="shared" si="91"/>
        <v>4694690</v>
      </c>
      <c r="Z1089" s="18">
        <f t="shared" si="89"/>
        <v>3553440</v>
      </c>
    </row>
    <row r="1090" spans="1:31" ht="16" customHeight="1" x14ac:dyDescent="0.45">
      <c r="A1090" s="1">
        <v>2512</v>
      </c>
      <c r="B1090" s="2">
        <v>46007</v>
      </c>
      <c r="C1090" s="24"/>
      <c r="D1090" s="4" t="s">
        <v>37</v>
      </c>
      <c r="E1090" s="5" t="s">
        <v>28</v>
      </c>
      <c r="G1090" s="5" t="s">
        <v>28</v>
      </c>
      <c r="H1090" s="19" t="s">
        <v>38</v>
      </c>
      <c r="I1090" s="19" t="s">
        <v>611</v>
      </c>
      <c r="K1090" s="73" t="s">
        <v>42</v>
      </c>
      <c r="L1090" s="6">
        <v>18</v>
      </c>
      <c r="M1090" s="7">
        <v>350.9</v>
      </c>
      <c r="O1090" s="9">
        <v>535</v>
      </c>
      <c r="P1090" s="141"/>
      <c r="Q1090" s="95"/>
      <c r="R1090" s="12">
        <v>2500</v>
      </c>
      <c r="S1090" s="12">
        <f t="shared" si="90"/>
        <v>877250</v>
      </c>
      <c r="T1090" s="33"/>
      <c r="U1090" s="34"/>
      <c r="V1090" s="15">
        <v>6566</v>
      </c>
      <c r="W1090" s="16">
        <f t="shared" si="91"/>
        <v>3512810</v>
      </c>
      <c r="Z1090" s="18">
        <f t="shared" si="89"/>
        <v>2635560</v>
      </c>
    </row>
    <row r="1091" spans="1:31" ht="16" customHeight="1" x14ac:dyDescent="0.45">
      <c r="A1091" s="1">
        <v>2512</v>
      </c>
      <c r="B1091" s="2">
        <v>46007</v>
      </c>
      <c r="C1091" s="24"/>
      <c r="D1091" s="4" t="s">
        <v>37</v>
      </c>
      <c r="E1091" s="5" t="s">
        <v>28</v>
      </c>
      <c r="G1091" s="5" t="s">
        <v>28</v>
      </c>
      <c r="H1091" s="19" t="s">
        <v>38</v>
      </c>
      <c r="I1091" s="19" t="s">
        <v>611</v>
      </c>
      <c r="K1091" s="73" t="s">
        <v>43</v>
      </c>
      <c r="L1091" s="6">
        <v>24</v>
      </c>
      <c r="M1091" s="7">
        <v>434.1</v>
      </c>
      <c r="O1091" s="9">
        <v>673</v>
      </c>
      <c r="P1091" s="141"/>
      <c r="Q1091" s="95"/>
      <c r="R1091" s="12">
        <v>2500</v>
      </c>
      <c r="S1091" s="12">
        <f t="shared" si="90"/>
        <v>1085250</v>
      </c>
      <c r="T1091" s="33"/>
      <c r="U1091" s="34"/>
      <c r="V1091" s="15">
        <v>6566</v>
      </c>
      <c r="W1091" s="16">
        <f t="shared" si="91"/>
        <v>4418918</v>
      </c>
      <c r="Z1091" s="18">
        <f t="shared" si="89"/>
        <v>3333668</v>
      </c>
    </row>
    <row r="1092" spans="1:31" ht="16" customHeight="1" x14ac:dyDescent="0.45">
      <c r="A1092" s="1">
        <v>2512</v>
      </c>
      <c r="B1092" s="2">
        <v>46007</v>
      </c>
      <c r="C1092" s="24"/>
      <c r="D1092" s="4" t="s">
        <v>37</v>
      </c>
      <c r="E1092" s="5" t="s">
        <v>28</v>
      </c>
      <c r="G1092" s="5" t="s">
        <v>28</v>
      </c>
      <c r="H1092" s="19" t="s">
        <v>38</v>
      </c>
      <c r="I1092" s="19" t="s">
        <v>611</v>
      </c>
      <c r="K1092" s="73" t="s">
        <v>44</v>
      </c>
      <c r="L1092" s="6">
        <v>24</v>
      </c>
      <c r="M1092" s="7">
        <v>448.9</v>
      </c>
      <c r="O1092" s="9">
        <v>694</v>
      </c>
      <c r="P1092" s="141"/>
      <c r="Q1092" s="95"/>
      <c r="R1092" s="12">
        <v>2500</v>
      </c>
      <c r="S1092" s="12">
        <f t="shared" si="90"/>
        <v>1122250</v>
      </c>
      <c r="T1092" s="33"/>
      <c r="U1092" s="34"/>
      <c r="V1092" s="15">
        <v>6566</v>
      </c>
      <c r="W1092" s="16">
        <f t="shared" si="91"/>
        <v>4556804</v>
      </c>
      <c r="Z1092" s="18">
        <f t="shared" si="89"/>
        <v>3434554</v>
      </c>
    </row>
    <row r="1093" spans="1:31" ht="16" customHeight="1" x14ac:dyDescent="0.45">
      <c r="A1093" s="1">
        <v>2512</v>
      </c>
      <c r="B1093" s="2">
        <v>46007</v>
      </c>
      <c r="C1093" s="24"/>
      <c r="D1093" s="4" t="s">
        <v>37</v>
      </c>
      <c r="E1093" s="5" t="s">
        <v>28</v>
      </c>
      <c r="G1093" s="5" t="s">
        <v>28</v>
      </c>
      <c r="H1093" s="19" t="s">
        <v>38</v>
      </c>
      <c r="I1093" s="19" t="s">
        <v>611</v>
      </c>
      <c r="K1093" s="73" t="s">
        <v>46</v>
      </c>
      <c r="L1093" s="6">
        <v>24</v>
      </c>
      <c r="M1093" s="7">
        <v>447.8</v>
      </c>
      <c r="O1093" s="9">
        <v>677</v>
      </c>
      <c r="P1093" s="141"/>
      <c r="Q1093" s="95"/>
      <c r="R1093" s="12">
        <v>2500</v>
      </c>
      <c r="S1093" s="12">
        <f t="shared" si="90"/>
        <v>1119500</v>
      </c>
      <c r="T1093" s="33"/>
      <c r="U1093" s="34"/>
      <c r="V1093" s="15">
        <v>6566</v>
      </c>
      <c r="W1093" s="16">
        <f t="shared" si="91"/>
        <v>4445182</v>
      </c>
      <c r="Z1093" s="18">
        <f t="shared" si="89"/>
        <v>3325682</v>
      </c>
    </row>
    <row r="1094" spans="1:31" ht="16" customHeight="1" x14ac:dyDescent="0.45">
      <c r="A1094" s="1">
        <v>2512</v>
      </c>
      <c r="B1094" s="2">
        <v>46007</v>
      </c>
      <c r="C1094" s="24"/>
      <c r="D1094" s="4" t="s">
        <v>37</v>
      </c>
      <c r="E1094" s="5" t="s">
        <v>28</v>
      </c>
      <c r="G1094" s="5" t="s">
        <v>28</v>
      </c>
      <c r="H1094" s="19" t="s">
        <v>38</v>
      </c>
      <c r="I1094" s="19" t="s">
        <v>611</v>
      </c>
      <c r="K1094" s="73" t="s">
        <v>50</v>
      </c>
      <c r="L1094" s="6">
        <v>18</v>
      </c>
      <c r="M1094" s="7">
        <v>347</v>
      </c>
      <c r="O1094" s="9">
        <v>506</v>
      </c>
      <c r="P1094" s="141"/>
      <c r="Q1094" s="95"/>
      <c r="R1094" s="12">
        <v>2500</v>
      </c>
      <c r="S1094" s="12">
        <f t="shared" si="90"/>
        <v>867500</v>
      </c>
      <c r="T1094" s="33"/>
      <c r="U1094" s="34"/>
      <c r="V1094" s="15">
        <v>6566</v>
      </c>
      <c r="W1094" s="16">
        <f t="shared" si="91"/>
        <v>3322396</v>
      </c>
      <c r="Z1094" s="18">
        <f t="shared" si="89"/>
        <v>2454896</v>
      </c>
    </row>
    <row r="1095" spans="1:31" ht="16" customHeight="1" x14ac:dyDescent="0.45">
      <c r="A1095" s="1">
        <v>2512</v>
      </c>
      <c r="B1095" s="2">
        <v>46007</v>
      </c>
      <c r="C1095" s="24"/>
      <c r="D1095" s="4" t="s">
        <v>37</v>
      </c>
      <c r="E1095" s="5" t="s">
        <v>28</v>
      </c>
      <c r="G1095" s="5" t="s">
        <v>28</v>
      </c>
      <c r="H1095" s="19" t="s">
        <v>38</v>
      </c>
      <c r="I1095" s="19" t="s">
        <v>611</v>
      </c>
      <c r="K1095" s="73" t="s">
        <v>40</v>
      </c>
      <c r="L1095" s="6">
        <v>25</v>
      </c>
      <c r="M1095" s="7">
        <v>372.8</v>
      </c>
      <c r="O1095" s="9">
        <v>577</v>
      </c>
      <c r="P1095" s="141"/>
      <c r="Q1095" s="95"/>
      <c r="R1095" s="12">
        <v>2500</v>
      </c>
      <c r="S1095" s="12">
        <f t="shared" si="90"/>
        <v>932000</v>
      </c>
      <c r="T1095" s="33"/>
      <c r="U1095" s="34"/>
      <c r="V1095" s="15">
        <v>6566</v>
      </c>
      <c r="W1095" s="16">
        <f t="shared" si="91"/>
        <v>3788582</v>
      </c>
      <c r="Z1095" s="18">
        <f t="shared" si="89"/>
        <v>2856582</v>
      </c>
    </row>
    <row r="1096" spans="1:31" ht="16" customHeight="1" x14ac:dyDescent="0.45">
      <c r="A1096" s="1">
        <v>2512</v>
      </c>
      <c r="B1096" s="2">
        <v>46007</v>
      </c>
      <c r="C1096" s="24"/>
      <c r="D1096" s="4" t="s">
        <v>37</v>
      </c>
      <c r="E1096" s="5" t="s">
        <v>28</v>
      </c>
      <c r="G1096" s="5" t="s">
        <v>28</v>
      </c>
      <c r="H1096" s="19" t="s">
        <v>38</v>
      </c>
      <c r="I1096" s="19" t="s">
        <v>611</v>
      </c>
      <c r="K1096" s="73" t="s">
        <v>41</v>
      </c>
      <c r="L1096" s="6">
        <v>32</v>
      </c>
      <c r="M1096" s="7">
        <v>472.8</v>
      </c>
      <c r="O1096" s="9">
        <v>738</v>
      </c>
      <c r="P1096" s="141"/>
      <c r="Q1096" s="95"/>
      <c r="R1096" s="12">
        <v>2500</v>
      </c>
      <c r="S1096" s="12">
        <f t="shared" si="90"/>
        <v>1182000</v>
      </c>
      <c r="T1096" s="33"/>
      <c r="U1096" s="34"/>
      <c r="V1096" s="15">
        <v>6566</v>
      </c>
      <c r="W1096" s="16">
        <f t="shared" si="91"/>
        <v>4845708</v>
      </c>
      <c r="Z1096" s="18">
        <f t="shared" si="89"/>
        <v>3663708</v>
      </c>
    </row>
    <row r="1097" spans="1:31" ht="16" customHeight="1" x14ac:dyDescent="0.45">
      <c r="A1097" s="1">
        <v>2512</v>
      </c>
      <c r="B1097" s="2">
        <v>46007</v>
      </c>
      <c r="C1097" s="24"/>
      <c r="D1097" s="4" t="s">
        <v>37</v>
      </c>
      <c r="E1097" s="5" t="s">
        <v>28</v>
      </c>
      <c r="G1097" s="5" t="s">
        <v>28</v>
      </c>
      <c r="H1097" s="19" t="s">
        <v>38</v>
      </c>
      <c r="I1097" s="19" t="s">
        <v>611</v>
      </c>
      <c r="K1097" s="73" t="s">
        <v>45</v>
      </c>
      <c r="L1097" s="6">
        <v>32</v>
      </c>
      <c r="M1097" s="7">
        <v>478.1</v>
      </c>
      <c r="O1097" s="9">
        <v>745</v>
      </c>
      <c r="P1097" s="141"/>
      <c r="Q1097" s="95"/>
      <c r="R1097" s="12">
        <v>2500</v>
      </c>
      <c r="S1097" s="12">
        <f t="shared" si="90"/>
        <v>1195250</v>
      </c>
      <c r="T1097" s="33"/>
      <c r="U1097" s="34"/>
      <c r="V1097" s="15">
        <v>6566</v>
      </c>
      <c r="W1097" s="16">
        <f t="shared" si="91"/>
        <v>4891670</v>
      </c>
      <c r="Z1097" s="18">
        <f t="shared" si="89"/>
        <v>3696420</v>
      </c>
    </row>
    <row r="1098" spans="1:31" ht="16" customHeight="1" x14ac:dyDescent="0.45">
      <c r="A1098" s="1">
        <v>2512</v>
      </c>
      <c r="B1098" s="2">
        <v>46007</v>
      </c>
      <c r="C1098" s="24"/>
      <c r="D1098" s="4" t="s">
        <v>37</v>
      </c>
      <c r="E1098" s="5" t="s">
        <v>28</v>
      </c>
      <c r="G1098" s="5" t="s">
        <v>28</v>
      </c>
      <c r="H1098" s="19" t="s">
        <v>38</v>
      </c>
      <c r="I1098" s="19" t="s">
        <v>611</v>
      </c>
      <c r="K1098" s="73" t="s">
        <v>46</v>
      </c>
      <c r="L1098" s="6">
        <v>32</v>
      </c>
      <c r="M1098" s="7">
        <v>473.6</v>
      </c>
      <c r="O1098" s="9">
        <v>741</v>
      </c>
      <c r="P1098" s="141"/>
      <c r="Q1098" s="95"/>
      <c r="R1098" s="12">
        <v>2500</v>
      </c>
      <c r="S1098" s="12">
        <f t="shared" si="90"/>
        <v>1184000</v>
      </c>
      <c r="T1098" s="33"/>
      <c r="U1098" s="34"/>
      <c r="V1098" s="15">
        <v>6566</v>
      </c>
      <c r="W1098" s="16">
        <f t="shared" si="91"/>
        <v>4865406</v>
      </c>
      <c r="Z1098" s="18">
        <f t="shared" si="89"/>
        <v>3681406</v>
      </c>
    </row>
    <row r="1099" spans="1:31" s="21" customFormat="1" ht="16" customHeight="1" x14ac:dyDescent="0.45">
      <c r="A1099" s="1">
        <v>2512</v>
      </c>
      <c r="B1099" s="23">
        <v>45996</v>
      </c>
      <c r="C1099" s="24"/>
      <c r="D1099" s="25" t="s">
        <v>37</v>
      </c>
      <c r="E1099" s="26" t="s">
        <v>28</v>
      </c>
      <c r="F1099" s="26"/>
      <c r="G1099" s="26" t="s">
        <v>28</v>
      </c>
      <c r="H1099" s="27" t="s">
        <v>32</v>
      </c>
      <c r="I1099" s="27" t="s">
        <v>47</v>
      </c>
      <c r="J1099" s="27"/>
      <c r="K1099" s="38" t="s">
        <v>50</v>
      </c>
      <c r="L1099" s="29">
        <v>20</v>
      </c>
      <c r="M1099" s="30">
        <v>360.5</v>
      </c>
      <c r="N1099" s="31"/>
      <c r="O1099" s="32">
        <v>678</v>
      </c>
      <c r="P1099" s="91"/>
      <c r="Q1099" s="92"/>
      <c r="R1099" s="93">
        <v>2500</v>
      </c>
      <c r="S1099" s="93">
        <f t="shared" si="90"/>
        <v>901250</v>
      </c>
      <c r="T1099" s="33"/>
      <c r="U1099" s="34"/>
      <c r="V1099" s="35">
        <v>5750</v>
      </c>
      <c r="W1099" s="36">
        <f t="shared" si="91"/>
        <v>3898500</v>
      </c>
      <c r="X1099" s="93"/>
      <c r="Z1099" s="18">
        <f t="shared" si="89"/>
        <v>2997250</v>
      </c>
    </row>
    <row r="1100" spans="1:31" s="21" customFormat="1" ht="16" customHeight="1" x14ac:dyDescent="0.45">
      <c r="A1100" s="1">
        <v>2512</v>
      </c>
      <c r="B1100" s="23">
        <v>46007</v>
      </c>
      <c r="C1100" s="24"/>
      <c r="D1100" s="25" t="s">
        <v>37</v>
      </c>
      <c r="E1100" s="26" t="s">
        <v>28</v>
      </c>
      <c r="F1100" s="26"/>
      <c r="G1100" s="26" t="s">
        <v>28</v>
      </c>
      <c r="H1100" s="27" t="s">
        <v>32</v>
      </c>
      <c r="I1100" s="27" t="s">
        <v>47</v>
      </c>
      <c r="J1100" s="27"/>
      <c r="K1100" s="38" t="s">
        <v>51</v>
      </c>
      <c r="L1100" s="29">
        <v>20</v>
      </c>
      <c r="M1100" s="30">
        <v>353.5</v>
      </c>
      <c r="N1100" s="31"/>
      <c r="O1100" s="32">
        <v>670</v>
      </c>
      <c r="P1100" s="91"/>
      <c r="Q1100" s="92"/>
      <c r="R1100" s="93">
        <v>2500</v>
      </c>
      <c r="S1100" s="93">
        <f t="shared" si="90"/>
        <v>883750</v>
      </c>
      <c r="T1100" s="33"/>
      <c r="U1100" s="34"/>
      <c r="V1100" s="35">
        <v>5750</v>
      </c>
      <c r="W1100" s="36">
        <f t="shared" si="91"/>
        <v>3852500</v>
      </c>
      <c r="X1100" s="93"/>
      <c r="Z1100" s="18">
        <f t="shared" si="89"/>
        <v>2968750</v>
      </c>
    </row>
    <row r="1101" spans="1:31" s="21" customFormat="1" ht="16" customHeight="1" x14ac:dyDescent="0.45">
      <c r="A1101" s="1">
        <v>2512</v>
      </c>
      <c r="B1101" s="2">
        <v>46013</v>
      </c>
      <c r="C1101" s="3"/>
      <c r="D1101" s="4" t="s">
        <v>612</v>
      </c>
      <c r="E1101" s="5" t="s">
        <v>3</v>
      </c>
      <c r="F1101" s="5"/>
      <c r="G1101" s="5" t="s">
        <v>1</v>
      </c>
      <c r="H1101" s="19" t="s">
        <v>2</v>
      </c>
      <c r="I1101" s="19"/>
      <c r="J1101" s="19"/>
      <c r="K1101" s="20"/>
      <c r="L1101" s="6">
        <v>26</v>
      </c>
      <c r="M1101" s="7">
        <v>455</v>
      </c>
      <c r="N1101" s="8"/>
      <c r="O1101" s="9"/>
      <c r="P1101" s="10"/>
      <c r="Q1101" s="11"/>
      <c r="R1101" s="12">
        <v>3800</v>
      </c>
      <c r="S1101" s="12">
        <f t="shared" si="90"/>
        <v>1729000</v>
      </c>
      <c r="T1101" s="13"/>
      <c r="U1101" s="14"/>
      <c r="V1101" s="15"/>
      <c r="W1101" s="16"/>
      <c r="X1101" s="12"/>
      <c r="Y1101" s="17"/>
      <c r="Z1101" s="18">
        <f t="shared" si="89"/>
        <v>-1729000</v>
      </c>
      <c r="AA1101" s="17"/>
      <c r="AB1101" s="17"/>
      <c r="AC1101" s="17"/>
      <c r="AD1101" s="17"/>
      <c r="AE1101" s="17"/>
    </row>
    <row r="1102" spans="1:31" s="21" customFormat="1" ht="16" customHeight="1" x14ac:dyDescent="0.45">
      <c r="A1102" s="1">
        <v>2512</v>
      </c>
      <c r="B1102" s="2">
        <v>45999</v>
      </c>
      <c r="C1102" s="3"/>
      <c r="D1102" s="4" t="s">
        <v>223</v>
      </c>
      <c r="E1102" s="5" t="s">
        <v>3</v>
      </c>
      <c r="F1102" s="5"/>
      <c r="G1102" s="5" t="s">
        <v>1</v>
      </c>
      <c r="H1102" s="19" t="s">
        <v>562</v>
      </c>
      <c r="I1102" s="19"/>
      <c r="J1102" s="19"/>
      <c r="K1102" s="20"/>
      <c r="L1102" s="6">
        <v>8</v>
      </c>
      <c r="M1102" s="7">
        <v>180.8</v>
      </c>
      <c r="N1102" s="8"/>
      <c r="O1102" s="9"/>
      <c r="P1102" s="10">
        <v>9600</v>
      </c>
      <c r="Q1102" s="11" t="e">
        <f t="array" ref="Q1102">A1:W1110+Q1095=M1102*P1102</f>
        <v>#VALUE!</v>
      </c>
      <c r="R1102" s="12"/>
      <c r="S1102" s="12"/>
      <c r="T1102" s="13"/>
      <c r="U1102" s="14"/>
      <c r="V1102" s="15"/>
      <c r="W1102" s="16"/>
      <c r="X1102" s="12"/>
      <c r="Y1102" s="17"/>
      <c r="Z1102" s="18" t="e">
        <f t="shared" si="89"/>
        <v>#VALUE!</v>
      </c>
      <c r="AA1102" s="17"/>
      <c r="AB1102" s="17"/>
      <c r="AC1102" s="17"/>
      <c r="AD1102" s="17"/>
      <c r="AE1102" s="17"/>
    </row>
    <row r="1103" spans="1:31" ht="16" customHeight="1" x14ac:dyDescent="0.45">
      <c r="A1103" s="1">
        <v>2512</v>
      </c>
      <c r="B1103" s="2">
        <v>46013</v>
      </c>
      <c r="C1103" s="24"/>
      <c r="D1103" s="4" t="s">
        <v>30</v>
      </c>
      <c r="E1103" s="5" t="s">
        <v>31</v>
      </c>
      <c r="G1103" s="5" t="s">
        <v>31</v>
      </c>
      <c r="H1103" s="19" t="s">
        <v>133</v>
      </c>
      <c r="L1103" s="6">
        <v>7</v>
      </c>
      <c r="O1103" s="9">
        <v>4900</v>
      </c>
      <c r="P1103" s="141"/>
      <c r="Q1103" s="95"/>
      <c r="R1103" s="12">
        <v>1470</v>
      </c>
      <c r="S1103" s="12">
        <f>O1103*R1103</f>
        <v>7203000</v>
      </c>
      <c r="T1103" s="33"/>
      <c r="U1103" s="34"/>
      <c r="V1103" s="15">
        <v>2450</v>
      </c>
      <c r="W1103" s="16">
        <f>O1103*V1103</f>
        <v>12005000</v>
      </c>
      <c r="Z1103" s="18">
        <f t="shared" si="89"/>
        <v>4802000</v>
      </c>
    </row>
    <row r="1104" spans="1:31" ht="16" customHeight="1" x14ac:dyDescent="0.45">
      <c r="A1104" s="1">
        <v>2512</v>
      </c>
      <c r="B1104" s="2">
        <v>46013</v>
      </c>
      <c r="C1104" s="24"/>
      <c r="D1104" s="4" t="s">
        <v>30</v>
      </c>
      <c r="E1104" s="5" t="s">
        <v>31</v>
      </c>
      <c r="G1104" s="5" t="s">
        <v>31</v>
      </c>
      <c r="H1104" s="19" t="s">
        <v>498</v>
      </c>
      <c r="L1104" s="6">
        <v>3</v>
      </c>
      <c r="O1104" s="9">
        <v>1450</v>
      </c>
      <c r="P1104" s="141"/>
      <c r="Q1104" s="95"/>
      <c r="R1104" s="12">
        <v>1470</v>
      </c>
      <c r="S1104" s="12">
        <f>O1104*R1104</f>
        <v>2131500</v>
      </c>
      <c r="T1104" s="33"/>
      <c r="U1104" s="34"/>
      <c r="V1104" s="15">
        <v>4400</v>
      </c>
      <c r="W1104" s="16">
        <f>O1104*V1104</f>
        <v>6380000</v>
      </c>
      <c r="Z1104" s="18">
        <f t="shared" si="89"/>
        <v>4248500</v>
      </c>
    </row>
    <row r="1105" spans="1:31" ht="16" customHeight="1" x14ac:dyDescent="0.45">
      <c r="A1105" s="1">
        <v>2512</v>
      </c>
      <c r="B1105" s="2">
        <v>46013</v>
      </c>
      <c r="C1105" s="24"/>
      <c r="D1105" s="4" t="s">
        <v>30</v>
      </c>
      <c r="E1105" s="5" t="s">
        <v>31</v>
      </c>
      <c r="G1105" s="5" t="s">
        <v>31</v>
      </c>
      <c r="H1105" s="19" t="s">
        <v>113</v>
      </c>
      <c r="L1105" s="6">
        <v>2</v>
      </c>
      <c r="O1105" s="9">
        <v>2000</v>
      </c>
      <c r="P1105" s="141"/>
      <c r="Q1105" s="95"/>
      <c r="R1105" s="12">
        <v>1260</v>
      </c>
      <c r="S1105" s="12">
        <f>O1105*R1105</f>
        <v>2520000</v>
      </c>
      <c r="T1105" s="33"/>
      <c r="U1105" s="34"/>
      <c r="V1105" s="15">
        <v>1380</v>
      </c>
      <c r="W1105" s="16">
        <f>O1105*V1105</f>
        <v>2760000</v>
      </c>
      <c r="Z1105" s="18">
        <f t="shared" si="89"/>
        <v>240000</v>
      </c>
    </row>
    <row r="1106" spans="1:31" ht="16" customHeight="1" x14ac:dyDescent="0.45">
      <c r="A1106" s="1">
        <v>2512</v>
      </c>
      <c r="B1106" s="2">
        <v>46022</v>
      </c>
      <c r="C1106" s="24"/>
      <c r="E1106" s="5" t="s">
        <v>31</v>
      </c>
      <c r="G1106" s="5" t="s">
        <v>31</v>
      </c>
      <c r="H1106" s="19" t="s">
        <v>150</v>
      </c>
      <c r="P1106" s="141"/>
      <c r="Q1106" s="95"/>
      <c r="T1106" s="33"/>
      <c r="U1106" s="34"/>
      <c r="V1106" s="15">
        <v>-419830</v>
      </c>
      <c r="Z1106" s="18">
        <f t="shared" si="89"/>
        <v>0</v>
      </c>
    </row>
    <row r="1107" spans="1:31" ht="16" customHeight="1" x14ac:dyDescent="0.45">
      <c r="A1107" s="1">
        <v>2512</v>
      </c>
      <c r="B1107" s="2">
        <v>45999</v>
      </c>
      <c r="D1107" s="4" t="s">
        <v>368</v>
      </c>
      <c r="E1107" s="5" t="s">
        <v>109</v>
      </c>
      <c r="G1107" s="5" t="s">
        <v>1</v>
      </c>
      <c r="H1107" s="19" t="s">
        <v>605</v>
      </c>
      <c r="I1107" s="19" t="s">
        <v>36</v>
      </c>
      <c r="L1107" s="6">
        <v>1</v>
      </c>
      <c r="N1107" s="8">
        <v>71</v>
      </c>
      <c r="R1107" s="12">
        <v>600</v>
      </c>
      <c r="S1107" s="12">
        <f>N1107*R1107</f>
        <v>42600</v>
      </c>
      <c r="Z1107" s="18">
        <f t="shared" si="89"/>
        <v>-42600</v>
      </c>
    </row>
    <row r="1108" spans="1:31" ht="16" customHeight="1" x14ac:dyDescent="0.45">
      <c r="A1108" s="1">
        <v>2512</v>
      </c>
      <c r="B1108" s="2">
        <v>45998</v>
      </c>
      <c r="D1108" s="4" t="s">
        <v>66</v>
      </c>
      <c r="E1108" s="5" t="s">
        <v>109</v>
      </c>
      <c r="H1108" s="19" t="s">
        <v>172</v>
      </c>
      <c r="I1108" s="19" t="s">
        <v>53</v>
      </c>
      <c r="N1108" s="8">
        <v>210</v>
      </c>
      <c r="R1108" s="12">
        <v>800</v>
      </c>
      <c r="S1108" s="12">
        <f>N1108*R1108</f>
        <v>168000</v>
      </c>
      <c r="Z1108" s="18">
        <f t="shared" si="89"/>
        <v>-168000</v>
      </c>
    </row>
    <row r="1109" spans="1:31" ht="16" customHeight="1" x14ac:dyDescent="0.45">
      <c r="A1109" s="1">
        <v>2512</v>
      </c>
      <c r="B1109" s="2">
        <v>46387</v>
      </c>
      <c r="D1109" s="4" t="s">
        <v>27</v>
      </c>
      <c r="G1109" s="5" t="s">
        <v>28</v>
      </c>
      <c r="H1109" s="19" t="s">
        <v>456</v>
      </c>
      <c r="M1109" s="7">
        <v>1885.8</v>
      </c>
      <c r="R1109" s="12">
        <v>2390</v>
      </c>
      <c r="S1109" s="12">
        <f>M1109*R1109</f>
        <v>4507062</v>
      </c>
      <c r="Z1109" s="18">
        <f t="shared" si="89"/>
        <v>-4507062</v>
      </c>
    </row>
    <row r="1110" spans="1:31" ht="16" customHeight="1" x14ac:dyDescent="0.45">
      <c r="A1110" s="1">
        <v>2512</v>
      </c>
      <c r="B1110" s="2">
        <v>46387</v>
      </c>
      <c r="D1110" s="4" t="s">
        <v>187</v>
      </c>
      <c r="G1110" s="5" t="s">
        <v>28</v>
      </c>
      <c r="H1110" s="19" t="s">
        <v>613</v>
      </c>
      <c r="N1110" s="8">
        <v>19753</v>
      </c>
      <c r="R1110" s="12">
        <v>130</v>
      </c>
      <c r="S1110" s="12">
        <f>N1110*R1110</f>
        <v>2567890</v>
      </c>
      <c r="Z1110" s="18">
        <f t="shared" ref="Z1110:Z1128" si="92">W1110-S1110-Q1110</f>
        <v>-2567890</v>
      </c>
    </row>
    <row r="1111" spans="1:31" s="21" customFormat="1" ht="16" customHeight="1" x14ac:dyDescent="0.45">
      <c r="A1111" s="22"/>
      <c r="B1111" s="23">
        <v>45987</v>
      </c>
      <c r="C1111" s="24"/>
      <c r="D1111" s="25" t="s">
        <v>587</v>
      </c>
      <c r="E1111" s="26" t="s">
        <v>230</v>
      </c>
      <c r="F1111" s="26"/>
      <c r="G1111" s="26" t="s">
        <v>230</v>
      </c>
      <c r="H1111" s="27" t="s">
        <v>231</v>
      </c>
      <c r="I1111" s="27"/>
      <c r="J1111" s="27"/>
      <c r="K1111" s="28"/>
      <c r="L1111" s="29"/>
      <c r="M1111" s="30"/>
      <c r="N1111" s="31"/>
      <c r="O1111" s="32">
        <v>489</v>
      </c>
      <c r="P1111" s="91"/>
      <c r="Q1111" s="92"/>
      <c r="R1111" s="93" t="s">
        <v>233</v>
      </c>
      <c r="S1111" s="93">
        <v>0</v>
      </c>
      <c r="T1111" s="33"/>
      <c r="U1111" s="34"/>
      <c r="V1111" s="35">
        <v>1312</v>
      </c>
      <c r="W1111" s="36">
        <f>O1111*V1111</f>
        <v>641568</v>
      </c>
      <c r="X1111" s="93"/>
      <c r="Z1111" s="156">
        <f>W1111-S1111-Q1111</f>
        <v>641568</v>
      </c>
    </row>
    <row r="1112" spans="1:31" ht="16" customHeight="1" x14ac:dyDescent="0.45">
      <c r="A1112" s="22"/>
      <c r="B1112" s="23">
        <v>46024</v>
      </c>
      <c r="C1112" s="24"/>
      <c r="D1112" s="25" t="s">
        <v>339</v>
      </c>
      <c r="E1112" s="26" t="s">
        <v>614</v>
      </c>
      <c r="F1112" s="26"/>
      <c r="G1112" s="26" t="s">
        <v>187</v>
      </c>
      <c r="H1112" s="27" t="s">
        <v>205</v>
      </c>
      <c r="I1112" s="27"/>
      <c r="J1112" s="27"/>
      <c r="K1112" s="28"/>
      <c r="L1112" s="29">
        <v>10</v>
      </c>
      <c r="M1112" s="30">
        <v>803.4</v>
      </c>
      <c r="N1112" s="31"/>
      <c r="O1112" s="32"/>
      <c r="P1112" s="91"/>
      <c r="Q1112" s="92"/>
      <c r="R1112" s="93">
        <v>1000</v>
      </c>
      <c r="S1112" s="93">
        <f>M1112*R1112</f>
        <v>803400</v>
      </c>
      <c r="T1112" s="33"/>
      <c r="U1112" s="34"/>
      <c r="V1112" s="35">
        <v>5480</v>
      </c>
      <c r="W1112" s="36">
        <f>M1112*V1112</f>
        <v>4402632</v>
      </c>
      <c r="X1112" s="93"/>
      <c r="Y1112" s="21"/>
      <c r="Z1112" s="156">
        <f t="shared" ref="Z1112:Z1161" si="93">W1112-S1112-Q1112</f>
        <v>3599232</v>
      </c>
      <c r="AA1112" s="21"/>
      <c r="AB1112" s="21"/>
      <c r="AC1112" s="21"/>
      <c r="AD1112" s="21"/>
      <c r="AE1112" s="21"/>
    </row>
    <row r="1113" spans="1:31" s="21" customFormat="1" ht="16" customHeight="1" x14ac:dyDescent="0.45">
      <c r="A1113" s="22"/>
      <c r="B1113" s="23">
        <v>46035</v>
      </c>
      <c r="C1113" s="24"/>
      <c r="D1113" s="25" t="s">
        <v>75</v>
      </c>
      <c r="E1113" s="26" t="s">
        <v>19</v>
      </c>
      <c r="F1113" s="26"/>
      <c r="G1113" s="26" t="s">
        <v>19</v>
      </c>
      <c r="H1113" s="27" t="s">
        <v>20</v>
      </c>
      <c r="I1113" s="27" t="s">
        <v>216</v>
      </c>
      <c r="J1113" s="27"/>
      <c r="K1113" s="28"/>
      <c r="L1113" s="29">
        <v>5</v>
      </c>
      <c r="M1113" s="30"/>
      <c r="N1113" s="31"/>
      <c r="O1113" s="32">
        <v>3700</v>
      </c>
      <c r="P1113" s="91"/>
      <c r="Q1113" s="92"/>
      <c r="R1113" s="93">
        <v>1850</v>
      </c>
      <c r="S1113" s="93">
        <f>O1113*R1113</f>
        <v>6845000</v>
      </c>
      <c r="T1113" s="33"/>
      <c r="U1113" s="34"/>
      <c r="V1113" s="35">
        <v>3595</v>
      </c>
      <c r="W1113" s="36">
        <f>O1113*V1113</f>
        <v>13301500</v>
      </c>
      <c r="X1113" s="93"/>
      <c r="Z1113" s="156">
        <f t="shared" si="93"/>
        <v>6456500</v>
      </c>
    </row>
    <row r="1114" spans="1:31" s="21" customFormat="1" ht="16" customHeight="1" x14ac:dyDescent="0.45">
      <c r="A1114" s="22"/>
      <c r="B1114" s="23">
        <v>46035</v>
      </c>
      <c r="C1114" s="24"/>
      <c r="D1114" s="25" t="s">
        <v>75</v>
      </c>
      <c r="E1114" s="26" t="s">
        <v>19</v>
      </c>
      <c r="F1114" s="26"/>
      <c r="G1114" s="26" t="s">
        <v>19</v>
      </c>
      <c r="H1114" s="27" t="s">
        <v>615</v>
      </c>
      <c r="I1114" s="27" t="s">
        <v>119</v>
      </c>
      <c r="J1114" s="27"/>
      <c r="K1114" s="28"/>
      <c r="L1114" s="29">
        <v>1</v>
      </c>
      <c r="M1114" s="30"/>
      <c r="N1114" s="31"/>
      <c r="O1114" s="32">
        <v>25</v>
      </c>
      <c r="P1114" s="91"/>
      <c r="Q1114" s="92"/>
      <c r="R1114" s="93">
        <v>1850</v>
      </c>
      <c r="S1114" s="93">
        <f>O1114*R1114</f>
        <v>46250</v>
      </c>
      <c r="T1114" s="33"/>
      <c r="U1114" s="34"/>
      <c r="V1114" s="35">
        <v>2250</v>
      </c>
      <c r="W1114" s="36">
        <f>O1114*V1114</f>
        <v>56250</v>
      </c>
      <c r="X1114" s="93"/>
      <c r="Z1114" s="156">
        <f t="shared" si="93"/>
        <v>10000</v>
      </c>
    </row>
    <row r="1115" spans="1:31" s="21" customFormat="1" ht="16" customHeight="1" x14ac:dyDescent="0.45">
      <c r="A1115" s="22"/>
      <c r="B1115" s="23">
        <v>46035</v>
      </c>
      <c r="C1115" s="24"/>
      <c r="D1115" s="25" t="s">
        <v>75</v>
      </c>
      <c r="E1115" s="26" t="s">
        <v>19</v>
      </c>
      <c r="F1115" s="26"/>
      <c r="G1115" s="26" t="s">
        <v>19</v>
      </c>
      <c r="H1115" s="27" t="s">
        <v>615</v>
      </c>
      <c r="I1115" s="27" t="s">
        <v>119</v>
      </c>
      <c r="J1115" s="27"/>
      <c r="K1115" s="28"/>
      <c r="L1115" s="29">
        <v>2</v>
      </c>
      <c r="M1115" s="30"/>
      <c r="N1115" s="31"/>
      <c r="O1115" s="32">
        <v>31</v>
      </c>
      <c r="P1115" s="91"/>
      <c r="Q1115" s="92"/>
      <c r="R1115" s="93">
        <v>1850</v>
      </c>
      <c r="S1115" s="93">
        <f>O1115*R1115</f>
        <v>57350</v>
      </c>
      <c r="T1115" s="33"/>
      <c r="U1115" s="34"/>
      <c r="V1115" s="35">
        <v>2250</v>
      </c>
      <c r="W1115" s="36">
        <f>O1115*V1115</f>
        <v>69750</v>
      </c>
      <c r="X1115" s="93"/>
      <c r="Z1115" s="156">
        <f t="shared" si="93"/>
        <v>12400</v>
      </c>
    </row>
    <row r="1116" spans="1:31" s="21" customFormat="1" ht="16" customHeight="1" x14ac:dyDescent="0.45">
      <c r="A1116" s="22"/>
      <c r="B1116" s="23">
        <v>46035</v>
      </c>
      <c r="C1116" s="24"/>
      <c r="D1116" s="25" t="s">
        <v>211</v>
      </c>
      <c r="E1116" s="26" t="s">
        <v>1</v>
      </c>
      <c r="F1116" s="26"/>
      <c r="G1116" s="26" t="s">
        <v>1</v>
      </c>
      <c r="H1116" s="27" t="s">
        <v>477</v>
      </c>
      <c r="I1116" s="27" t="s">
        <v>63</v>
      </c>
      <c r="J1116" s="27"/>
      <c r="K1116" s="38" t="s">
        <v>616</v>
      </c>
      <c r="L1116" s="29">
        <v>8</v>
      </c>
      <c r="M1116" s="30"/>
      <c r="N1116" s="31"/>
      <c r="O1116" s="32">
        <v>2819</v>
      </c>
      <c r="P1116" s="91"/>
      <c r="Q1116" s="92"/>
      <c r="R1116" s="93">
        <v>2350</v>
      </c>
      <c r="S1116" s="93">
        <f>O1116*R1116</f>
        <v>6624650</v>
      </c>
      <c r="T1116" s="33"/>
      <c r="U1116" s="34"/>
      <c r="V1116" s="35">
        <v>4700</v>
      </c>
      <c r="W1116" s="36">
        <f>O1116*V1116</f>
        <v>13249300</v>
      </c>
      <c r="X1116" s="93"/>
      <c r="Z1116" s="156">
        <f t="shared" si="93"/>
        <v>6624650</v>
      </c>
    </row>
    <row r="1117" spans="1:31" ht="16" customHeight="1" x14ac:dyDescent="0.45">
      <c r="B1117" s="2">
        <v>46029</v>
      </c>
      <c r="D1117" s="4" t="s">
        <v>93</v>
      </c>
      <c r="E1117" s="5" t="s">
        <v>617</v>
      </c>
      <c r="G1117" s="5" t="s">
        <v>187</v>
      </c>
      <c r="H1117" s="19" t="s">
        <v>601</v>
      </c>
      <c r="M1117" s="7">
        <v>437.5</v>
      </c>
      <c r="R1117" s="12">
        <v>1250</v>
      </c>
      <c r="S1117" s="12">
        <f>M1117*R1117</f>
        <v>546875</v>
      </c>
      <c r="V1117" s="15">
        <v>4350</v>
      </c>
      <c r="W1117" s="16">
        <f>V1117*M1117</f>
        <v>1903125</v>
      </c>
      <c r="Z1117" s="156">
        <f t="shared" si="93"/>
        <v>1356250</v>
      </c>
    </row>
    <row r="1118" spans="1:31" ht="16" customHeight="1" x14ac:dyDescent="0.45">
      <c r="B1118" s="2">
        <v>46031</v>
      </c>
      <c r="D1118" s="4" t="s">
        <v>93</v>
      </c>
      <c r="E1118" s="5" t="s">
        <v>463</v>
      </c>
      <c r="G1118" s="5" t="s">
        <v>28</v>
      </c>
      <c r="H1118" s="19" t="s">
        <v>396</v>
      </c>
      <c r="L1118" s="6">
        <v>2</v>
      </c>
      <c r="M1118" s="7">
        <v>875</v>
      </c>
      <c r="R1118" s="12">
        <v>1050</v>
      </c>
      <c r="S1118" s="12">
        <f>M1118*R1118</f>
        <v>918750</v>
      </c>
      <c r="Z1118" s="156">
        <f t="shared" si="93"/>
        <v>-918750</v>
      </c>
    </row>
    <row r="1119" spans="1:31" ht="16" customHeight="1" x14ac:dyDescent="0.45">
      <c r="B1119" s="2">
        <v>46031</v>
      </c>
      <c r="D1119" s="4" t="s">
        <v>93</v>
      </c>
      <c r="E1119" s="5" t="s">
        <v>463</v>
      </c>
      <c r="G1119" s="5" t="s">
        <v>28</v>
      </c>
      <c r="H1119" s="19" t="s">
        <v>618</v>
      </c>
      <c r="L1119" s="6">
        <v>2</v>
      </c>
      <c r="M1119" s="7">
        <v>703.5</v>
      </c>
      <c r="R1119" s="12">
        <v>1050</v>
      </c>
      <c r="S1119" s="12">
        <f>M1119*R1119</f>
        <v>738675</v>
      </c>
      <c r="Z1119" s="156">
        <f t="shared" si="93"/>
        <v>-738675</v>
      </c>
    </row>
    <row r="1120" spans="1:31" ht="16" customHeight="1" x14ac:dyDescent="0.45">
      <c r="B1120" s="2">
        <v>46029</v>
      </c>
      <c r="D1120" s="4" t="s">
        <v>430</v>
      </c>
      <c r="E1120" s="5" t="s">
        <v>539</v>
      </c>
      <c r="G1120" s="5" t="s">
        <v>28</v>
      </c>
      <c r="H1120" s="19" t="s">
        <v>205</v>
      </c>
      <c r="I1120" s="19" t="s">
        <v>135</v>
      </c>
      <c r="L1120" s="6">
        <v>24</v>
      </c>
      <c r="M1120" s="7">
        <v>717.6</v>
      </c>
      <c r="P1120" s="10">
        <v>4000</v>
      </c>
      <c r="Q1120" s="11">
        <f>M1120*P1120</f>
        <v>2870400</v>
      </c>
      <c r="Z1120" s="156">
        <f t="shared" si="93"/>
        <v>-2870400</v>
      </c>
    </row>
    <row r="1121" spans="1:26" ht="16" customHeight="1" x14ac:dyDescent="0.45">
      <c r="B1121" s="2">
        <v>46029</v>
      </c>
      <c r="D1121" s="4" t="s">
        <v>463</v>
      </c>
      <c r="E1121" s="5" t="s">
        <v>37</v>
      </c>
      <c r="G1121" s="5" t="s">
        <v>28</v>
      </c>
      <c r="H1121" s="19" t="s">
        <v>32</v>
      </c>
      <c r="L1121" s="6">
        <v>40</v>
      </c>
      <c r="M1121" s="7">
        <v>736.5</v>
      </c>
      <c r="R1121" s="12">
        <v>1800</v>
      </c>
      <c r="S1121" s="12">
        <f>M1121*R1121</f>
        <v>1325700</v>
      </c>
      <c r="Z1121" s="156">
        <f t="shared" si="93"/>
        <v>-1325700</v>
      </c>
    </row>
    <row r="1122" spans="1:26" ht="16" customHeight="1" x14ac:dyDescent="0.45">
      <c r="B1122" s="2">
        <v>46029</v>
      </c>
      <c r="D1122" s="4" t="s">
        <v>463</v>
      </c>
      <c r="E1122" s="5" t="s">
        <v>37</v>
      </c>
      <c r="G1122" s="5" t="s">
        <v>28</v>
      </c>
      <c r="H1122" s="19" t="s">
        <v>38</v>
      </c>
      <c r="L1122" s="6">
        <v>140</v>
      </c>
      <c r="M1122" s="7">
        <v>2839.9</v>
      </c>
      <c r="R1122" s="12">
        <v>2000</v>
      </c>
      <c r="S1122" s="12">
        <f>M1122*R1122</f>
        <v>5679800</v>
      </c>
      <c r="Z1122" s="156">
        <f t="shared" si="93"/>
        <v>-5679800</v>
      </c>
    </row>
    <row r="1123" spans="1:26" ht="16" customHeight="1" x14ac:dyDescent="0.45">
      <c r="B1123" s="2">
        <v>46027</v>
      </c>
      <c r="D1123" s="4" t="s">
        <v>430</v>
      </c>
      <c r="E1123" s="5" t="s">
        <v>539</v>
      </c>
      <c r="G1123" s="5" t="s">
        <v>28</v>
      </c>
      <c r="H1123" s="19" t="s">
        <v>205</v>
      </c>
      <c r="I1123" s="19" t="s">
        <v>135</v>
      </c>
      <c r="L1123" s="6">
        <v>24</v>
      </c>
      <c r="M1123" s="7">
        <v>743.7</v>
      </c>
      <c r="P1123" s="10">
        <v>4000</v>
      </c>
      <c r="Q1123" s="11">
        <f>M1123*P1123</f>
        <v>2974800</v>
      </c>
      <c r="Z1123" s="156">
        <f t="shared" si="93"/>
        <v>-2974800</v>
      </c>
    </row>
    <row r="1124" spans="1:26" ht="16" customHeight="1" x14ac:dyDescent="0.45">
      <c r="B1124" s="2">
        <v>46028</v>
      </c>
      <c r="D1124" s="4" t="s">
        <v>463</v>
      </c>
      <c r="E1124" s="5" t="s">
        <v>37</v>
      </c>
      <c r="G1124" s="5" t="s">
        <v>28</v>
      </c>
      <c r="H1124" s="19" t="s">
        <v>38</v>
      </c>
      <c r="L1124" s="6">
        <v>66</v>
      </c>
      <c r="M1124" s="7">
        <v>1358.3</v>
      </c>
      <c r="R1124" s="12">
        <v>2000</v>
      </c>
      <c r="S1124" s="12">
        <f>M1124*R1124</f>
        <v>2716600</v>
      </c>
      <c r="Z1124" s="156">
        <f t="shared" si="93"/>
        <v>-2716600</v>
      </c>
    </row>
    <row r="1125" spans="1:26" ht="16" customHeight="1" x14ac:dyDescent="0.45">
      <c r="B1125" s="2">
        <v>46028</v>
      </c>
      <c r="D1125" s="4" t="s">
        <v>80</v>
      </c>
      <c r="E1125" s="5" t="s">
        <v>30</v>
      </c>
      <c r="G1125" s="5" t="s">
        <v>31</v>
      </c>
      <c r="H1125" s="19" t="s">
        <v>100</v>
      </c>
      <c r="L1125" s="6">
        <v>3</v>
      </c>
      <c r="M1125" s="7">
        <v>1548</v>
      </c>
      <c r="P1125" s="141">
        <v>2304</v>
      </c>
      <c r="Q1125" s="95">
        <f>M1125*P1125</f>
        <v>3566592</v>
      </c>
      <c r="Z1125" s="18">
        <f t="shared" si="93"/>
        <v>-3566592</v>
      </c>
    </row>
    <row r="1126" spans="1:26" s="21" customFormat="1" ht="16" customHeight="1" x14ac:dyDescent="0.45">
      <c r="A1126" s="22"/>
      <c r="B1126" s="23">
        <v>46028</v>
      </c>
      <c r="C1126" s="24"/>
      <c r="D1126" s="25" t="s">
        <v>37</v>
      </c>
      <c r="E1126" s="26" t="s">
        <v>28</v>
      </c>
      <c r="F1126" s="26"/>
      <c r="G1126" s="26" t="s">
        <v>28</v>
      </c>
      <c r="H1126" s="27" t="s">
        <v>38</v>
      </c>
      <c r="I1126" s="27" t="s">
        <v>39</v>
      </c>
      <c r="J1126" s="27"/>
      <c r="K1126" s="38" t="s">
        <v>42</v>
      </c>
      <c r="L1126" s="29">
        <v>32</v>
      </c>
      <c r="M1126" s="30">
        <v>468.2</v>
      </c>
      <c r="N1126" s="31"/>
      <c r="O1126" s="32">
        <v>738</v>
      </c>
      <c r="P1126" s="91"/>
      <c r="Q1126" s="92"/>
      <c r="R1126" s="93">
        <v>2500</v>
      </c>
      <c r="S1126" s="93">
        <f>M1126*R1126</f>
        <v>1170500</v>
      </c>
      <c r="T1126" s="33"/>
      <c r="U1126" s="34"/>
      <c r="V1126" s="35">
        <v>6566</v>
      </c>
      <c r="W1126" s="36">
        <f>O1126*V1126</f>
        <v>4845708</v>
      </c>
      <c r="X1126" s="93"/>
      <c r="Z1126" s="156">
        <f t="shared" si="93"/>
        <v>3675208</v>
      </c>
    </row>
    <row r="1127" spans="1:26" s="21" customFormat="1" ht="16" customHeight="1" x14ac:dyDescent="0.45">
      <c r="A1127" s="22"/>
      <c r="B1127" s="23">
        <v>46028</v>
      </c>
      <c r="C1127" s="24"/>
      <c r="D1127" s="25" t="s">
        <v>37</v>
      </c>
      <c r="E1127" s="26" t="s">
        <v>28</v>
      </c>
      <c r="F1127" s="26"/>
      <c r="G1127" s="26" t="s">
        <v>28</v>
      </c>
      <c r="H1127" s="27" t="s">
        <v>38</v>
      </c>
      <c r="I1127" s="27" t="s">
        <v>39</v>
      </c>
      <c r="J1127" s="27"/>
      <c r="K1127" s="38" t="s">
        <v>43</v>
      </c>
      <c r="L1127" s="29">
        <v>29</v>
      </c>
      <c r="M1127" s="30">
        <v>443.8</v>
      </c>
      <c r="N1127" s="31"/>
      <c r="O1127" s="32">
        <v>703</v>
      </c>
      <c r="P1127" s="91"/>
      <c r="Q1127" s="92"/>
      <c r="R1127" s="93">
        <v>2500</v>
      </c>
      <c r="S1127" s="93">
        <f t="shared" ref="S1127:S1134" si="94">M1127*R1127</f>
        <v>1109500</v>
      </c>
      <c r="T1127" s="33"/>
      <c r="U1127" s="34"/>
      <c r="V1127" s="35">
        <v>6566</v>
      </c>
      <c r="W1127" s="36">
        <f t="shared" ref="W1127:W1134" si="95">O1127*V1127</f>
        <v>4615898</v>
      </c>
      <c r="X1127" s="93"/>
      <c r="Z1127" s="156">
        <f t="shared" si="93"/>
        <v>3506398</v>
      </c>
    </row>
    <row r="1128" spans="1:26" s="21" customFormat="1" ht="16" customHeight="1" x14ac:dyDescent="0.45">
      <c r="A1128" s="22"/>
      <c r="B1128" s="23">
        <v>46028</v>
      </c>
      <c r="C1128" s="24"/>
      <c r="D1128" s="25" t="s">
        <v>37</v>
      </c>
      <c r="E1128" s="26" t="s">
        <v>28</v>
      </c>
      <c r="F1128" s="26"/>
      <c r="G1128" s="26" t="s">
        <v>28</v>
      </c>
      <c r="H1128" s="27" t="s">
        <v>38</v>
      </c>
      <c r="I1128" s="27" t="s">
        <v>39</v>
      </c>
      <c r="J1128" s="27"/>
      <c r="K1128" s="38" t="s">
        <v>48</v>
      </c>
      <c r="L1128" s="29">
        <v>32</v>
      </c>
      <c r="M1128" s="30">
        <v>468.1</v>
      </c>
      <c r="N1128" s="31"/>
      <c r="O1128" s="32">
        <v>755</v>
      </c>
      <c r="P1128" s="91"/>
      <c r="Q1128" s="92"/>
      <c r="R1128" s="93">
        <v>2500</v>
      </c>
      <c r="S1128" s="93">
        <f t="shared" si="94"/>
        <v>1170250</v>
      </c>
      <c r="T1128" s="33"/>
      <c r="U1128" s="34"/>
      <c r="V1128" s="35">
        <v>6566</v>
      </c>
      <c r="W1128" s="36">
        <f t="shared" si="95"/>
        <v>4957330</v>
      </c>
      <c r="X1128" s="93"/>
      <c r="Z1128" s="156">
        <f t="shared" si="93"/>
        <v>3787080</v>
      </c>
    </row>
    <row r="1129" spans="1:26" s="21" customFormat="1" ht="16" customHeight="1" x14ac:dyDescent="0.45">
      <c r="A1129" s="22"/>
      <c r="B1129" s="23">
        <v>46028</v>
      </c>
      <c r="C1129" s="24"/>
      <c r="D1129" s="25" t="s">
        <v>37</v>
      </c>
      <c r="E1129" s="26" t="s">
        <v>28</v>
      </c>
      <c r="F1129" s="26"/>
      <c r="G1129" s="26" t="s">
        <v>28</v>
      </c>
      <c r="H1129" s="27" t="s">
        <v>38</v>
      </c>
      <c r="I1129" s="27" t="s">
        <v>39</v>
      </c>
      <c r="J1129" s="27"/>
      <c r="K1129" s="38" t="s">
        <v>48</v>
      </c>
      <c r="L1129" s="29">
        <v>24</v>
      </c>
      <c r="M1129" s="30">
        <v>453.9</v>
      </c>
      <c r="N1129" s="31"/>
      <c r="O1129" s="32">
        <v>710</v>
      </c>
      <c r="P1129" s="91"/>
      <c r="Q1129" s="92"/>
      <c r="R1129" s="93">
        <v>2500</v>
      </c>
      <c r="S1129" s="93">
        <f t="shared" si="94"/>
        <v>1134750</v>
      </c>
      <c r="T1129" s="33"/>
      <c r="U1129" s="34"/>
      <c r="V1129" s="35">
        <v>6566</v>
      </c>
      <c r="W1129" s="36">
        <f t="shared" si="95"/>
        <v>4661860</v>
      </c>
      <c r="X1129" s="93"/>
      <c r="Z1129" s="156">
        <f t="shared" si="93"/>
        <v>3527110</v>
      </c>
    </row>
    <row r="1130" spans="1:26" s="21" customFormat="1" ht="16" customHeight="1" x14ac:dyDescent="0.45">
      <c r="A1130" s="22"/>
      <c r="B1130" s="23">
        <v>46028</v>
      </c>
      <c r="C1130" s="24"/>
      <c r="D1130" s="25" t="s">
        <v>37</v>
      </c>
      <c r="E1130" s="26" t="s">
        <v>28</v>
      </c>
      <c r="F1130" s="26"/>
      <c r="G1130" s="26" t="s">
        <v>28</v>
      </c>
      <c r="H1130" s="27" t="s">
        <v>38</v>
      </c>
      <c r="I1130" s="27" t="s">
        <v>39</v>
      </c>
      <c r="J1130" s="27"/>
      <c r="K1130" s="38" t="s">
        <v>49</v>
      </c>
      <c r="L1130" s="29">
        <v>19</v>
      </c>
      <c r="M1130" s="30">
        <v>282.3</v>
      </c>
      <c r="N1130" s="31"/>
      <c r="O1130" s="32">
        <v>451</v>
      </c>
      <c r="P1130" s="91"/>
      <c r="Q1130" s="92"/>
      <c r="R1130" s="93">
        <v>2500</v>
      </c>
      <c r="S1130" s="93">
        <f t="shared" si="94"/>
        <v>705750</v>
      </c>
      <c r="T1130" s="33"/>
      <c r="U1130" s="34"/>
      <c r="V1130" s="35">
        <v>6566</v>
      </c>
      <c r="W1130" s="36">
        <f t="shared" si="95"/>
        <v>2961266</v>
      </c>
      <c r="X1130" s="93"/>
      <c r="Z1130" s="156">
        <f t="shared" si="93"/>
        <v>2255516</v>
      </c>
    </row>
    <row r="1131" spans="1:26" s="21" customFormat="1" ht="16" customHeight="1" x14ac:dyDescent="0.45">
      <c r="A1131" s="22"/>
      <c r="B1131" s="23">
        <v>46028</v>
      </c>
      <c r="C1131" s="24"/>
      <c r="D1131" s="25" t="s">
        <v>37</v>
      </c>
      <c r="E1131" s="26" t="s">
        <v>28</v>
      </c>
      <c r="F1131" s="26"/>
      <c r="G1131" s="26" t="s">
        <v>28</v>
      </c>
      <c r="H1131" s="27" t="s">
        <v>38</v>
      </c>
      <c r="I1131" s="27" t="s">
        <v>39</v>
      </c>
      <c r="J1131" s="27"/>
      <c r="K1131" s="38" t="s">
        <v>49</v>
      </c>
      <c r="L1131" s="29">
        <v>24</v>
      </c>
      <c r="M1131" s="30">
        <v>456.5</v>
      </c>
      <c r="N1131" s="31"/>
      <c r="O1131" s="32">
        <v>707</v>
      </c>
      <c r="P1131" s="91"/>
      <c r="Q1131" s="92"/>
      <c r="R1131" s="93">
        <v>2500</v>
      </c>
      <c r="S1131" s="93">
        <f t="shared" si="94"/>
        <v>1141250</v>
      </c>
      <c r="T1131" s="33"/>
      <c r="U1131" s="34"/>
      <c r="V1131" s="35">
        <v>6566</v>
      </c>
      <c r="W1131" s="36">
        <f t="shared" si="95"/>
        <v>4642162</v>
      </c>
      <c r="X1131" s="93"/>
      <c r="Z1131" s="156">
        <f t="shared" si="93"/>
        <v>3500912</v>
      </c>
    </row>
    <row r="1132" spans="1:26" s="21" customFormat="1" ht="16" customHeight="1" x14ac:dyDescent="0.45">
      <c r="A1132" s="22"/>
      <c r="B1132" s="23">
        <v>46028</v>
      </c>
      <c r="C1132" s="24"/>
      <c r="D1132" s="25" t="s">
        <v>37</v>
      </c>
      <c r="E1132" s="26" t="s">
        <v>28</v>
      </c>
      <c r="F1132" s="26"/>
      <c r="G1132" s="26" t="s">
        <v>28</v>
      </c>
      <c r="H1132" s="27" t="s">
        <v>38</v>
      </c>
      <c r="I1132" s="27" t="s">
        <v>39</v>
      </c>
      <c r="J1132" s="27"/>
      <c r="K1132" s="38" t="s">
        <v>50</v>
      </c>
      <c r="L1132" s="29">
        <v>6</v>
      </c>
      <c r="M1132" s="30">
        <v>112.8</v>
      </c>
      <c r="N1132" s="31"/>
      <c r="O1132" s="32">
        <v>165</v>
      </c>
      <c r="P1132" s="91"/>
      <c r="Q1132" s="92"/>
      <c r="R1132" s="93">
        <v>2500</v>
      </c>
      <c r="S1132" s="93">
        <f t="shared" si="94"/>
        <v>282000</v>
      </c>
      <c r="T1132" s="33"/>
      <c r="U1132" s="34"/>
      <c r="V1132" s="35" t="s">
        <v>619</v>
      </c>
      <c r="W1132" s="36">
        <v>0</v>
      </c>
      <c r="X1132" s="93"/>
      <c r="Z1132" s="156">
        <f t="shared" si="93"/>
        <v>-282000</v>
      </c>
    </row>
    <row r="1133" spans="1:26" s="21" customFormat="1" ht="16" customHeight="1" x14ac:dyDescent="0.45">
      <c r="A1133" s="22"/>
      <c r="B1133" s="23">
        <v>46028</v>
      </c>
      <c r="C1133" s="24"/>
      <c r="D1133" s="25" t="s">
        <v>37</v>
      </c>
      <c r="E1133" s="26" t="s">
        <v>28</v>
      </c>
      <c r="F1133" s="26"/>
      <c r="G1133" s="26" t="s">
        <v>28</v>
      </c>
      <c r="H1133" s="27" t="s">
        <v>38</v>
      </c>
      <c r="I1133" s="27" t="s">
        <v>39</v>
      </c>
      <c r="J1133" s="27"/>
      <c r="K1133" s="38" t="s">
        <v>83</v>
      </c>
      <c r="L1133" s="29">
        <v>4</v>
      </c>
      <c r="M1133" s="30">
        <v>60</v>
      </c>
      <c r="N1133" s="31"/>
      <c r="O1133" s="32">
        <v>93</v>
      </c>
      <c r="P1133" s="91"/>
      <c r="Q1133" s="92"/>
      <c r="R1133" s="93">
        <v>2500</v>
      </c>
      <c r="S1133" s="93">
        <f t="shared" si="94"/>
        <v>150000</v>
      </c>
      <c r="T1133" s="33"/>
      <c r="U1133" s="34"/>
      <c r="V1133" s="35">
        <v>6566</v>
      </c>
      <c r="W1133" s="36">
        <f t="shared" si="95"/>
        <v>610638</v>
      </c>
      <c r="X1133" s="93"/>
      <c r="Z1133" s="156">
        <f t="shared" si="93"/>
        <v>460638</v>
      </c>
    </row>
    <row r="1134" spans="1:26" s="21" customFormat="1" ht="16" customHeight="1" x14ac:dyDescent="0.45">
      <c r="A1134" s="22"/>
      <c r="B1134" s="23">
        <v>46028</v>
      </c>
      <c r="C1134" s="24"/>
      <c r="D1134" s="25" t="s">
        <v>37</v>
      </c>
      <c r="E1134" s="26" t="s">
        <v>28</v>
      </c>
      <c r="F1134" s="26"/>
      <c r="G1134" s="26" t="s">
        <v>28</v>
      </c>
      <c r="H1134" s="27" t="s">
        <v>38</v>
      </c>
      <c r="I1134" s="27" t="s">
        <v>39</v>
      </c>
      <c r="J1134" s="27"/>
      <c r="K1134" s="38" t="s">
        <v>84</v>
      </c>
      <c r="L1134" s="29">
        <v>24</v>
      </c>
      <c r="M1134" s="30">
        <v>360</v>
      </c>
      <c r="N1134" s="31"/>
      <c r="O1134" s="32">
        <v>557</v>
      </c>
      <c r="P1134" s="91"/>
      <c r="Q1134" s="92"/>
      <c r="R1134" s="93">
        <v>2500</v>
      </c>
      <c r="S1134" s="93">
        <f t="shared" si="94"/>
        <v>900000</v>
      </c>
      <c r="T1134" s="33"/>
      <c r="U1134" s="34"/>
      <c r="V1134" s="35">
        <v>6566</v>
      </c>
      <c r="W1134" s="36">
        <f t="shared" si="95"/>
        <v>3657262</v>
      </c>
      <c r="X1134" s="93"/>
      <c r="Z1134" s="156">
        <f t="shared" si="93"/>
        <v>2757262</v>
      </c>
    </row>
    <row r="1135" spans="1:26" ht="16" customHeight="1" x14ac:dyDescent="0.45">
      <c r="B1135" s="2">
        <v>46027</v>
      </c>
      <c r="D1135" s="4" t="s">
        <v>35</v>
      </c>
      <c r="E1135" s="5" t="s">
        <v>509</v>
      </c>
      <c r="G1135" s="5" t="s">
        <v>19</v>
      </c>
      <c r="H1135" s="19" t="s">
        <v>104</v>
      </c>
      <c r="I1135" s="19" t="s">
        <v>36</v>
      </c>
      <c r="L1135" s="6">
        <v>9</v>
      </c>
      <c r="M1135" s="7">
        <v>229.4</v>
      </c>
      <c r="N1135" s="8">
        <v>4500</v>
      </c>
      <c r="R1135" s="12">
        <v>970</v>
      </c>
      <c r="S1135" s="12">
        <f>N1135*R1135</f>
        <v>4365000</v>
      </c>
      <c r="Z1135" s="156">
        <f t="shared" si="93"/>
        <v>-4365000</v>
      </c>
    </row>
    <row r="1136" spans="1:26" ht="16" customHeight="1" x14ac:dyDescent="0.45">
      <c r="B1136" s="2">
        <v>46027</v>
      </c>
      <c r="D1136" s="4" t="s">
        <v>27</v>
      </c>
      <c r="E1136" s="5" t="s">
        <v>37</v>
      </c>
      <c r="G1136" s="5" t="s">
        <v>28</v>
      </c>
      <c r="H1136" s="19" t="s">
        <v>33</v>
      </c>
      <c r="L1136" s="6">
        <v>88</v>
      </c>
      <c r="M1136" s="7">
        <v>1540</v>
      </c>
      <c r="R1136" s="12">
        <v>2000</v>
      </c>
      <c r="S1136" s="12">
        <f>M1136*R1136</f>
        <v>3080000</v>
      </c>
      <c r="Z1136" s="156">
        <f t="shared" si="93"/>
        <v>-3080000</v>
      </c>
    </row>
    <row r="1137" spans="1:26" s="21" customFormat="1" ht="16" customHeight="1" x14ac:dyDescent="0.45">
      <c r="A1137" s="22"/>
      <c r="B1137" s="23">
        <v>46028</v>
      </c>
      <c r="C1137" s="24"/>
      <c r="D1137" s="25" t="s">
        <v>211</v>
      </c>
      <c r="E1137" s="26" t="s">
        <v>1</v>
      </c>
      <c r="F1137" s="26"/>
      <c r="G1137" s="26" t="s">
        <v>1</v>
      </c>
      <c r="H1137" s="27" t="s">
        <v>383</v>
      </c>
      <c r="I1137" s="27" t="s">
        <v>21</v>
      </c>
      <c r="J1137" s="27"/>
      <c r="K1137" s="38" t="s">
        <v>620</v>
      </c>
      <c r="L1137" s="29">
        <v>10</v>
      </c>
      <c r="M1137" s="30"/>
      <c r="N1137" s="31"/>
      <c r="O1137" s="32">
        <v>2938</v>
      </c>
      <c r="P1137" s="91"/>
      <c r="Q1137" s="92"/>
      <c r="R1137" s="93">
        <v>2350</v>
      </c>
      <c r="S1137" s="93">
        <f>O1137*R1137</f>
        <v>6904300</v>
      </c>
      <c r="T1137" s="33"/>
      <c r="U1137" s="34"/>
      <c r="V1137" s="35">
        <v>4700</v>
      </c>
      <c r="W1137" s="36">
        <f>O1137*V1137</f>
        <v>13808600</v>
      </c>
      <c r="X1137" s="93"/>
      <c r="Z1137" s="156">
        <f t="shared" si="93"/>
        <v>6904300</v>
      </c>
    </row>
    <row r="1138" spans="1:26" ht="16" customHeight="1" x14ac:dyDescent="0.45">
      <c r="B1138" s="2">
        <v>46023</v>
      </c>
      <c r="D1138" s="4" t="s">
        <v>0</v>
      </c>
      <c r="E1138" s="5" t="s">
        <v>3</v>
      </c>
      <c r="G1138" s="5" t="s">
        <v>1</v>
      </c>
      <c r="H1138" s="19" t="s">
        <v>2</v>
      </c>
      <c r="L1138" s="6">
        <v>10</v>
      </c>
      <c r="M1138" s="7">
        <v>175</v>
      </c>
      <c r="R1138" s="12">
        <v>3800</v>
      </c>
      <c r="S1138" s="12">
        <f>M1138*R1138</f>
        <v>665000</v>
      </c>
      <c r="Z1138" s="156">
        <f t="shared" si="93"/>
        <v>-665000</v>
      </c>
    </row>
    <row r="1139" spans="1:26" s="21" customFormat="1" ht="16" customHeight="1" x14ac:dyDescent="0.45">
      <c r="A1139" s="22"/>
      <c r="B1139" s="23">
        <v>46035</v>
      </c>
      <c r="C1139" s="24"/>
      <c r="D1139" s="25" t="s">
        <v>463</v>
      </c>
      <c r="E1139" s="26" t="s">
        <v>37</v>
      </c>
      <c r="F1139" s="26"/>
      <c r="G1139" s="26" t="s">
        <v>28</v>
      </c>
      <c r="H1139" s="19" t="s">
        <v>38</v>
      </c>
      <c r="I1139" s="27"/>
      <c r="J1139" s="27"/>
      <c r="K1139" s="28"/>
      <c r="L1139" s="29">
        <v>50</v>
      </c>
      <c r="M1139" s="30">
        <v>1038.8</v>
      </c>
      <c r="N1139" s="31"/>
      <c r="O1139" s="32"/>
      <c r="P1139" s="91"/>
      <c r="Q1139" s="92"/>
      <c r="R1139" s="93">
        <v>2000</v>
      </c>
      <c r="S1139" s="93">
        <f>M1139*R1139</f>
        <v>2077600</v>
      </c>
      <c r="T1139" s="33"/>
      <c r="U1139" s="34"/>
      <c r="V1139" s="35">
        <v>6566</v>
      </c>
      <c r="W1139" s="36">
        <f>O1140*V1139</f>
        <v>4858840</v>
      </c>
      <c r="X1139" s="93"/>
      <c r="Z1139" s="154">
        <f t="shared" si="93"/>
        <v>2781240</v>
      </c>
    </row>
    <row r="1140" spans="1:26" s="21" customFormat="1" ht="16" customHeight="1" x14ac:dyDescent="0.45">
      <c r="A1140" s="22"/>
      <c r="B1140" s="23">
        <v>46037</v>
      </c>
      <c r="C1140" s="24"/>
      <c r="D1140" s="25" t="s">
        <v>37</v>
      </c>
      <c r="E1140" s="26" t="s">
        <v>28</v>
      </c>
      <c r="F1140" s="26"/>
      <c r="G1140" s="26" t="s">
        <v>28</v>
      </c>
      <c r="H1140" s="27" t="s">
        <v>38</v>
      </c>
      <c r="I1140" s="27" t="s">
        <v>39</v>
      </c>
      <c r="J1140" s="27"/>
      <c r="K1140" s="38" t="s">
        <v>51</v>
      </c>
      <c r="L1140" s="29">
        <v>32</v>
      </c>
      <c r="M1140" s="30">
        <v>478.6</v>
      </c>
      <c r="N1140" s="31"/>
      <c r="O1140" s="32">
        <v>740</v>
      </c>
      <c r="P1140" s="91"/>
      <c r="Q1140" s="92"/>
      <c r="R1140" s="93">
        <v>2500</v>
      </c>
      <c r="S1140" s="93">
        <f>M1140*R1140</f>
        <v>1196500</v>
      </c>
      <c r="T1140" s="33"/>
      <c r="U1140" s="34"/>
      <c r="V1140" s="35">
        <v>6566</v>
      </c>
      <c r="W1140" s="36">
        <f t="shared" ref="W1140:W1149" si="96">O1141*V1140</f>
        <v>4169410</v>
      </c>
      <c r="X1140" s="93"/>
      <c r="Z1140" s="154">
        <f t="shared" si="93"/>
        <v>2972910</v>
      </c>
    </row>
    <row r="1141" spans="1:26" s="21" customFormat="1" ht="16" customHeight="1" x14ac:dyDescent="0.45">
      <c r="A1141" s="22"/>
      <c r="B1141" s="23">
        <v>46037</v>
      </c>
      <c r="C1141" s="24"/>
      <c r="D1141" s="25" t="s">
        <v>37</v>
      </c>
      <c r="E1141" s="26" t="s">
        <v>28</v>
      </c>
      <c r="F1141" s="26"/>
      <c r="G1141" s="26" t="s">
        <v>28</v>
      </c>
      <c r="H1141" s="27" t="s">
        <v>38</v>
      </c>
      <c r="I1141" s="27" t="s">
        <v>39</v>
      </c>
      <c r="J1141" s="27"/>
      <c r="K1141" s="38" t="s">
        <v>83</v>
      </c>
      <c r="L1141" s="29">
        <v>28</v>
      </c>
      <c r="M1141" s="30">
        <v>411.3</v>
      </c>
      <c r="N1141" s="31"/>
      <c r="O1141" s="32">
        <v>635</v>
      </c>
      <c r="P1141" s="91"/>
      <c r="Q1141" s="92"/>
      <c r="R1141" s="93">
        <v>2500</v>
      </c>
      <c r="S1141" s="93">
        <f t="shared" ref="S1141:S1150" si="97">M1141*R1141</f>
        <v>1028250</v>
      </c>
      <c r="T1141" s="33"/>
      <c r="U1141" s="34"/>
      <c r="V1141" s="35">
        <v>6566</v>
      </c>
      <c r="W1141" s="36">
        <f t="shared" si="96"/>
        <v>4359824</v>
      </c>
      <c r="X1141" s="93"/>
      <c r="Z1141" s="154">
        <f t="shared" si="93"/>
        <v>3331574</v>
      </c>
    </row>
    <row r="1142" spans="1:26" s="21" customFormat="1" ht="16" customHeight="1" x14ac:dyDescent="0.45">
      <c r="A1142" s="22"/>
      <c r="B1142" s="23">
        <v>46037</v>
      </c>
      <c r="C1142" s="24"/>
      <c r="D1142" s="25" t="s">
        <v>37</v>
      </c>
      <c r="E1142" s="26" t="s">
        <v>28</v>
      </c>
      <c r="F1142" s="26"/>
      <c r="G1142" s="26" t="s">
        <v>28</v>
      </c>
      <c r="H1142" s="27" t="s">
        <v>38</v>
      </c>
      <c r="I1142" s="27" t="s">
        <v>39</v>
      </c>
      <c r="J1142" s="27"/>
      <c r="K1142" s="38" t="s">
        <v>40</v>
      </c>
      <c r="L1142" s="29">
        <v>22</v>
      </c>
      <c r="M1142" s="30">
        <v>422</v>
      </c>
      <c r="N1142" s="31"/>
      <c r="O1142" s="32">
        <v>664</v>
      </c>
      <c r="P1142" s="91"/>
      <c r="Q1142" s="92"/>
      <c r="R1142" s="93">
        <v>2500</v>
      </c>
      <c r="S1142" s="93">
        <f t="shared" si="97"/>
        <v>1055000</v>
      </c>
      <c r="T1142" s="33"/>
      <c r="U1142" s="34"/>
      <c r="V1142" s="35">
        <v>6566</v>
      </c>
      <c r="W1142" s="36">
        <f t="shared" si="96"/>
        <v>4235070</v>
      </c>
      <c r="X1142" s="93"/>
      <c r="Z1142" s="154">
        <f t="shared" si="93"/>
        <v>3180070</v>
      </c>
    </row>
    <row r="1143" spans="1:26" s="21" customFormat="1" ht="16" customHeight="1" x14ac:dyDescent="0.45">
      <c r="A1143" s="22"/>
      <c r="B1143" s="23">
        <v>46037</v>
      </c>
      <c r="C1143" s="24"/>
      <c r="D1143" s="25" t="s">
        <v>37</v>
      </c>
      <c r="E1143" s="26" t="s">
        <v>28</v>
      </c>
      <c r="F1143" s="26"/>
      <c r="G1143" s="26" t="s">
        <v>28</v>
      </c>
      <c r="H1143" s="27" t="s">
        <v>38</v>
      </c>
      <c r="I1143" s="27" t="s">
        <v>39</v>
      </c>
      <c r="J1143" s="27"/>
      <c r="K1143" s="38" t="s">
        <v>41</v>
      </c>
      <c r="L1143" s="29">
        <v>22</v>
      </c>
      <c r="M1143" s="30">
        <v>420</v>
      </c>
      <c r="N1143" s="31"/>
      <c r="O1143" s="32">
        <v>645</v>
      </c>
      <c r="P1143" s="91"/>
      <c r="Q1143" s="92"/>
      <c r="R1143" s="93">
        <v>2500</v>
      </c>
      <c r="S1143" s="93">
        <f t="shared" si="97"/>
        <v>1050000</v>
      </c>
      <c r="T1143" s="33"/>
      <c r="U1143" s="34"/>
      <c r="V1143" s="35">
        <v>6566</v>
      </c>
      <c r="W1143" s="36">
        <f t="shared" si="96"/>
        <v>4287598</v>
      </c>
      <c r="X1143" s="93"/>
      <c r="Z1143" s="154">
        <f t="shared" si="93"/>
        <v>3237598</v>
      </c>
    </row>
    <row r="1144" spans="1:26" s="21" customFormat="1" ht="16" customHeight="1" x14ac:dyDescent="0.45">
      <c r="A1144" s="22"/>
      <c r="B1144" s="23">
        <v>46037</v>
      </c>
      <c r="C1144" s="24"/>
      <c r="D1144" s="25" t="s">
        <v>37</v>
      </c>
      <c r="E1144" s="26" t="s">
        <v>28</v>
      </c>
      <c r="F1144" s="26"/>
      <c r="G1144" s="26" t="s">
        <v>28</v>
      </c>
      <c r="H1144" s="27" t="s">
        <v>38</v>
      </c>
      <c r="I1144" s="27" t="s">
        <v>39</v>
      </c>
      <c r="J1144" s="27"/>
      <c r="K1144" s="38" t="s">
        <v>42</v>
      </c>
      <c r="L1144" s="29">
        <v>22</v>
      </c>
      <c r="M1144" s="30">
        <v>419.7</v>
      </c>
      <c r="N1144" s="31"/>
      <c r="O1144" s="32">
        <v>653</v>
      </c>
      <c r="P1144" s="91"/>
      <c r="Q1144" s="92"/>
      <c r="R1144" s="93">
        <v>2500</v>
      </c>
      <c r="S1144" s="93">
        <f t="shared" si="97"/>
        <v>1049250</v>
      </c>
      <c r="T1144" s="33"/>
      <c r="U1144" s="34"/>
      <c r="V1144" s="35">
        <v>6566</v>
      </c>
      <c r="W1144" s="36">
        <f t="shared" si="96"/>
        <v>4635596</v>
      </c>
      <c r="X1144" s="93"/>
      <c r="Z1144" s="154">
        <f t="shared" si="93"/>
        <v>3586346</v>
      </c>
    </row>
    <row r="1145" spans="1:26" s="21" customFormat="1" ht="16" customHeight="1" x14ac:dyDescent="0.45">
      <c r="A1145" s="22"/>
      <c r="B1145" s="23">
        <v>46037</v>
      </c>
      <c r="C1145" s="24"/>
      <c r="D1145" s="25" t="s">
        <v>37</v>
      </c>
      <c r="E1145" s="26" t="s">
        <v>28</v>
      </c>
      <c r="F1145" s="26"/>
      <c r="G1145" s="26" t="s">
        <v>28</v>
      </c>
      <c r="H1145" s="27" t="s">
        <v>38</v>
      </c>
      <c r="I1145" s="27" t="s">
        <v>39</v>
      </c>
      <c r="J1145" s="27"/>
      <c r="K1145" s="38" t="s">
        <v>43</v>
      </c>
      <c r="L1145" s="29">
        <v>24</v>
      </c>
      <c r="M1145" s="30">
        <v>457.3</v>
      </c>
      <c r="N1145" s="31"/>
      <c r="O1145" s="32">
        <v>706</v>
      </c>
      <c r="P1145" s="91"/>
      <c r="Q1145" s="92"/>
      <c r="R1145" s="93">
        <v>2500</v>
      </c>
      <c r="S1145" s="93">
        <f t="shared" si="97"/>
        <v>1143250</v>
      </c>
      <c r="T1145" s="33"/>
      <c r="U1145" s="34"/>
      <c r="V1145" s="35">
        <v>6566</v>
      </c>
      <c r="W1145" s="36">
        <f t="shared" si="96"/>
        <v>4281032</v>
      </c>
      <c r="X1145" s="93"/>
      <c r="Z1145" s="154">
        <f t="shared" si="93"/>
        <v>3137782</v>
      </c>
    </row>
    <row r="1146" spans="1:26" s="21" customFormat="1" ht="16" customHeight="1" x14ac:dyDescent="0.45">
      <c r="A1146" s="22"/>
      <c r="B1146" s="23">
        <v>46037</v>
      </c>
      <c r="C1146" s="24"/>
      <c r="D1146" s="25" t="s">
        <v>37</v>
      </c>
      <c r="E1146" s="26" t="s">
        <v>28</v>
      </c>
      <c r="F1146" s="26"/>
      <c r="G1146" s="26" t="s">
        <v>28</v>
      </c>
      <c r="H1146" s="27" t="s">
        <v>38</v>
      </c>
      <c r="I1146" s="27" t="s">
        <v>39</v>
      </c>
      <c r="J1146" s="27"/>
      <c r="K1146" s="38" t="s">
        <v>44</v>
      </c>
      <c r="L1146" s="29">
        <v>23</v>
      </c>
      <c r="M1146" s="30">
        <v>419.9</v>
      </c>
      <c r="N1146" s="31"/>
      <c r="O1146" s="32">
        <v>652</v>
      </c>
      <c r="P1146" s="91"/>
      <c r="Q1146" s="92"/>
      <c r="R1146" s="93">
        <v>2500</v>
      </c>
      <c r="S1146" s="93">
        <f t="shared" si="97"/>
        <v>1049750</v>
      </c>
      <c r="T1146" s="33"/>
      <c r="U1146" s="34"/>
      <c r="V1146" s="35">
        <v>6566</v>
      </c>
      <c r="W1146" s="36">
        <f t="shared" si="96"/>
        <v>4583068</v>
      </c>
      <c r="X1146" s="93"/>
      <c r="Z1146" s="154">
        <f t="shared" si="93"/>
        <v>3533318</v>
      </c>
    </row>
    <row r="1147" spans="1:26" s="21" customFormat="1" ht="16" customHeight="1" x14ac:dyDescent="0.45">
      <c r="A1147" s="22"/>
      <c r="B1147" s="23">
        <v>46037</v>
      </c>
      <c r="C1147" s="24"/>
      <c r="D1147" s="25" t="s">
        <v>37</v>
      </c>
      <c r="E1147" s="26" t="s">
        <v>28</v>
      </c>
      <c r="F1147" s="26"/>
      <c r="G1147" s="26" t="s">
        <v>28</v>
      </c>
      <c r="H1147" s="27" t="s">
        <v>38</v>
      </c>
      <c r="I1147" s="27" t="s">
        <v>39</v>
      </c>
      <c r="J1147" s="27"/>
      <c r="K1147" s="38" t="s">
        <v>45</v>
      </c>
      <c r="L1147" s="29">
        <v>24</v>
      </c>
      <c r="M1147" s="30">
        <v>455</v>
      </c>
      <c r="N1147" s="31"/>
      <c r="O1147" s="32">
        <v>698</v>
      </c>
      <c r="P1147" s="91"/>
      <c r="Q1147" s="92"/>
      <c r="R1147" s="93">
        <v>2500</v>
      </c>
      <c r="S1147" s="93">
        <f t="shared" si="97"/>
        <v>1137500</v>
      </c>
      <c r="T1147" s="33"/>
      <c r="U1147" s="34"/>
      <c r="V1147" s="35">
        <v>6566</v>
      </c>
      <c r="W1147" s="36">
        <f t="shared" si="96"/>
        <v>4425484</v>
      </c>
      <c r="X1147" s="93"/>
      <c r="Z1147" s="154">
        <f t="shared" si="93"/>
        <v>3287984</v>
      </c>
    </row>
    <row r="1148" spans="1:26" s="21" customFormat="1" ht="16" customHeight="1" x14ac:dyDescent="0.45">
      <c r="A1148" s="22"/>
      <c r="B1148" s="23">
        <v>46037</v>
      </c>
      <c r="C1148" s="24"/>
      <c r="D1148" s="25" t="s">
        <v>37</v>
      </c>
      <c r="E1148" s="26" t="s">
        <v>28</v>
      </c>
      <c r="F1148" s="26"/>
      <c r="G1148" s="26" t="s">
        <v>28</v>
      </c>
      <c r="H1148" s="27" t="s">
        <v>38</v>
      </c>
      <c r="I1148" s="27" t="s">
        <v>39</v>
      </c>
      <c r="J1148" s="27"/>
      <c r="K1148" s="38" t="s">
        <v>46</v>
      </c>
      <c r="L1148" s="29">
        <v>24</v>
      </c>
      <c r="M1148" s="30">
        <v>434.3</v>
      </c>
      <c r="N1148" s="31"/>
      <c r="O1148" s="32">
        <v>674</v>
      </c>
      <c r="P1148" s="91"/>
      <c r="Q1148" s="92"/>
      <c r="R1148" s="93">
        <v>2500</v>
      </c>
      <c r="S1148" s="93">
        <f t="shared" si="97"/>
        <v>1085750</v>
      </c>
      <c r="T1148" s="33"/>
      <c r="U1148" s="34"/>
      <c r="V1148" s="35">
        <v>6566</v>
      </c>
      <c r="W1148" s="36">
        <f t="shared" si="96"/>
        <v>4458314</v>
      </c>
      <c r="X1148" s="93"/>
      <c r="Z1148" s="154">
        <f t="shared" si="93"/>
        <v>3372564</v>
      </c>
    </row>
    <row r="1149" spans="1:26" s="21" customFormat="1" ht="16" customHeight="1" x14ac:dyDescent="0.45">
      <c r="A1149" s="22"/>
      <c r="B1149" s="23">
        <v>46037</v>
      </c>
      <c r="C1149" s="24"/>
      <c r="D1149" s="25" t="s">
        <v>37</v>
      </c>
      <c r="E1149" s="26" t="s">
        <v>28</v>
      </c>
      <c r="F1149" s="26"/>
      <c r="G1149" s="26" t="s">
        <v>28</v>
      </c>
      <c r="H1149" s="27" t="s">
        <v>38</v>
      </c>
      <c r="I1149" s="27" t="s">
        <v>39</v>
      </c>
      <c r="J1149" s="27"/>
      <c r="K1149" s="38" t="s">
        <v>48</v>
      </c>
      <c r="L1149" s="29">
        <v>24</v>
      </c>
      <c r="M1149" s="30">
        <v>431.9</v>
      </c>
      <c r="N1149" s="31"/>
      <c r="O1149" s="32">
        <v>679</v>
      </c>
      <c r="P1149" s="91"/>
      <c r="Q1149" s="92"/>
      <c r="R1149" s="93">
        <v>2500</v>
      </c>
      <c r="S1149" s="93">
        <f t="shared" si="97"/>
        <v>1079750</v>
      </c>
      <c r="T1149" s="33"/>
      <c r="U1149" s="34"/>
      <c r="V1149" s="35">
        <v>6566</v>
      </c>
      <c r="W1149" s="36">
        <f t="shared" si="96"/>
        <v>4720954</v>
      </c>
      <c r="X1149" s="93"/>
      <c r="Z1149" s="154">
        <f t="shared" si="93"/>
        <v>3641204</v>
      </c>
    </row>
    <row r="1150" spans="1:26" s="21" customFormat="1" ht="16" customHeight="1" x14ac:dyDescent="0.45">
      <c r="A1150" s="22"/>
      <c r="B1150" s="23">
        <v>46037</v>
      </c>
      <c r="C1150" s="24"/>
      <c r="D1150" s="25" t="s">
        <v>37</v>
      </c>
      <c r="E1150" s="26" t="s">
        <v>28</v>
      </c>
      <c r="F1150" s="26"/>
      <c r="G1150" s="26" t="s">
        <v>28</v>
      </c>
      <c r="H1150" s="27" t="s">
        <v>38</v>
      </c>
      <c r="I1150" s="27" t="s">
        <v>39</v>
      </c>
      <c r="J1150" s="27"/>
      <c r="K1150" s="38" t="s">
        <v>49</v>
      </c>
      <c r="L1150" s="29">
        <v>24</v>
      </c>
      <c r="M1150" s="30">
        <v>460.4</v>
      </c>
      <c r="N1150" s="31"/>
      <c r="O1150" s="32">
        <v>719</v>
      </c>
      <c r="P1150" s="91"/>
      <c r="Q1150" s="92"/>
      <c r="R1150" s="93">
        <v>2500</v>
      </c>
      <c r="S1150" s="93">
        <f t="shared" si="97"/>
        <v>1151000</v>
      </c>
      <c r="T1150" s="33"/>
      <c r="U1150" s="34"/>
      <c r="V1150" s="35">
        <v>6566</v>
      </c>
      <c r="W1150" s="36">
        <f>O1150*V1150</f>
        <v>4720954</v>
      </c>
      <c r="X1150" s="93"/>
      <c r="Z1150" s="154">
        <f t="shared" si="93"/>
        <v>3569954</v>
      </c>
    </row>
    <row r="1151" spans="1:26" s="21" customFormat="1" ht="16" customHeight="1" x14ac:dyDescent="0.45">
      <c r="A1151" s="22"/>
      <c r="B1151" s="23">
        <v>46036</v>
      </c>
      <c r="C1151" s="24"/>
      <c r="D1151" s="25" t="s">
        <v>66</v>
      </c>
      <c r="E1151" s="26" t="s">
        <v>117</v>
      </c>
      <c r="F1151" s="26"/>
      <c r="G1151" s="26" t="s">
        <v>117</v>
      </c>
      <c r="H1151" s="27" t="s">
        <v>224</v>
      </c>
      <c r="I1151" s="27" t="s">
        <v>36</v>
      </c>
      <c r="J1151" s="27"/>
      <c r="K1151" s="28"/>
      <c r="L1151" s="29">
        <v>3</v>
      </c>
      <c r="M1151" s="30"/>
      <c r="N1151" s="31">
        <v>1045</v>
      </c>
      <c r="O1151" s="32"/>
      <c r="P1151" s="91"/>
      <c r="Q1151" s="92"/>
      <c r="R1151" s="93">
        <v>1020</v>
      </c>
      <c r="S1151" s="93">
        <f>N1151*R1151</f>
        <v>1065900</v>
      </c>
      <c r="T1151" s="33"/>
      <c r="U1151" s="34"/>
      <c r="V1151" s="35">
        <v>1600</v>
      </c>
      <c r="W1151" s="36">
        <f>N1151*V1151</f>
        <v>1672000</v>
      </c>
      <c r="X1151" s="93"/>
      <c r="Z1151" s="154">
        <f t="shared" si="93"/>
        <v>606100</v>
      </c>
    </row>
    <row r="1152" spans="1:26" ht="16" customHeight="1" x14ac:dyDescent="0.45">
      <c r="B1152" s="2">
        <v>46037</v>
      </c>
      <c r="D1152" s="4" t="s">
        <v>181</v>
      </c>
      <c r="E1152" s="5" t="s">
        <v>339</v>
      </c>
      <c r="G1152" s="5" t="s">
        <v>28</v>
      </c>
      <c r="H1152" s="19" t="s">
        <v>182</v>
      </c>
      <c r="K1152" s="20" t="s">
        <v>200</v>
      </c>
      <c r="L1152" s="6">
        <v>7</v>
      </c>
      <c r="M1152" s="7">
        <v>2625</v>
      </c>
      <c r="P1152" s="10">
        <v>2205</v>
      </c>
      <c r="Q1152" s="11">
        <f>M1152*P1152</f>
        <v>5788125</v>
      </c>
      <c r="Z1152" s="154">
        <f t="shared" si="93"/>
        <v>-5788125</v>
      </c>
    </row>
    <row r="1153" spans="2:26" ht="16" customHeight="1" x14ac:dyDescent="0.45">
      <c r="B1153" s="2">
        <v>46037</v>
      </c>
      <c r="D1153" s="4" t="s">
        <v>181</v>
      </c>
      <c r="E1153" s="5" t="s">
        <v>339</v>
      </c>
      <c r="G1153" s="5" t="s">
        <v>28</v>
      </c>
      <c r="H1153" s="19" t="s">
        <v>182</v>
      </c>
      <c r="K1153" s="20" t="s">
        <v>191</v>
      </c>
      <c r="L1153" s="6">
        <v>1</v>
      </c>
      <c r="M1153" s="7">
        <v>365</v>
      </c>
      <c r="P1153" s="10">
        <v>1874</v>
      </c>
      <c r="Q1153" s="11">
        <f>M1153*P1153</f>
        <v>684010</v>
      </c>
      <c r="Z1153" s="154">
        <f t="shared" si="93"/>
        <v>-684010</v>
      </c>
    </row>
    <row r="1154" spans="2:26" ht="16" customHeight="1" x14ac:dyDescent="0.45">
      <c r="B1154" s="2">
        <v>46038</v>
      </c>
      <c r="E1154" s="5" t="s">
        <v>1</v>
      </c>
      <c r="G1154" s="5" t="s">
        <v>1</v>
      </c>
      <c r="H1154" s="19" t="s">
        <v>383</v>
      </c>
      <c r="I1154" s="19" t="s">
        <v>190</v>
      </c>
      <c r="O1154" s="9">
        <v>1422</v>
      </c>
      <c r="R1154" s="12">
        <v>0</v>
      </c>
      <c r="V1154" s="15">
        <v>4700</v>
      </c>
      <c r="W1154" s="16">
        <f>O1154*V1154</f>
        <v>6683400</v>
      </c>
      <c r="Z1154" s="154">
        <f t="shared" si="93"/>
        <v>6683400</v>
      </c>
    </row>
    <row r="1155" spans="2:26" ht="16" customHeight="1" x14ac:dyDescent="0.45">
      <c r="B1155" s="2">
        <v>46036</v>
      </c>
      <c r="D1155" s="4" t="s">
        <v>27</v>
      </c>
      <c r="E1155" s="5" t="s">
        <v>37</v>
      </c>
      <c r="G1155" s="5" t="s">
        <v>28</v>
      </c>
      <c r="H1155" s="19" t="s">
        <v>33</v>
      </c>
      <c r="L1155" s="6">
        <v>28</v>
      </c>
      <c r="M1155" s="7">
        <v>480</v>
      </c>
      <c r="R1155" s="12">
        <v>2000</v>
      </c>
      <c r="S1155" s="12">
        <f>M1155*R1155</f>
        <v>960000</v>
      </c>
      <c r="Z1155" s="154">
        <f t="shared" si="93"/>
        <v>-960000</v>
      </c>
    </row>
    <row r="1156" spans="2:26" ht="16" customHeight="1" x14ac:dyDescent="0.45">
      <c r="B1156" s="2">
        <v>46036</v>
      </c>
      <c r="D1156" s="4" t="s">
        <v>27</v>
      </c>
      <c r="E1156" s="5" t="s">
        <v>37</v>
      </c>
      <c r="G1156" s="5" t="s">
        <v>28</v>
      </c>
      <c r="H1156" s="19" t="s">
        <v>33</v>
      </c>
      <c r="L1156" s="6">
        <v>56</v>
      </c>
      <c r="M1156" s="7">
        <v>980</v>
      </c>
      <c r="R1156" s="12">
        <v>2000</v>
      </c>
      <c r="S1156" s="12">
        <f>M1156*R1156</f>
        <v>1960000</v>
      </c>
      <c r="Z1156" s="154">
        <f t="shared" si="93"/>
        <v>-1960000</v>
      </c>
    </row>
    <row r="1157" spans="2:26" ht="16" customHeight="1" x14ac:dyDescent="0.45">
      <c r="Z1157" s="154">
        <f t="shared" si="93"/>
        <v>0</v>
      </c>
    </row>
    <row r="1158" spans="2:26" ht="16" customHeight="1" x14ac:dyDescent="0.45">
      <c r="Z1158" s="154">
        <f t="shared" si="93"/>
        <v>0</v>
      </c>
    </row>
    <row r="1159" spans="2:26" ht="16" customHeight="1" x14ac:dyDescent="0.45">
      <c r="Z1159" s="154">
        <f t="shared" si="93"/>
        <v>0</v>
      </c>
    </row>
    <row r="1160" spans="2:26" ht="16" customHeight="1" x14ac:dyDescent="0.45">
      <c r="Z1160" s="154">
        <f t="shared" si="93"/>
        <v>0</v>
      </c>
    </row>
    <row r="1161" spans="2:26" ht="16" customHeight="1" x14ac:dyDescent="0.45">
      <c r="Z1161" s="154">
        <f t="shared" si="93"/>
        <v>0</v>
      </c>
    </row>
    <row r="1162" spans="2:26" ht="16" customHeight="1" x14ac:dyDescent="0.45">
      <c r="P1162" s="141"/>
      <c r="Q1162" s="95"/>
    </row>
    <row r="1163" spans="2:26" ht="16" customHeight="1" x14ac:dyDescent="0.45">
      <c r="P1163" s="141"/>
      <c r="Q1163" s="95"/>
    </row>
    <row r="1164" spans="2:26" ht="16" customHeight="1" x14ac:dyDescent="0.45">
      <c r="P1164" s="141"/>
      <c r="Q1164" s="95"/>
    </row>
    <row r="1165" spans="2:26" ht="16" customHeight="1" x14ac:dyDescent="0.45">
      <c r="P1165" s="141"/>
      <c r="Q1165" s="95"/>
    </row>
    <row r="1166" spans="2:26" ht="16" customHeight="1" x14ac:dyDescent="0.45">
      <c r="Z1166" s="156"/>
    </row>
    <row r="1167" spans="2:26" ht="16" customHeight="1" x14ac:dyDescent="0.45">
      <c r="Z1167" s="156"/>
    </row>
    <row r="1168" spans="2:26" ht="16" customHeight="1" x14ac:dyDescent="0.45">
      <c r="Z1168" s="156"/>
    </row>
    <row r="1169" spans="1:26" ht="16" customHeight="1" x14ac:dyDescent="0.45">
      <c r="Z1169" s="156"/>
    </row>
    <row r="1170" spans="1:26" ht="16" customHeight="1" x14ac:dyDescent="0.45">
      <c r="Z1170" s="156"/>
    </row>
    <row r="1171" spans="1:26" ht="16" customHeight="1" x14ac:dyDescent="0.45">
      <c r="Z1171" s="156"/>
    </row>
    <row r="1172" spans="1:26" ht="16" customHeight="1" x14ac:dyDescent="0.45">
      <c r="Z1172" s="156"/>
    </row>
    <row r="1174" spans="1:26" ht="16" customHeight="1" thickBot="1" x14ac:dyDescent="0.5"/>
    <row r="1175" spans="1:26" s="71" customFormat="1" ht="16" customHeight="1" thickBot="1" x14ac:dyDescent="0.5">
      <c r="A1175" s="53"/>
      <c r="B1175" s="54"/>
      <c r="C1175" s="55"/>
      <c r="D1175" s="56"/>
      <c r="E1175" s="57"/>
      <c r="F1175" s="57"/>
      <c r="G1175" s="57"/>
      <c r="H1175" s="58"/>
      <c r="I1175" s="58"/>
      <c r="J1175" s="58"/>
      <c r="K1175" s="59"/>
      <c r="L1175" s="60"/>
      <c r="M1175" s="61"/>
      <c r="N1175" s="62"/>
      <c r="O1175" s="63"/>
      <c r="P1175" s="64"/>
      <c r="Q1175" s="65">
        <f>SUM(Q1111:Q1174)</f>
        <v>15883927</v>
      </c>
      <c r="R1175" s="66"/>
      <c r="S1175" s="66">
        <f>SUM(S1111:S1174)</f>
        <v>67170850</v>
      </c>
      <c r="T1175" s="67"/>
      <c r="U1175" s="68"/>
      <c r="V1175" s="69"/>
      <c r="W1175" s="70">
        <f>SUM(W1111:W1174)</f>
        <v>140476393</v>
      </c>
      <c r="X1175" s="66">
        <f>W1175-Q1175-S1175</f>
        <v>57421616</v>
      </c>
      <c r="Z1175" s="72">
        <f>SUM(Z1111:Z1174)</f>
        <v>57421616</v>
      </c>
    </row>
    <row r="1176" spans="1:26" ht="16" customHeight="1" x14ac:dyDescent="0.45">
      <c r="A1176" s="157" t="s">
        <v>621</v>
      </c>
      <c r="B1176" s="158" t="s">
        <v>622</v>
      </c>
      <c r="K1176" s="110"/>
      <c r="L1176" s="111"/>
      <c r="M1176" s="112"/>
      <c r="N1176" s="159"/>
      <c r="P1176" s="160"/>
    </row>
    <row r="1177" spans="1:26" ht="16" customHeight="1" x14ac:dyDescent="0.45">
      <c r="A1177" s="161" t="s">
        <v>623</v>
      </c>
      <c r="D1177" s="4" t="s">
        <v>196</v>
      </c>
      <c r="E1177" s="76"/>
      <c r="F1177" s="76"/>
      <c r="G1177" s="76"/>
      <c r="H1177" s="17" t="s">
        <v>192</v>
      </c>
      <c r="I1177" s="17"/>
      <c r="J1177" s="108"/>
      <c r="K1177" s="110"/>
      <c r="L1177" s="111"/>
      <c r="M1177" s="112">
        <v>170</v>
      </c>
      <c r="N1177" s="80"/>
      <c r="O1177" s="81"/>
      <c r="P1177" s="104"/>
      <c r="R1177" s="77"/>
      <c r="S1177" s="77"/>
      <c r="T1177" s="82"/>
      <c r="U1177" s="83"/>
      <c r="V1177" s="84"/>
      <c r="W1177" s="85"/>
    </row>
    <row r="1178" spans="1:26" ht="16" customHeight="1" x14ac:dyDescent="0.45">
      <c r="A1178" s="1">
        <v>45931</v>
      </c>
      <c r="D1178" s="4" t="s">
        <v>193</v>
      </c>
      <c r="E1178" s="5" t="s">
        <v>148</v>
      </c>
      <c r="G1178" s="5" t="s">
        <v>148</v>
      </c>
      <c r="H1178" s="19" t="s">
        <v>194</v>
      </c>
      <c r="I1178" s="19" t="s">
        <v>195</v>
      </c>
      <c r="K1178" s="162"/>
      <c r="R1178" s="12">
        <v>2500</v>
      </c>
      <c r="S1178" s="12">
        <f>O1178*R1178</f>
        <v>0</v>
      </c>
      <c r="V1178" s="15">
        <v>6566</v>
      </c>
      <c r="W1178" s="16">
        <f>V1178*O1178</f>
        <v>0</v>
      </c>
    </row>
    <row r="1185" spans="1:31" ht="16" customHeight="1" thickBot="1" x14ac:dyDescent="0.5">
      <c r="A1185" s="88"/>
      <c r="B1185" s="163"/>
    </row>
    <row r="1186" spans="1:31" s="182" customFormat="1" ht="16" customHeight="1" thickBot="1" x14ac:dyDescent="0.5">
      <c r="A1186" s="164" t="s">
        <v>624</v>
      </c>
      <c r="B1186" s="165"/>
      <c r="C1186" s="166"/>
      <c r="D1186" s="167" t="s">
        <v>625</v>
      </c>
      <c r="E1186" s="168"/>
      <c r="F1186" s="168"/>
      <c r="G1186" s="168"/>
      <c r="H1186" s="169"/>
      <c r="I1186" s="169"/>
      <c r="J1186" s="169"/>
      <c r="K1186" s="170"/>
      <c r="L1186" s="171"/>
      <c r="M1186" s="172"/>
      <c r="N1186" s="173"/>
      <c r="O1186" s="174"/>
      <c r="P1186" s="175"/>
      <c r="Q1186" s="176">
        <f>SUM(Q1176:Q1185)</f>
        <v>0</v>
      </c>
      <c r="R1186" s="177"/>
      <c r="S1186" s="177">
        <f>SUM(S1176:S1185)</f>
        <v>0</v>
      </c>
      <c r="T1186" s="178"/>
      <c r="U1186" s="179">
        <f>SUM(U321:U1185)</f>
        <v>0</v>
      </c>
      <c r="V1186" s="180"/>
      <c r="W1186" s="181">
        <f>SUM(W1176:W1185)</f>
        <v>0</v>
      </c>
      <c r="X1186" s="177"/>
      <c r="Z1186" s="183"/>
      <c r="AA1186" s="184"/>
      <c r="AB1186" s="184"/>
      <c r="AC1186" s="184"/>
      <c r="AD1186" s="184"/>
      <c r="AE1186" s="184"/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입출고 2026</vt:lpstr>
      <vt:lpstr>'입출고 2026'!Print_Area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Choi</dc:creator>
  <cp:lastModifiedBy>Darren Choi</cp:lastModifiedBy>
  <dcterms:created xsi:type="dcterms:W3CDTF">2026-01-22T05:49:56Z</dcterms:created>
  <dcterms:modified xsi:type="dcterms:W3CDTF">2026-01-22T05:52:14Z</dcterms:modified>
</cp:coreProperties>
</file>