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입출고 20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0_);[Red]\(0\)"/>
    <numFmt numFmtId="165" formatCode="yyyy/mm/dd;@"/>
    <numFmt numFmtId="166" formatCode="\l\o\t#\ &quot;&quot;"/>
    <numFmt numFmtId="167" formatCode="0_ "/>
    <numFmt numFmtId="168" formatCode="0.00&quot;KG&quot;"/>
    <numFmt numFmtId="169" formatCode="0&quot;YDS&quot;"/>
    <numFmt numFmtId="170" formatCode="0&quot;MT&quot;"/>
    <numFmt numFmtId="171" formatCode="&quot;₩&quot;#,##0_);[Red]\(&quot;₩&quot;#,##0\)"/>
    <numFmt numFmtId="172" formatCode="\$#,##0.00_);[Red]\(\$#,##0.00\)"/>
    <numFmt numFmtId="173" formatCode="#,##0_ ;[Red]\-#,##0\ "/>
  </numFmts>
  <fonts count="25"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rgb="FFC00000"/>
      <sz val="11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0"/>
      <sz val="26"/>
      <scheme val="minor"/>
    </font>
    <font>
      <name val="맑은 고딕"/>
      <charset val="129"/>
      <family val="3"/>
      <b val="1"/>
      <color theme="0"/>
      <sz val="20"/>
      <scheme val="minor"/>
    </font>
    <font>
      <name val="맑은 고딕"/>
      <charset val="129"/>
      <family val="3"/>
      <color indexed="8"/>
      <sz val="11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b val="1"/>
      <color rgb="FFC00000"/>
      <sz val="11"/>
      <scheme val="minor"/>
    </font>
    <font>
      <name val="돋움"/>
      <charset val="129"/>
      <family val="3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HY견고딕"/>
      <charset val="129"/>
      <family val="1"/>
      <color theme="1"/>
      <sz val="10"/>
    </font>
    <font>
      <name val="HY견고딕"/>
      <charset val="129"/>
      <family val="1"/>
      <b val="1"/>
      <color rgb="FFFF0000"/>
      <sz val="10"/>
    </font>
    <font>
      <name val="HY견고딕"/>
      <charset val="129"/>
      <family val="1"/>
      <color theme="3" tint="0.3999755851924192"/>
      <sz val="10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41" fontId="18" fillId="0" borderId="0" applyAlignment="1">
      <alignment vertical="center"/>
    </xf>
  </cellStyleXfs>
  <cellXfs count="255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166" fontId="4" fillId="2" borderId="1" applyAlignment="1" pivotButton="0" quotePrefix="0" xfId="0">
      <alignment horizontal="left" vertical="center" wrapText="1"/>
    </xf>
    <xf numFmtId="1" fontId="5" fillId="0" borderId="1" applyAlignment="1" applyProtection="1" pivotButton="0" quotePrefix="0" xfId="0">
      <alignment horizontal="left" vertical="center"/>
      <protection locked="0" hidden="0"/>
    </xf>
    <xf numFmtId="167" fontId="0" fillId="0" borderId="1" applyAlignment="1" applyProtection="1" pivotButton="0" quotePrefix="0" xfId="0">
      <alignment horizontal="right" vertical="center"/>
      <protection locked="0" hidden="0"/>
    </xf>
    <xf numFmtId="168" fontId="0" fillId="0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171" fontId="0" fillId="3" borderId="1" applyAlignment="1" pivotButton="0" quotePrefix="0" xfId="0">
      <alignment horizontal="center" vertical="center"/>
    </xf>
    <xf numFmtId="171" fontId="0" fillId="3" borderId="1" applyAlignment="1" pivotButton="0" quotePrefix="0" xfId="0">
      <alignment vertical="center"/>
    </xf>
    <xf numFmtId="171" fontId="1" fillId="0" borderId="0" applyAlignment="1" pivotButton="0" quotePrefix="0" xfId="1">
      <alignment horizontal="right" vertical="center"/>
    </xf>
    <xf numFmtId="172" fontId="6" fillId="0" borderId="1" applyAlignment="1" pivotButton="0" quotePrefix="0" xfId="0">
      <alignment horizontal="right" vertical="center"/>
    </xf>
    <xf numFmtId="172" fontId="6" fillId="0" borderId="1" applyAlignment="1" pivotButton="0" quotePrefix="0" xfId="1">
      <alignment horizontal="right" vertical="center"/>
    </xf>
    <xf numFmtId="171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73" fontId="0" fillId="0" borderId="0" applyAlignment="1" pivotButton="0" quotePrefix="0" xfId="0">
      <alignment vertical="center"/>
    </xf>
    <xf numFmtId="165" fontId="7" fillId="4" borderId="3" applyAlignment="1" pivotButton="0" quotePrefix="0" xfId="0">
      <alignment horizontal="center" vertical="center"/>
    </xf>
    <xf numFmtId="165" fontId="7" fillId="4" borderId="4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/>
    </xf>
    <xf numFmtId="0" fontId="0" fillId="4" borderId="1" applyAlignment="1" pivotButton="0" quotePrefix="0" xfId="0">
      <alignment vertical="center"/>
    </xf>
    <xf numFmtId="1" fontId="0" fillId="4" borderId="1" applyAlignment="1" pivotButton="0" quotePrefix="0" xfId="0">
      <alignment horizontal="left" vertical="center"/>
    </xf>
    <xf numFmtId="167" fontId="0" fillId="4" borderId="1" applyAlignment="1" applyProtection="1" pivotButton="0" quotePrefix="0" xfId="0">
      <alignment horizontal="right" vertical="center"/>
      <protection locked="0" hidden="0"/>
    </xf>
    <xf numFmtId="168" fontId="0" fillId="4" borderId="1" applyAlignment="1" pivotButton="0" quotePrefix="0" xfId="0">
      <alignment horizontal="center" vertical="center"/>
    </xf>
    <xf numFmtId="169" fontId="0" fillId="4" borderId="1" applyAlignment="1" pivotButton="0" quotePrefix="0" xfId="0">
      <alignment horizontal="right" vertical="center"/>
    </xf>
    <xf numFmtId="170" fontId="0" fillId="4" borderId="1" applyAlignment="1" pivotButton="0" quotePrefix="0" xfId="0">
      <alignment horizontal="right" vertical="center"/>
    </xf>
    <xf numFmtId="171" fontId="0" fillId="4" borderId="1" applyAlignment="1" pivotButton="0" quotePrefix="0" xfId="0">
      <alignment horizontal="center" vertical="center"/>
    </xf>
    <xf numFmtId="171" fontId="0" fillId="4" borderId="1" applyAlignment="1" pivotButton="0" quotePrefix="0" xfId="0">
      <alignment vertical="center"/>
    </xf>
    <xf numFmtId="171" fontId="12" fillId="4" borderId="0" applyAlignment="1" pivotButton="0" quotePrefix="0" xfId="1">
      <alignment horizontal="left" vertical="center"/>
    </xf>
    <xf numFmtId="171" fontId="1" fillId="4" borderId="0" applyAlignment="1" pivotButton="0" quotePrefix="0" xfId="1">
      <alignment horizontal="right" vertical="center"/>
    </xf>
    <xf numFmtId="172" fontId="6" fillId="4" borderId="1" applyAlignment="1" pivotButton="0" quotePrefix="0" xfId="0">
      <alignment horizontal="right" vertical="center"/>
    </xf>
    <xf numFmtId="172" fontId="6" fillId="4" borderId="1" applyAlignment="1" pivotButton="0" quotePrefix="0" xfId="1">
      <alignment horizontal="right" vertical="center"/>
    </xf>
    <xf numFmtId="171" fontId="6" fillId="4" borderId="1" applyAlignment="1" pivotButton="0" quotePrefix="0" xfId="0">
      <alignment horizontal="right" vertical="center"/>
    </xf>
    <xf numFmtId="171" fontId="6" fillId="4" borderId="1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71" fontId="13" fillId="0" borderId="0" applyAlignment="1" pivotButton="0" quotePrefix="0" xfId="1">
      <alignment horizontal="center" vertical="center" wrapText="1"/>
    </xf>
    <xf numFmtId="164" fontId="0" fillId="5" borderId="5" applyAlignment="1" pivotButton="0" quotePrefix="0" xfId="0">
      <alignment horizontal="center" vertical="center"/>
    </xf>
    <xf numFmtId="165" fontId="0" fillId="5" borderId="6" applyAlignment="1" pivotButton="0" quotePrefix="0" xfId="0">
      <alignment horizontal="center" vertical="center"/>
    </xf>
    <xf numFmtId="14" fontId="14" fillId="5" borderId="8" applyAlignment="1" pivotButton="0" quotePrefix="0" xfId="0">
      <alignment horizontal="center" vertical="center" wrapText="1"/>
    </xf>
    <xf numFmtId="0" fontId="14" fillId="5" borderId="5" applyAlignment="1" pivotButton="0" quotePrefix="0" xfId="0">
      <alignment horizontal="left" vertical="center"/>
    </xf>
    <xf numFmtId="0" fontId="15" fillId="5" borderId="8" applyAlignment="1" pivotButton="0" quotePrefix="0" xfId="0">
      <alignment horizontal="center" vertical="center" wrapText="1"/>
    </xf>
    <xf numFmtId="0" fontId="14" fillId="5" borderId="8" applyAlignment="1" pivotButton="0" quotePrefix="0" xfId="0">
      <alignment horizontal="center" vertical="center" wrapText="1"/>
    </xf>
    <xf numFmtId="0" fontId="14" fillId="5" borderId="7" applyAlignment="1" pivotButton="0" quotePrefix="0" xfId="0">
      <alignment horizontal="center" vertical="center" wrapText="1"/>
    </xf>
    <xf numFmtId="1" fontId="14" fillId="5" borderId="7" applyAlignment="1" pivotButton="0" quotePrefix="0" xfId="0">
      <alignment horizontal="center" vertical="center" wrapText="1"/>
    </xf>
    <xf numFmtId="167" fontId="14" fillId="5" borderId="7" applyAlignment="1" applyProtection="1" pivotButton="0" quotePrefix="0" xfId="0">
      <alignment horizontal="center" vertical="center" wrapText="1"/>
      <protection locked="0" hidden="0"/>
    </xf>
    <xf numFmtId="168" fontId="14" fillId="5" borderId="7" applyAlignment="1" pivotButton="0" quotePrefix="0" xfId="0">
      <alignment horizontal="center" vertical="center" wrapText="1"/>
    </xf>
    <xf numFmtId="169" fontId="14" fillId="5" borderId="7" applyAlignment="1" pivotButton="0" quotePrefix="0" xfId="0">
      <alignment horizontal="center" vertical="center" wrapText="1"/>
    </xf>
    <xf numFmtId="170" fontId="14" fillId="5" borderId="7" applyAlignment="1" pivotButton="0" quotePrefix="0" xfId="0">
      <alignment horizontal="center" vertical="center" wrapText="1"/>
    </xf>
    <xf numFmtId="171" fontId="14" fillId="3" borderId="7" applyAlignment="1" pivotButton="0" quotePrefix="0" xfId="0">
      <alignment horizontal="center" vertical="center" wrapText="1"/>
    </xf>
    <xf numFmtId="171" fontId="14" fillId="6" borderId="5" applyAlignment="1" pivotButton="0" quotePrefix="0" xfId="1">
      <alignment horizontal="center" vertical="center" wrapText="1"/>
    </xf>
    <xf numFmtId="172" fontId="17" fillId="5" borderId="7" applyAlignment="1" pivotButton="0" quotePrefix="0" xfId="0">
      <alignment horizontal="center" vertical="center" wrapText="1"/>
    </xf>
    <xf numFmtId="172" fontId="17" fillId="5" borderId="7" applyAlignment="1" pivotButton="0" quotePrefix="0" xfId="1">
      <alignment horizontal="center" vertical="center" wrapText="1"/>
    </xf>
    <xf numFmtId="171" fontId="17" fillId="7" borderId="7" applyAlignment="1" pivotButton="0" quotePrefix="0" xfId="0">
      <alignment horizontal="center" vertical="center" wrapText="1"/>
    </xf>
    <xf numFmtId="171" fontId="14" fillId="0" borderId="5" applyAlignment="1" pivotButton="0" quotePrefix="0" xfId="1">
      <alignment horizontal="center" vertical="center" wrapText="1"/>
    </xf>
    <xf numFmtId="0" fontId="15" fillId="0" borderId="9" applyAlignment="1" pivotButton="0" quotePrefix="0" xfId="0">
      <alignment horizontal="center" vertical="center"/>
    </xf>
    <xf numFmtId="173" fontId="14" fillId="0" borderId="9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left" vertical="center"/>
    </xf>
    <xf numFmtId="0" fontId="0" fillId="8" borderId="0" applyAlignment="1" pivotButton="0" quotePrefix="0" xfId="0">
      <alignment vertical="center"/>
    </xf>
    <xf numFmtId="164" fontId="0" fillId="8" borderId="0" applyAlignment="1" pivotButton="0" quotePrefix="0" xfId="0">
      <alignment horizontal="center" vertical="center"/>
    </xf>
    <xf numFmtId="165" fontId="0" fillId="8" borderId="0" applyAlignment="1" pivotButton="0" quotePrefix="0" xfId="0">
      <alignment horizontal="left" vertical="center"/>
    </xf>
    <xf numFmtId="14" fontId="0" fillId="8" borderId="0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0" fontId="0" fillId="8" borderId="2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1" fontId="0" fillId="8" borderId="1" applyAlignment="1" pivotButton="0" quotePrefix="0" xfId="0">
      <alignment horizontal="left" vertical="center"/>
    </xf>
    <xf numFmtId="167" fontId="0" fillId="8" borderId="1" applyAlignment="1" applyProtection="1" pivotButton="0" quotePrefix="0" xfId="0">
      <alignment horizontal="right" vertical="center"/>
      <protection locked="0" hidden="0"/>
    </xf>
    <xf numFmtId="168" fontId="0" fillId="8" borderId="1" applyAlignment="1" pivotButton="0" quotePrefix="0" xfId="0">
      <alignment horizontal="center" vertical="center"/>
    </xf>
    <xf numFmtId="169" fontId="0" fillId="8" borderId="1" applyAlignment="1" pivotButton="0" quotePrefix="0" xfId="0">
      <alignment horizontal="right" vertical="center"/>
    </xf>
    <xf numFmtId="170" fontId="0" fillId="8" borderId="1" applyAlignment="1" pivotButton="0" quotePrefix="0" xfId="0">
      <alignment horizontal="right" vertical="center"/>
    </xf>
    <xf numFmtId="172" fontId="6" fillId="8" borderId="1" applyAlignment="1" pivotButton="0" quotePrefix="0" xfId="0">
      <alignment horizontal="right" vertical="center"/>
    </xf>
    <xf numFmtId="172" fontId="6" fillId="8" borderId="1" applyAlignment="1" pivotButton="0" quotePrefix="0" xfId="1">
      <alignment horizontal="right" vertical="center"/>
    </xf>
    <xf numFmtId="171" fontId="6" fillId="8" borderId="1" applyAlignment="1" pivotButton="0" quotePrefix="0" xfId="0">
      <alignment horizontal="right" vertical="center"/>
    </xf>
    <xf numFmtId="171" fontId="6" fillId="8" borderId="1" applyAlignment="1" pivotButton="0" quotePrefix="0" xfId="0">
      <alignment vertical="center"/>
    </xf>
    <xf numFmtId="14" fontId="0" fillId="9" borderId="0" applyAlignment="1" pivotButton="0" quotePrefix="0" xfId="0">
      <alignment horizontal="center" vertical="center"/>
    </xf>
    <xf numFmtId="1" fontId="0" fillId="8" borderId="1" applyAlignment="1" pivotButton="0" quotePrefix="1" xfId="0">
      <alignment horizontal="left" vertical="center"/>
    </xf>
    <xf numFmtId="0" fontId="0" fillId="9" borderId="0" applyAlignment="1" pivotButton="0" quotePrefix="0" xfId="0">
      <alignment vertical="center"/>
    </xf>
    <xf numFmtId="165" fontId="0" fillId="9" borderId="0" applyAlignment="1" pivotButton="0" quotePrefix="0" xfId="0">
      <alignment horizontal="left" vertical="center"/>
    </xf>
    <xf numFmtId="0" fontId="0" fillId="9" borderId="2" applyAlignment="1" pivotButton="0" quotePrefix="0" xfId="0">
      <alignment horizontal="left" vertical="center"/>
    </xf>
    <xf numFmtId="0" fontId="0" fillId="9" borderId="2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/>
    </xf>
    <xf numFmtId="1" fontId="0" fillId="9" borderId="1" applyAlignment="1" pivotButton="0" quotePrefix="0" xfId="0">
      <alignment horizontal="left" vertical="center"/>
    </xf>
    <xf numFmtId="167" fontId="0" fillId="9" borderId="1" applyAlignment="1" applyProtection="1" pivotButton="0" quotePrefix="0" xfId="0">
      <alignment horizontal="right" vertical="center"/>
      <protection locked="0" hidden="0"/>
    </xf>
    <xf numFmtId="168" fontId="0" fillId="9" borderId="1" applyAlignment="1" pivotButton="0" quotePrefix="0" xfId="0">
      <alignment horizontal="center" vertical="center"/>
    </xf>
    <xf numFmtId="169" fontId="0" fillId="9" borderId="1" applyAlignment="1" pivotButton="0" quotePrefix="0" xfId="0">
      <alignment horizontal="right" vertical="center"/>
    </xf>
    <xf numFmtId="170" fontId="0" fillId="9" borderId="1" applyAlignment="1" pivotButton="0" quotePrefix="0" xfId="0">
      <alignment horizontal="right" vertical="center"/>
    </xf>
    <xf numFmtId="172" fontId="6" fillId="9" borderId="1" applyAlignment="1" pivotButton="0" quotePrefix="0" xfId="0">
      <alignment horizontal="right" vertical="center"/>
    </xf>
    <xf numFmtId="172" fontId="6" fillId="9" borderId="1" applyAlignment="1" pivotButton="0" quotePrefix="0" xfId="1">
      <alignment horizontal="right" vertical="center"/>
    </xf>
    <xf numFmtId="171" fontId="6" fillId="9" borderId="1" applyAlignment="1" pivotButton="0" quotePrefix="0" xfId="0">
      <alignment horizontal="right" vertical="center"/>
    </xf>
    <xf numFmtId="171" fontId="6" fillId="9" borderId="1" applyAlignment="1" pivotButton="0" quotePrefix="0" xfId="0">
      <alignment vertical="center"/>
    </xf>
    <xf numFmtId="164" fontId="0" fillId="0" borderId="6" applyAlignment="1" pivotButton="0" quotePrefix="0" xfId="0">
      <alignment horizontal="center" vertical="center"/>
    </xf>
    <xf numFmtId="165" fontId="0" fillId="0" borderId="5" applyAlignment="1" pivotButton="0" quotePrefix="0" xfId="0">
      <alignment horizontal="left" vertical="center"/>
    </xf>
    <xf numFmtId="14" fontId="0" fillId="0" borderId="5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1" fontId="0" fillId="0" borderId="7" applyAlignment="1" pivotButton="0" quotePrefix="0" xfId="0">
      <alignment horizontal="left" vertical="center"/>
    </xf>
    <xf numFmtId="167" fontId="0" fillId="0" borderId="7" applyAlignment="1" applyProtection="1" pivotButton="0" quotePrefix="0" xfId="0">
      <alignment horizontal="right" vertical="center"/>
      <protection locked="0" hidden="0"/>
    </xf>
    <xf numFmtId="168" fontId="0" fillId="0" borderId="7" applyAlignment="1" pivotButton="0" quotePrefix="0" xfId="0">
      <alignment horizontal="center" vertical="center"/>
    </xf>
    <xf numFmtId="169" fontId="0" fillId="0" borderId="7" applyAlignment="1" pivotButton="0" quotePrefix="0" xfId="0">
      <alignment horizontal="right" vertical="center"/>
    </xf>
    <xf numFmtId="170" fontId="0" fillId="0" borderId="7" applyAlignment="1" pivotButton="0" quotePrefix="0" xfId="0">
      <alignment horizontal="right" vertical="center"/>
    </xf>
    <xf numFmtId="171" fontId="0" fillId="3" borderId="7" applyAlignment="1" pivotButton="0" quotePrefix="0" xfId="0">
      <alignment horizontal="center" vertical="center"/>
    </xf>
    <xf numFmtId="171" fontId="0" fillId="3" borderId="7" applyAlignment="1" pivotButton="0" quotePrefix="0" xfId="0">
      <alignment vertical="center"/>
    </xf>
    <xf numFmtId="171" fontId="1" fillId="0" borderId="5" applyAlignment="1" pivotButton="0" quotePrefix="0" xfId="1">
      <alignment horizontal="right" vertical="center"/>
    </xf>
    <xf numFmtId="172" fontId="6" fillId="0" borderId="7" applyAlignment="1" pivotButton="0" quotePrefix="0" xfId="0">
      <alignment horizontal="right" vertical="center"/>
    </xf>
    <xf numFmtId="172" fontId="6" fillId="0" borderId="7" applyAlignment="1" pivotButton="0" quotePrefix="0" xfId="1">
      <alignment horizontal="right" vertical="center"/>
    </xf>
    <xf numFmtId="171" fontId="6" fillId="0" borderId="7" applyAlignment="1" pivotButton="0" quotePrefix="0" xfId="0">
      <alignment horizontal="right" vertical="center"/>
    </xf>
    <xf numFmtId="171" fontId="6" fillId="0" borderId="7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173" fontId="0" fillId="0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" fontId="0" fillId="0" borderId="1" applyAlignment="1" pivotButton="0" quotePrefix="1" xfId="0">
      <alignment horizontal="left" vertical="center"/>
    </xf>
    <xf numFmtId="14" fontId="0" fillId="8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8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72" fontId="6" fillId="0" borderId="0" applyAlignment="1" pivotButton="0" quotePrefix="0" xfId="0">
      <alignment horizontal="right" vertical="center"/>
    </xf>
    <xf numFmtId="172" fontId="6" fillId="0" borderId="0" applyAlignment="1" pivotButton="0" quotePrefix="0" xfId="1">
      <alignment horizontal="right" vertical="center"/>
    </xf>
    <xf numFmtId="171" fontId="1" fillId="9" borderId="0" applyAlignment="1" pivotButton="0" quotePrefix="0" xfId="1">
      <alignment horizontal="right" vertical="center"/>
    </xf>
    <xf numFmtId="0" fontId="0" fillId="9" borderId="0" applyAlignment="1" pivotButton="0" quotePrefix="0" xfId="0">
      <alignment horizontal="center" vertical="center"/>
    </xf>
    <xf numFmtId="171" fontId="0" fillId="8" borderId="1" applyAlignment="1" pivotButton="0" quotePrefix="0" xfId="0">
      <alignment horizontal="center" vertical="center"/>
    </xf>
    <xf numFmtId="171" fontId="0" fillId="8" borderId="1" applyAlignment="1" pivotButton="0" quotePrefix="0" xfId="0">
      <alignment vertical="center"/>
    </xf>
    <xf numFmtId="171" fontId="1" fillId="8" borderId="0" applyAlignment="1" pivotButton="0" quotePrefix="0" xfId="1">
      <alignment horizontal="right" vertical="center"/>
    </xf>
    <xf numFmtId="0" fontId="0" fillId="8" borderId="0" applyAlignment="1" pivotButton="0" quotePrefix="0" xfId="0">
      <alignment horizontal="center" vertical="center"/>
    </xf>
    <xf numFmtId="171" fontId="5" fillId="8" borderId="1" applyAlignment="1" pivotButton="0" quotePrefix="0" xfId="0">
      <alignment vertical="center"/>
    </xf>
    <xf numFmtId="172" fontId="6" fillId="8" borderId="0" applyAlignment="1" pivotButton="0" quotePrefix="0" xfId="0">
      <alignment horizontal="right" vertical="center"/>
    </xf>
    <xf numFmtId="171" fontId="1" fillId="0" borderId="1" applyAlignment="1" pivotButton="0" quotePrefix="0" xfId="1">
      <alignment horizontal="right" vertical="center"/>
    </xf>
    <xf numFmtId="0" fontId="0" fillId="8" borderId="1" applyAlignment="1" pivotButton="0" quotePrefix="0" xfId="0">
      <alignment horizontal="left" vertical="center"/>
    </xf>
    <xf numFmtId="172" fontId="6" fillId="8" borderId="0" applyAlignment="1" pivotButton="0" quotePrefix="0" xfId="1">
      <alignment horizontal="right" vertical="center"/>
    </xf>
    <xf numFmtId="171" fontId="6" fillId="8" borderId="0" applyAlignment="1" pivotButton="0" quotePrefix="0" xfId="0">
      <alignment vertical="center"/>
    </xf>
    <xf numFmtId="171" fontId="1" fillId="8" borderId="1" applyAlignment="1" pivotButton="0" quotePrefix="0" xfId="1">
      <alignment horizontal="right" vertical="center"/>
    </xf>
    <xf numFmtId="173" fontId="0" fillId="8" borderId="0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1" fontId="1" fillId="8" borderId="0" applyAlignment="1" pivotButton="0" quotePrefix="1" xfId="1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22" fillId="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23" fillId="5" borderId="7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22" fillId="0" borderId="7" applyAlignment="1" pivotButton="0" quotePrefix="0" xfId="0">
      <alignment vertical="center"/>
    </xf>
    <xf numFmtId="0" fontId="22" fillId="8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vertical="center"/>
    </xf>
    <xf numFmtId="0" fontId="22" fillId="8" borderId="2" applyAlignment="1" pivotButton="0" quotePrefix="0" xfId="0">
      <alignment vertical="center"/>
    </xf>
    <xf numFmtId="0" fontId="22" fillId="8" borderId="2" applyAlignment="1" pivotButton="0" quotePrefix="0" xfId="0">
      <alignment horizontal="left" vertical="center"/>
    </xf>
    <xf numFmtId="0" fontId="22" fillId="0" borderId="0" applyAlignment="1" pivotButton="0" quotePrefix="0" xfId="0">
      <alignment vertical="center"/>
    </xf>
    <xf numFmtId="0" fontId="24" fillId="8" borderId="1" applyAlignment="1" pivotButton="0" quotePrefix="0" xfId="0">
      <alignment vertical="center"/>
    </xf>
    <xf numFmtId="14" fontId="0" fillId="8" borderId="0" applyAlignment="1" pivotButton="0" quotePrefix="0" xfId="0">
      <alignment horizontal="left" vertical="center"/>
    </xf>
    <xf numFmtId="0" fontId="24" fillId="0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left" vertical="center"/>
    </xf>
    <xf numFmtId="166" fontId="4" fillId="2" borderId="1" applyAlignment="1" pivotButton="0" quotePrefix="0" xfId="0">
      <alignment horizontal="left" vertical="center" wrapText="1"/>
    </xf>
    <xf numFmtId="167" fontId="0" fillId="0" borderId="1" applyAlignment="1" applyProtection="1" pivotButton="0" quotePrefix="0" xfId="0">
      <alignment horizontal="right" vertical="center"/>
      <protection locked="0" hidden="0"/>
    </xf>
    <xf numFmtId="168" fontId="0" fillId="0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171" fontId="0" fillId="3" borderId="1" applyAlignment="1" pivotButton="0" quotePrefix="0" xfId="0">
      <alignment horizontal="center" vertical="center"/>
    </xf>
    <xf numFmtId="171" fontId="0" fillId="3" borderId="1" applyAlignment="1" pivotButton="0" quotePrefix="0" xfId="0">
      <alignment vertical="center"/>
    </xf>
    <xf numFmtId="171" fontId="1" fillId="0" borderId="0" applyAlignment="1" pivotButton="0" quotePrefix="0" xfId="1">
      <alignment horizontal="right" vertical="center"/>
    </xf>
    <xf numFmtId="172" fontId="6" fillId="0" borderId="1" applyAlignment="1" pivotButton="0" quotePrefix="0" xfId="0">
      <alignment horizontal="right" vertical="center"/>
    </xf>
    <xf numFmtId="172" fontId="6" fillId="0" borderId="1" applyAlignment="1" pivotButton="0" quotePrefix="0" xfId="1">
      <alignment horizontal="right" vertical="center"/>
    </xf>
    <xf numFmtId="171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5" fontId="7" fillId="4" borderId="3" applyAlignment="1" pivotButton="0" quotePrefix="0" xfId="0">
      <alignment horizontal="center" vertical="center"/>
    </xf>
    <xf numFmtId="165" fontId="7" fillId="4" borderId="4" applyAlignment="1" pivotButton="0" quotePrefix="0" xfId="0">
      <alignment horizontal="center" vertical="center"/>
    </xf>
    <xf numFmtId="167" fontId="0" fillId="4" borderId="1" applyAlignment="1" applyProtection="1" pivotButton="0" quotePrefix="0" xfId="0">
      <alignment horizontal="right" vertical="center"/>
      <protection locked="0" hidden="0"/>
    </xf>
    <xf numFmtId="168" fontId="0" fillId="4" borderId="1" applyAlignment="1" pivotButton="0" quotePrefix="0" xfId="0">
      <alignment horizontal="center" vertical="center"/>
    </xf>
    <xf numFmtId="169" fontId="0" fillId="4" borderId="1" applyAlignment="1" pivotButton="0" quotePrefix="0" xfId="0">
      <alignment horizontal="right" vertical="center"/>
    </xf>
    <xf numFmtId="170" fontId="0" fillId="4" borderId="1" applyAlignment="1" pivotButton="0" quotePrefix="0" xfId="0">
      <alignment horizontal="right" vertical="center"/>
    </xf>
    <xf numFmtId="171" fontId="0" fillId="4" borderId="1" applyAlignment="1" pivotButton="0" quotePrefix="0" xfId="0">
      <alignment horizontal="center" vertical="center"/>
    </xf>
    <xf numFmtId="171" fontId="0" fillId="4" borderId="1" applyAlignment="1" pivotButton="0" quotePrefix="0" xfId="0">
      <alignment vertical="center"/>
    </xf>
    <xf numFmtId="171" fontId="12" fillId="4" borderId="0" applyAlignment="1" pivotButton="0" quotePrefix="0" xfId="1">
      <alignment horizontal="left" vertical="center"/>
    </xf>
    <xf numFmtId="171" fontId="1" fillId="4" borderId="0" applyAlignment="1" pivotButton="0" quotePrefix="0" xfId="1">
      <alignment horizontal="right" vertical="center"/>
    </xf>
    <xf numFmtId="172" fontId="6" fillId="4" borderId="1" applyAlignment="1" pivotButton="0" quotePrefix="0" xfId="0">
      <alignment horizontal="right" vertical="center"/>
    </xf>
    <xf numFmtId="172" fontId="6" fillId="4" borderId="1" applyAlignment="1" pivotButton="0" quotePrefix="0" xfId="1">
      <alignment horizontal="right" vertical="center"/>
    </xf>
    <xf numFmtId="171" fontId="6" fillId="4" borderId="1" applyAlignment="1" pivotButton="0" quotePrefix="0" xfId="0">
      <alignment horizontal="right" vertical="center"/>
    </xf>
    <xf numFmtId="171" fontId="6" fillId="4" borderId="1" applyAlignment="1" pivotButton="0" quotePrefix="0" xfId="0">
      <alignment vertical="center"/>
    </xf>
    <xf numFmtId="171" fontId="13" fillId="0" borderId="0" applyAlignment="1" pivotButton="0" quotePrefix="0" xfId="1">
      <alignment horizontal="center" vertical="center" wrapText="1"/>
    </xf>
    <xf numFmtId="164" fontId="0" fillId="5" borderId="5" applyAlignment="1" pivotButton="0" quotePrefix="0" xfId="0">
      <alignment horizontal="center" vertical="center"/>
    </xf>
    <xf numFmtId="165" fontId="0" fillId="5" borderId="6" applyAlignment="1" pivotButton="0" quotePrefix="0" xfId="0">
      <alignment horizontal="center" vertical="center"/>
    </xf>
    <xf numFmtId="167" fontId="14" fillId="5" borderId="7" applyAlignment="1" applyProtection="1" pivotButton="0" quotePrefix="0" xfId="0">
      <alignment horizontal="center" vertical="center" wrapText="1"/>
      <protection locked="0" hidden="0"/>
    </xf>
    <xf numFmtId="168" fontId="14" fillId="5" borderId="7" applyAlignment="1" pivotButton="0" quotePrefix="0" xfId="0">
      <alignment horizontal="center" vertical="center" wrapText="1"/>
    </xf>
    <xf numFmtId="169" fontId="14" fillId="5" borderId="7" applyAlignment="1" pivotButton="0" quotePrefix="0" xfId="0">
      <alignment horizontal="center" vertical="center" wrapText="1"/>
    </xf>
    <xf numFmtId="170" fontId="14" fillId="5" borderId="7" applyAlignment="1" pivotButton="0" quotePrefix="0" xfId="0">
      <alignment horizontal="center" vertical="center" wrapText="1"/>
    </xf>
    <xf numFmtId="171" fontId="14" fillId="3" borderId="7" applyAlignment="1" pivotButton="0" quotePrefix="0" xfId="0">
      <alignment horizontal="center" vertical="center" wrapText="1"/>
    </xf>
    <xf numFmtId="171" fontId="14" fillId="6" borderId="5" applyAlignment="1" pivotButton="0" quotePrefix="0" xfId="1">
      <alignment horizontal="center" vertical="center" wrapText="1"/>
    </xf>
    <xf numFmtId="172" fontId="17" fillId="5" borderId="7" applyAlignment="1" pivotButton="0" quotePrefix="0" xfId="0">
      <alignment horizontal="center" vertical="center" wrapText="1"/>
    </xf>
    <xf numFmtId="172" fontId="17" fillId="5" borderId="7" applyAlignment="1" pivotButton="0" quotePrefix="0" xfId="1">
      <alignment horizontal="center" vertical="center" wrapText="1"/>
    </xf>
    <xf numFmtId="171" fontId="17" fillId="7" borderId="7" applyAlignment="1" pivotButton="0" quotePrefix="0" xfId="0">
      <alignment horizontal="center" vertical="center" wrapText="1"/>
    </xf>
    <xf numFmtId="171" fontId="14" fillId="0" borderId="5" applyAlignment="1" pivotButton="0" quotePrefix="0" xfId="1">
      <alignment horizontal="center" vertical="center" wrapText="1"/>
    </xf>
    <xf numFmtId="173" fontId="14" fillId="0" borderId="9" applyAlignment="1" pivotButton="0" quotePrefix="0" xfId="0">
      <alignment horizontal="center" vertical="center"/>
    </xf>
    <xf numFmtId="164" fontId="0" fillId="8" borderId="0" applyAlignment="1" pivotButton="0" quotePrefix="0" xfId="0">
      <alignment horizontal="center" vertical="center"/>
    </xf>
    <xf numFmtId="165" fontId="0" fillId="8" borderId="0" applyAlignment="1" pivotButton="0" quotePrefix="0" xfId="0">
      <alignment horizontal="left" vertical="center"/>
    </xf>
    <xf numFmtId="167" fontId="0" fillId="8" borderId="1" applyAlignment="1" applyProtection="1" pivotButton="0" quotePrefix="0" xfId="0">
      <alignment horizontal="right" vertical="center"/>
      <protection locked="0" hidden="0"/>
    </xf>
    <xf numFmtId="168" fontId="0" fillId="8" borderId="1" applyAlignment="1" pivotButton="0" quotePrefix="0" xfId="0">
      <alignment horizontal="center" vertical="center"/>
    </xf>
    <xf numFmtId="169" fontId="0" fillId="8" borderId="1" applyAlignment="1" pivotButton="0" quotePrefix="0" xfId="0">
      <alignment horizontal="right" vertical="center"/>
    </xf>
    <xf numFmtId="170" fontId="0" fillId="8" borderId="1" applyAlignment="1" pivotButton="0" quotePrefix="0" xfId="0">
      <alignment horizontal="right" vertical="center"/>
    </xf>
    <xf numFmtId="171" fontId="0" fillId="8" borderId="1" applyAlignment="1" pivotButton="0" quotePrefix="0" xfId="0">
      <alignment horizontal="center" vertical="center"/>
    </xf>
    <xf numFmtId="171" fontId="0" fillId="8" borderId="1" applyAlignment="1" pivotButton="0" quotePrefix="0" xfId="0">
      <alignment vertical="center"/>
    </xf>
    <xf numFmtId="171" fontId="1" fillId="8" borderId="0" applyAlignment="1" pivotButton="0" quotePrefix="1" xfId="1">
      <alignment horizontal="right" vertical="center"/>
    </xf>
    <xf numFmtId="171" fontId="1" fillId="8" borderId="0" applyAlignment="1" pivotButton="0" quotePrefix="0" xfId="1">
      <alignment horizontal="right" vertical="center"/>
    </xf>
    <xf numFmtId="172" fontId="6" fillId="8" borderId="1" applyAlignment="1" pivotButton="0" quotePrefix="0" xfId="0">
      <alignment horizontal="right" vertical="center"/>
    </xf>
    <xf numFmtId="172" fontId="6" fillId="8" borderId="1" applyAlignment="1" pivotButton="0" quotePrefix="0" xfId="1">
      <alignment horizontal="right" vertical="center"/>
    </xf>
    <xf numFmtId="171" fontId="6" fillId="8" borderId="1" applyAlignment="1" pivotButton="0" quotePrefix="0" xfId="0">
      <alignment horizontal="right" vertical="center"/>
    </xf>
    <xf numFmtId="171" fontId="6" fillId="8" borderId="1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3" fontId="0" fillId="8" borderId="0" applyAlignment="1" pivotButton="0" quotePrefix="0" xfId="0">
      <alignment vertical="center"/>
    </xf>
    <xf numFmtId="165" fontId="0" fillId="9" borderId="0" applyAlignment="1" pivotButton="0" quotePrefix="0" xfId="0">
      <alignment horizontal="left" vertical="center"/>
    </xf>
    <xf numFmtId="167" fontId="0" fillId="9" borderId="1" applyAlignment="1" applyProtection="1" pivotButton="0" quotePrefix="0" xfId="0">
      <alignment horizontal="right" vertical="center"/>
      <protection locked="0" hidden="0"/>
    </xf>
    <xf numFmtId="168" fontId="0" fillId="9" borderId="1" applyAlignment="1" pivotButton="0" quotePrefix="0" xfId="0">
      <alignment horizontal="center" vertical="center"/>
    </xf>
    <xf numFmtId="169" fontId="0" fillId="9" borderId="1" applyAlignment="1" pivotButton="0" quotePrefix="0" xfId="0">
      <alignment horizontal="right" vertical="center"/>
    </xf>
    <xf numFmtId="170" fontId="0" fillId="9" borderId="1" applyAlignment="1" pivotButton="0" quotePrefix="0" xfId="0">
      <alignment horizontal="right" vertical="center"/>
    </xf>
    <xf numFmtId="171" fontId="1" fillId="9" borderId="0" applyAlignment="1" pivotButton="0" quotePrefix="0" xfId="1">
      <alignment horizontal="right" vertical="center"/>
    </xf>
    <xf numFmtId="172" fontId="6" fillId="9" borderId="1" applyAlignment="1" pivotButton="0" quotePrefix="0" xfId="0">
      <alignment horizontal="right" vertical="center"/>
    </xf>
    <xf numFmtId="172" fontId="6" fillId="9" borderId="1" applyAlignment="1" pivotButton="0" quotePrefix="0" xfId="1">
      <alignment horizontal="right" vertical="center"/>
    </xf>
    <xf numFmtId="171" fontId="6" fillId="9" borderId="1" applyAlignment="1" pivotButton="0" quotePrefix="0" xfId="0">
      <alignment horizontal="right" vertical="center"/>
    </xf>
    <xf numFmtId="171" fontId="6" fillId="9" borderId="1" applyAlignment="1" pivotButton="0" quotePrefix="0" xfId="0">
      <alignment vertical="center"/>
    </xf>
    <xf numFmtId="171" fontId="1" fillId="0" borderId="1" applyAlignment="1" pivotButton="0" quotePrefix="0" xfId="1">
      <alignment horizontal="right" vertical="center"/>
    </xf>
    <xf numFmtId="172" fontId="6" fillId="0" borderId="0" applyAlignment="1" pivotButton="0" quotePrefix="0" xfId="0">
      <alignment horizontal="right" vertical="center"/>
    </xf>
    <xf numFmtId="172" fontId="6" fillId="0" borderId="0" applyAlignment="1" pivotButton="0" quotePrefix="0" xfId="1">
      <alignment horizontal="right" vertical="center"/>
    </xf>
    <xf numFmtId="164" fontId="0" fillId="0" borderId="0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165" fontId="0" fillId="0" borderId="5" applyAlignment="1" pivotButton="0" quotePrefix="0" xfId="0">
      <alignment horizontal="left" vertical="center"/>
    </xf>
    <xf numFmtId="167" fontId="0" fillId="0" borderId="7" applyAlignment="1" applyProtection="1" pivotButton="0" quotePrefix="0" xfId="0">
      <alignment horizontal="right" vertical="center"/>
      <protection locked="0" hidden="0"/>
    </xf>
    <xf numFmtId="168" fontId="0" fillId="0" borderId="7" applyAlignment="1" pivotButton="0" quotePrefix="0" xfId="0">
      <alignment horizontal="center" vertical="center"/>
    </xf>
    <xf numFmtId="169" fontId="0" fillId="0" borderId="7" applyAlignment="1" pivotButton="0" quotePrefix="0" xfId="0">
      <alignment horizontal="right" vertical="center"/>
    </xf>
    <xf numFmtId="170" fontId="0" fillId="0" borderId="7" applyAlignment="1" pivotButton="0" quotePrefix="0" xfId="0">
      <alignment horizontal="right" vertical="center"/>
    </xf>
    <xf numFmtId="171" fontId="0" fillId="3" borderId="7" applyAlignment="1" pivotButton="0" quotePrefix="0" xfId="0">
      <alignment horizontal="center" vertical="center"/>
    </xf>
    <xf numFmtId="171" fontId="0" fillId="3" borderId="7" applyAlignment="1" pivotButton="0" quotePrefix="0" xfId="0">
      <alignment vertical="center"/>
    </xf>
    <xf numFmtId="171" fontId="1" fillId="0" borderId="5" applyAlignment="1" pivotButton="0" quotePrefix="0" xfId="1">
      <alignment horizontal="right" vertical="center"/>
    </xf>
    <xf numFmtId="172" fontId="6" fillId="0" borderId="7" applyAlignment="1" pivotButton="0" quotePrefix="0" xfId="0">
      <alignment horizontal="right" vertical="center"/>
    </xf>
    <xf numFmtId="172" fontId="6" fillId="0" borderId="7" applyAlignment="1" pivotButton="0" quotePrefix="0" xfId="1">
      <alignment horizontal="right" vertical="center"/>
    </xf>
    <xf numFmtId="171" fontId="6" fillId="0" borderId="7" applyAlignment="1" pivotButton="0" quotePrefix="0" xfId="0">
      <alignment horizontal="right" vertical="center"/>
    </xf>
    <xf numFmtId="171" fontId="6" fillId="0" borderId="7" applyAlignment="1" pivotButton="0" quotePrefix="0" xfId="0">
      <alignment vertical="center"/>
    </xf>
    <xf numFmtId="173" fontId="0" fillId="0" borderId="5" applyAlignment="1" pivotButton="0" quotePrefix="0" xfId="0">
      <alignment vertical="center"/>
    </xf>
    <xf numFmtId="171" fontId="5" fillId="8" borderId="1" applyAlignment="1" pivotButton="0" quotePrefix="0" xfId="0">
      <alignment vertical="center"/>
    </xf>
    <xf numFmtId="172" fontId="6" fillId="8" borderId="0" applyAlignment="1" pivotButton="0" quotePrefix="0" xfId="0">
      <alignment horizontal="right" vertical="center"/>
    </xf>
    <xf numFmtId="172" fontId="6" fillId="8" borderId="0" applyAlignment="1" pivotButton="0" quotePrefix="0" xfId="1">
      <alignment horizontal="right" vertical="center"/>
    </xf>
    <xf numFmtId="171" fontId="1" fillId="8" borderId="1" applyAlignment="1" pivotButton="0" quotePrefix="0" xfId="1">
      <alignment horizontal="right" vertical="center"/>
    </xf>
    <xf numFmtId="171" fontId="6" fillId="8" borderId="0" applyAlignment="1" pivotButton="0" quotePrefix="0" xfId="0">
      <alignment vertical="center"/>
    </xf>
  </cellXfs>
  <cellStyles count="4">
    <cellStyle name="표준" xfId="0" builtinId="0"/>
    <cellStyle name="쉼표 [0]" xfId="1" builtinId="6"/>
    <cellStyle name="표준 9 4" xfId="2"/>
    <cellStyle name="쉼표 [0] 12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Darren choi</author>
  </authors>
  <commentList>
    <comment ref="V23" authorId="0" shapeId="0">
      <text>
        <t>Darren choi:
판가확인요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BP293"/>
  <sheetViews>
    <sheetView tabSelected="1" zoomScale="80" zoomScaleNormal="80" workbookViewId="0">
      <pane xSplit="7" ySplit="3" topLeftCell="H264" activePane="bottomRight" state="frozen"/>
      <selection pane="topRight" activeCell="H1" sqref="H1"/>
      <selection pane="bottomLeft" activeCell="A4" sqref="A4"/>
      <selection pane="bottomRight" activeCell="F185" sqref="F185"/>
    </sheetView>
  </sheetViews>
  <sheetFormatPr baseColWidth="8" defaultRowHeight="17"/>
  <cols>
    <col width="11.08203125" customWidth="1" style="162" min="2" max="2"/>
    <col width="12.25" customWidth="1" style="158" min="3" max="3"/>
    <col width="10.9140625" customWidth="1" style="22" min="4" max="4"/>
    <col width="11.6640625" customWidth="1" style="124" min="5" max="5"/>
    <col width="9.58203125" customWidth="1" style="22" min="6" max="6"/>
    <col width="13.25" customWidth="1" style="162" min="7" max="7"/>
    <col width="22.9140625" customWidth="1" style="162" min="8" max="8"/>
    <col width="11.25" bestFit="1" customWidth="1" style="162" min="13" max="13"/>
    <col width="9.6640625" customWidth="1" style="162" min="14" max="14"/>
    <col width="9.5" customWidth="1" style="162" min="16" max="16"/>
    <col width="13.4140625" bestFit="1" customWidth="1" style="162" min="17" max="17"/>
    <col width="13.4140625" bestFit="1" customWidth="1" style="162" min="19" max="19"/>
    <col width="9.75" customWidth="1" style="162" min="22" max="22"/>
    <col width="14.75" bestFit="1" customWidth="1" style="162" min="23" max="23"/>
    <col width="29.1640625" bestFit="1" customWidth="1" style="162" min="24" max="24"/>
    <col width="8.6640625" customWidth="1" style="22" min="25" max="25"/>
    <col width="11.6640625" bestFit="1" customWidth="1" style="162" min="26" max="26"/>
    <col width="11.08203125" customWidth="1" style="162" min="258" max="258"/>
    <col width="12.25" customWidth="1" style="162" min="259" max="259"/>
    <col width="10.9140625" customWidth="1" style="162" min="260" max="260"/>
    <col width="11.6640625" customWidth="1" style="162" min="261" max="261"/>
    <col width="9.58203125" customWidth="1" style="162" min="262" max="262"/>
    <col width="13.25" customWidth="1" style="162" min="263" max="263"/>
    <col width="22.9140625" customWidth="1" style="162" min="264" max="264"/>
    <col width="11.25" bestFit="1" customWidth="1" style="162" min="269" max="269"/>
    <col width="9.6640625" customWidth="1" style="162" min="270" max="270"/>
    <col width="9.5" customWidth="1" style="162" min="272" max="272"/>
    <col width="13.4140625" bestFit="1" customWidth="1" style="162" min="273" max="273"/>
    <col width="13.4140625" bestFit="1" customWidth="1" style="162" min="275" max="275"/>
    <col width="9.75" customWidth="1" style="162" min="278" max="278"/>
    <col width="14.75" bestFit="1" customWidth="1" style="162" min="279" max="279"/>
    <col width="29.1640625" bestFit="1" customWidth="1" style="162" min="280" max="280"/>
    <col width="11.6640625" bestFit="1" customWidth="1" style="162" min="282" max="282"/>
    <col width="11.08203125" customWidth="1" style="162" min="514" max="514"/>
    <col width="12.25" customWidth="1" style="162" min="515" max="515"/>
    <col width="10.9140625" customWidth="1" style="162" min="516" max="516"/>
    <col width="11.6640625" customWidth="1" style="162" min="517" max="517"/>
    <col width="9.58203125" customWidth="1" style="162" min="518" max="518"/>
    <col width="13.25" customWidth="1" style="162" min="519" max="519"/>
    <col width="22.9140625" customWidth="1" style="162" min="520" max="520"/>
    <col width="11.25" bestFit="1" customWidth="1" style="162" min="525" max="525"/>
    <col width="9.6640625" customWidth="1" style="162" min="526" max="526"/>
    <col width="9.5" customWidth="1" style="162" min="528" max="528"/>
    <col width="13.4140625" bestFit="1" customWidth="1" style="162" min="529" max="529"/>
    <col width="13.4140625" bestFit="1" customWidth="1" style="162" min="531" max="531"/>
    <col width="9.75" customWidth="1" style="162" min="534" max="534"/>
    <col width="14.75" bestFit="1" customWidth="1" style="162" min="535" max="535"/>
    <col width="29.1640625" bestFit="1" customWidth="1" style="162" min="536" max="536"/>
    <col width="11.6640625" bestFit="1" customWidth="1" style="162" min="538" max="538"/>
    <col width="11.08203125" customWidth="1" style="162" min="770" max="770"/>
    <col width="12.25" customWidth="1" style="162" min="771" max="771"/>
    <col width="10.9140625" customWidth="1" style="162" min="772" max="772"/>
    <col width="11.6640625" customWidth="1" style="162" min="773" max="773"/>
    <col width="9.58203125" customWidth="1" style="162" min="774" max="774"/>
    <col width="13.25" customWidth="1" style="162" min="775" max="775"/>
    <col width="22.9140625" customWidth="1" style="162" min="776" max="776"/>
    <col width="11.25" bestFit="1" customWidth="1" style="162" min="781" max="781"/>
    <col width="9.6640625" customWidth="1" style="162" min="782" max="782"/>
    <col width="9.5" customWidth="1" style="162" min="784" max="784"/>
    <col width="13.4140625" bestFit="1" customWidth="1" style="162" min="785" max="785"/>
    <col width="13.4140625" bestFit="1" customWidth="1" style="162" min="787" max="787"/>
    <col width="9.75" customWidth="1" style="162" min="790" max="790"/>
    <col width="14.75" bestFit="1" customWidth="1" style="162" min="791" max="791"/>
    <col width="29.1640625" bestFit="1" customWidth="1" style="162" min="792" max="792"/>
    <col width="11.6640625" bestFit="1" customWidth="1" style="162" min="794" max="794"/>
    <col width="11.08203125" customWidth="1" style="162" min="1026" max="1026"/>
    <col width="12.25" customWidth="1" style="162" min="1027" max="1027"/>
    <col width="10.9140625" customWidth="1" style="162" min="1028" max="1028"/>
    <col width="11.6640625" customWidth="1" style="162" min="1029" max="1029"/>
    <col width="9.58203125" customWidth="1" style="162" min="1030" max="1030"/>
    <col width="13.25" customWidth="1" style="162" min="1031" max="1031"/>
    <col width="22.9140625" customWidth="1" style="162" min="1032" max="1032"/>
    <col width="11.25" bestFit="1" customWidth="1" style="162" min="1037" max="1037"/>
    <col width="9.6640625" customWidth="1" style="162" min="1038" max="1038"/>
    <col width="9.5" customWidth="1" style="162" min="1040" max="1040"/>
    <col width="13.4140625" bestFit="1" customWidth="1" style="162" min="1041" max="1041"/>
    <col width="13.4140625" bestFit="1" customWidth="1" style="162" min="1043" max="1043"/>
    <col width="9.75" customWidth="1" style="162" min="1046" max="1046"/>
    <col width="14.75" bestFit="1" customWidth="1" style="162" min="1047" max="1047"/>
    <col width="29.1640625" bestFit="1" customWidth="1" style="162" min="1048" max="1048"/>
    <col width="11.6640625" bestFit="1" customWidth="1" style="162" min="1050" max="1050"/>
    <col width="11.08203125" customWidth="1" style="162" min="1282" max="1282"/>
    <col width="12.25" customWidth="1" style="162" min="1283" max="1283"/>
    <col width="10.9140625" customWidth="1" style="162" min="1284" max="1284"/>
    <col width="11.6640625" customWidth="1" style="162" min="1285" max="1285"/>
    <col width="9.58203125" customWidth="1" style="162" min="1286" max="1286"/>
    <col width="13.25" customWidth="1" style="162" min="1287" max="1287"/>
    <col width="22.9140625" customWidth="1" style="162" min="1288" max="1288"/>
    <col width="11.25" bestFit="1" customWidth="1" style="162" min="1293" max="1293"/>
    <col width="9.6640625" customWidth="1" style="162" min="1294" max="1294"/>
    <col width="9.5" customWidth="1" style="162" min="1296" max="1296"/>
    <col width="13.4140625" bestFit="1" customWidth="1" style="162" min="1297" max="1297"/>
    <col width="13.4140625" bestFit="1" customWidth="1" style="162" min="1299" max="1299"/>
    <col width="9.75" customWidth="1" style="162" min="1302" max="1302"/>
    <col width="14.75" bestFit="1" customWidth="1" style="162" min="1303" max="1303"/>
    <col width="29.1640625" bestFit="1" customWidth="1" style="162" min="1304" max="1304"/>
    <col width="11.6640625" bestFit="1" customWidth="1" style="162" min="1306" max="1306"/>
    <col width="11.08203125" customWidth="1" style="162" min="1538" max="1538"/>
    <col width="12.25" customWidth="1" style="162" min="1539" max="1539"/>
    <col width="10.9140625" customWidth="1" style="162" min="1540" max="1540"/>
    <col width="11.6640625" customWidth="1" style="162" min="1541" max="1541"/>
    <col width="9.58203125" customWidth="1" style="162" min="1542" max="1542"/>
    <col width="13.25" customWidth="1" style="162" min="1543" max="1543"/>
    <col width="22.9140625" customWidth="1" style="162" min="1544" max="1544"/>
    <col width="11.25" bestFit="1" customWidth="1" style="162" min="1549" max="1549"/>
    <col width="9.6640625" customWidth="1" style="162" min="1550" max="1550"/>
    <col width="9.5" customWidth="1" style="162" min="1552" max="1552"/>
    <col width="13.4140625" bestFit="1" customWidth="1" style="162" min="1553" max="1553"/>
    <col width="13.4140625" bestFit="1" customWidth="1" style="162" min="1555" max="1555"/>
    <col width="9.75" customWidth="1" style="162" min="1558" max="1558"/>
    <col width="14.75" bestFit="1" customWidth="1" style="162" min="1559" max="1559"/>
    <col width="29.1640625" bestFit="1" customWidth="1" style="162" min="1560" max="1560"/>
    <col width="11.6640625" bestFit="1" customWidth="1" style="162" min="1562" max="1562"/>
    <col width="11.08203125" customWidth="1" style="162" min="1794" max="1794"/>
    <col width="12.25" customWidth="1" style="162" min="1795" max="1795"/>
    <col width="10.9140625" customWidth="1" style="162" min="1796" max="1796"/>
    <col width="11.6640625" customWidth="1" style="162" min="1797" max="1797"/>
    <col width="9.58203125" customWidth="1" style="162" min="1798" max="1798"/>
    <col width="13.25" customWidth="1" style="162" min="1799" max="1799"/>
    <col width="22.9140625" customWidth="1" style="162" min="1800" max="1800"/>
    <col width="11.25" bestFit="1" customWidth="1" style="162" min="1805" max="1805"/>
    <col width="9.6640625" customWidth="1" style="162" min="1806" max="1806"/>
    <col width="9.5" customWidth="1" style="162" min="1808" max="1808"/>
    <col width="13.4140625" bestFit="1" customWidth="1" style="162" min="1809" max="1809"/>
    <col width="13.4140625" bestFit="1" customWidth="1" style="162" min="1811" max="1811"/>
    <col width="9.75" customWidth="1" style="162" min="1814" max="1814"/>
    <col width="14.75" bestFit="1" customWidth="1" style="162" min="1815" max="1815"/>
    <col width="29.1640625" bestFit="1" customWidth="1" style="162" min="1816" max="1816"/>
    <col width="11.6640625" bestFit="1" customWidth="1" style="162" min="1818" max="1818"/>
    <col width="11.08203125" customWidth="1" style="162" min="2050" max="2050"/>
    <col width="12.25" customWidth="1" style="162" min="2051" max="2051"/>
    <col width="10.9140625" customWidth="1" style="162" min="2052" max="2052"/>
    <col width="11.6640625" customWidth="1" style="162" min="2053" max="2053"/>
    <col width="9.58203125" customWidth="1" style="162" min="2054" max="2054"/>
    <col width="13.25" customWidth="1" style="162" min="2055" max="2055"/>
    <col width="22.9140625" customWidth="1" style="162" min="2056" max="2056"/>
    <col width="11.25" bestFit="1" customWidth="1" style="162" min="2061" max="2061"/>
    <col width="9.6640625" customWidth="1" style="162" min="2062" max="2062"/>
    <col width="9.5" customWidth="1" style="162" min="2064" max="2064"/>
    <col width="13.4140625" bestFit="1" customWidth="1" style="162" min="2065" max="2065"/>
    <col width="13.4140625" bestFit="1" customWidth="1" style="162" min="2067" max="2067"/>
    <col width="9.75" customWidth="1" style="162" min="2070" max="2070"/>
    <col width="14.75" bestFit="1" customWidth="1" style="162" min="2071" max="2071"/>
    <col width="29.1640625" bestFit="1" customWidth="1" style="162" min="2072" max="2072"/>
    <col width="11.6640625" bestFit="1" customWidth="1" style="162" min="2074" max="2074"/>
    <col width="11.08203125" customWidth="1" style="162" min="2306" max="2306"/>
    <col width="12.25" customWidth="1" style="162" min="2307" max="2307"/>
    <col width="10.9140625" customWidth="1" style="162" min="2308" max="2308"/>
    <col width="11.6640625" customWidth="1" style="162" min="2309" max="2309"/>
    <col width="9.58203125" customWidth="1" style="162" min="2310" max="2310"/>
    <col width="13.25" customWidth="1" style="162" min="2311" max="2311"/>
    <col width="22.9140625" customWidth="1" style="162" min="2312" max="2312"/>
    <col width="11.25" bestFit="1" customWidth="1" style="162" min="2317" max="2317"/>
    <col width="9.6640625" customWidth="1" style="162" min="2318" max="2318"/>
    <col width="9.5" customWidth="1" style="162" min="2320" max="2320"/>
    <col width="13.4140625" bestFit="1" customWidth="1" style="162" min="2321" max="2321"/>
    <col width="13.4140625" bestFit="1" customWidth="1" style="162" min="2323" max="2323"/>
    <col width="9.75" customWidth="1" style="162" min="2326" max="2326"/>
    <col width="14.75" bestFit="1" customWidth="1" style="162" min="2327" max="2327"/>
    <col width="29.1640625" bestFit="1" customWidth="1" style="162" min="2328" max="2328"/>
    <col width="11.6640625" bestFit="1" customWidth="1" style="162" min="2330" max="2330"/>
    <col width="11.08203125" customWidth="1" style="162" min="2562" max="2562"/>
    <col width="12.25" customWidth="1" style="162" min="2563" max="2563"/>
    <col width="10.9140625" customWidth="1" style="162" min="2564" max="2564"/>
    <col width="11.6640625" customWidth="1" style="162" min="2565" max="2565"/>
    <col width="9.58203125" customWidth="1" style="162" min="2566" max="2566"/>
    <col width="13.25" customWidth="1" style="162" min="2567" max="2567"/>
    <col width="22.9140625" customWidth="1" style="162" min="2568" max="2568"/>
    <col width="11.25" bestFit="1" customWidth="1" style="162" min="2573" max="2573"/>
    <col width="9.6640625" customWidth="1" style="162" min="2574" max="2574"/>
    <col width="9.5" customWidth="1" style="162" min="2576" max="2576"/>
    <col width="13.4140625" bestFit="1" customWidth="1" style="162" min="2577" max="2577"/>
    <col width="13.4140625" bestFit="1" customWidth="1" style="162" min="2579" max="2579"/>
    <col width="9.75" customWidth="1" style="162" min="2582" max="2582"/>
    <col width="14.75" bestFit="1" customWidth="1" style="162" min="2583" max="2583"/>
    <col width="29.1640625" bestFit="1" customWidth="1" style="162" min="2584" max="2584"/>
    <col width="11.6640625" bestFit="1" customWidth="1" style="162" min="2586" max="2586"/>
    <col width="11.08203125" customWidth="1" style="162" min="2818" max="2818"/>
    <col width="12.25" customWidth="1" style="162" min="2819" max="2819"/>
    <col width="10.9140625" customWidth="1" style="162" min="2820" max="2820"/>
    <col width="11.6640625" customWidth="1" style="162" min="2821" max="2821"/>
    <col width="9.58203125" customWidth="1" style="162" min="2822" max="2822"/>
    <col width="13.25" customWidth="1" style="162" min="2823" max="2823"/>
    <col width="22.9140625" customWidth="1" style="162" min="2824" max="2824"/>
    <col width="11.25" bestFit="1" customWidth="1" style="162" min="2829" max="2829"/>
    <col width="9.6640625" customWidth="1" style="162" min="2830" max="2830"/>
    <col width="9.5" customWidth="1" style="162" min="2832" max="2832"/>
    <col width="13.4140625" bestFit="1" customWidth="1" style="162" min="2833" max="2833"/>
    <col width="13.4140625" bestFit="1" customWidth="1" style="162" min="2835" max="2835"/>
    <col width="9.75" customWidth="1" style="162" min="2838" max="2838"/>
    <col width="14.75" bestFit="1" customWidth="1" style="162" min="2839" max="2839"/>
    <col width="29.1640625" bestFit="1" customWidth="1" style="162" min="2840" max="2840"/>
    <col width="11.6640625" bestFit="1" customWidth="1" style="162" min="2842" max="2842"/>
    <col width="11.08203125" customWidth="1" style="162" min="3074" max="3074"/>
    <col width="12.25" customWidth="1" style="162" min="3075" max="3075"/>
    <col width="10.9140625" customWidth="1" style="162" min="3076" max="3076"/>
    <col width="11.6640625" customWidth="1" style="162" min="3077" max="3077"/>
    <col width="9.58203125" customWidth="1" style="162" min="3078" max="3078"/>
    <col width="13.25" customWidth="1" style="162" min="3079" max="3079"/>
    <col width="22.9140625" customWidth="1" style="162" min="3080" max="3080"/>
    <col width="11.25" bestFit="1" customWidth="1" style="162" min="3085" max="3085"/>
    <col width="9.6640625" customWidth="1" style="162" min="3086" max="3086"/>
    <col width="9.5" customWidth="1" style="162" min="3088" max="3088"/>
    <col width="13.4140625" bestFit="1" customWidth="1" style="162" min="3089" max="3089"/>
    <col width="13.4140625" bestFit="1" customWidth="1" style="162" min="3091" max="3091"/>
    <col width="9.75" customWidth="1" style="162" min="3094" max="3094"/>
    <col width="14.75" bestFit="1" customWidth="1" style="162" min="3095" max="3095"/>
    <col width="29.1640625" bestFit="1" customWidth="1" style="162" min="3096" max="3096"/>
    <col width="11.6640625" bestFit="1" customWidth="1" style="162" min="3098" max="3098"/>
    <col width="11.08203125" customWidth="1" style="162" min="3330" max="3330"/>
    <col width="12.25" customWidth="1" style="162" min="3331" max="3331"/>
    <col width="10.9140625" customWidth="1" style="162" min="3332" max="3332"/>
    <col width="11.6640625" customWidth="1" style="162" min="3333" max="3333"/>
    <col width="9.58203125" customWidth="1" style="162" min="3334" max="3334"/>
    <col width="13.25" customWidth="1" style="162" min="3335" max="3335"/>
    <col width="22.9140625" customWidth="1" style="162" min="3336" max="3336"/>
    <col width="11.25" bestFit="1" customWidth="1" style="162" min="3341" max="3341"/>
    <col width="9.6640625" customWidth="1" style="162" min="3342" max="3342"/>
    <col width="9.5" customWidth="1" style="162" min="3344" max="3344"/>
    <col width="13.4140625" bestFit="1" customWidth="1" style="162" min="3345" max="3345"/>
    <col width="13.4140625" bestFit="1" customWidth="1" style="162" min="3347" max="3347"/>
    <col width="9.75" customWidth="1" style="162" min="3350" max="3350"/>
    <col width="14.75" bestFit="1" customWidth="1" style="162" min="3351" max="3351"/>
    <col width="29.1640625" bestFit="1" customWidth="1" style="162" min="3352" max="3352"/>
    <col width="11.6640625" bestFit="1" customWidth="1" style="162" min="3354" max="3354"/>
    <col width="11.08203125" customWidth="1" style="162" min="3586" max="3586"/>
    <col width="12.25" customWidth="1" style="162" min="3587" max="3587"/>
    <col width="10.9140625" customWidth="1" style="162" min="3588" max="3588"/>
    <col width="11.6640625" customWidth="1" style="162" min="3589" max="3589"/>
    <col width="9.58203125" customWidth="1" style="162" min="3590" max="3590"/>
    <col width="13.25" customWidth="1" style="162" min="3591" max="3591"/>
    <col width="22.9140625" customWidth="1" style="162" min="3592" max="3592"/>
    <col width="11.25" bestFit="1" customWidth="1" style="162" min="3597" max="3597"/>
    <col width="9.6640625" customWidth="1" style="162" min="3598" max="3598"/>
    <col width="9.5" customWidth="1" style="162" min="3600" max="3600"/>
    <col width="13.4140625" bestFit="1" customWidth="1" style="162" min="3601" max="3601"/>
    <col width="13.4140625" bestFit="1" customWidth="1" style="162" min="3603" max="3603"/>
    <col width="9.75" customWidth="1" style="162" min="3606" max="3606"/>
    <col width="14.75" bestFit="1" customWidth="1" style="162" min="3607" max="3607"/>
    <col width="29.1640625" bestFit="1" customWidth="1" style="162" min="3608" max="3608"/>
    <col width="11.6640625" bestFit="1" customWidth="1" style="162" min="3610" max="3610"/>
    <col width="11.08203125" customWidth="1" style="162" min="3842" max="3842"/>
    <col width="12.25" customWidth="1" style="162" min="3843" max="3843"/>
    <col width="10.9140625" customWidth="1" style="162" min="3844" max="3844"/>
    <col width="11.6640625" customWidth="1" style="162" min="3845" max="3845"/>
    <col width="9.58203125" customWidth="1" style="162" min="3846" max="3846"/>
    <col width="13.25" customWidth="1" style="162" min="3847" max="3847"/>
    <col width="22.9140625" customWidth="1" style="162" min="3848" max="3848"/>
    <col width="11.25" bestFit="1" customWidth="1" style="162" min="3853" max="3853"/>
    <col width="9.6640625" customWidth="1" style="162" min="3854" max="3854"/>
    <col width="9.5" customWidth="1" style="162" min="3856" max="3856"/>
    <col width="13.4140625" bestFit="1" customWidth="1" style="162" min="3857" max="3857"/>
    <col width="13.4140625" bestFit="1" customWidth="1" style="162" min="3859" max="3859"/>
    <col width="9.75" customWidth="1" style="162" min="3862" max="3862"/>
    <col width="14.75" bestFit="1" customWidth="1" style="162" min="3863" max="3863"/>
    <col width="29.1640625" bestFit="1" customWidth="1" style="162" min="3864" max="3864"/>
    <col width="11.6640625" bestFit="1" customWidth="1" style="162" min="3866" max="3866"/>
    <col width="11.08203125" customWidth="1" style="162" min="4098" max="4098"/>
    <col width="12.25" customWidth="1" style="162" min="4099" max="4099"/>
    <col width="10.9140625" customWidth="1" style="162" min="4100" max="4100"/>
    <col width="11.6640625" customWidth="1" style="162" min="4101" max="4101"/>
    <col width="9.58203125" customWidth="1" style="162" min="4102" max="4102"/>
    <col width="13.25" customWidth="1" style="162" min="4103" max="4103"/>
    <col width="22.9140625" customWidth="1" style="162" min="4104" max="4104"/>
    <col width="11.25" bestFit="1" customWidth="1" style="162" min="4109" max="4109"/>
    <col width="9.6640625" customWidth="1" style="162" min="4110" max="4110"/>
    <col width="9.5" customWidth="1" style="162" min="4112" max="4112"/>
    <col width="13.4140625" bestFit="1" customWidth="1" style="162" min="4113" max="4113"/>
    <col width="13.4140625" bestFit="1" customWidth="1" style="162" min="4115" max="4115"/>
    <col width="9.75" customWidth="1" style="162" min="4118" max="4118"/>
    <col width="14.75" bestFit="1" customWidth="1" style="162" min="4119" max="4119"/>
    <col width="29.1640625" bestFit="1" customWidth="1" style="162" min="4120" max="4120"/>
    <col width="11.6640625" bestFit="1" customWidth="1" style="162" min="4122" max="4122"/>
    <col width="11.08203125" customWidth="1" style="162" min="4354" max="4354"/>
    <col width="12.25" customWidth="1" style="162" min="4355" max="4355"/>
    <col width="10.9140625" customWidth="1" style="162" min="4356" max="4356"/>
    <col width="11.6640625" customWidth="1" style="162" min="4357" max="4357"/>
    <col width="9.58203125" customWidth="1" style="162" min="4358" max="4358"/>
    <col width="13.25" customWidth="1" style="162" min="4359" max="4359"/>
    <col width="22.9140625" customWidth="1" style="162" min="4360" max="4360"/>
    <col width="11.25" bestFit="1" customWidth="1" style="162" min="4365" max="4365"/>
    <col width="9.6640625" customWidth="1" style="162" min="4366" max="4366"/>
    <col width="9.5" customWidth="1" style="162" min="4368" max="4368"/>
    <col width="13.4140625" bestFit="1" customWidth="1" style="162" min="4369" max="4369"/>
    <col width="13.4140625" bestFit="1" customWidth="1" style="162" min="4371" max="4371"/>
    <col width="9.75" customWidth="1" style="162" min="4374" max="4374"/>
    <col width="14.75" bestFit="1" customWidth="1" style="162" min="4375" max="4375"/>
    <col width="29.1640625" bestFit="1" customWidth="1" style="162" min="4376" max="4376"/>
    <col width="11.6640625" bestFit="1" customWidth="1" style="162" min="4378" max="4378"/>
    <col width="11.08203125" customWidth="1" style="162" min="4610" max="4610"/>
    <col width="12.25" customWidth="1" style="162" min="4611" max="4611"/>
    <col width="10.9140625" customWidth="1" style="162" min="4612" max="4612"/>
    <col width="11.6640625" customWidth="1" style="162" min="4613" max="4613"/>
    <col width="9.58203125" customWidth="1" style="162" min="4614" max="4614"/>
    <col width="13.25" customWidth="1" style="162" min="4615" max="4615"/>
    <col width="22.9140625" customWidth="1" style="162" min="4616" max="4616"/>
    <col width="11.25" bestFit="1" customWidth="1" style="162" min="4621" max="4621"/>
    <col width="9.6640625" customWidth="1" style="162" min="4622" max="4622"/>
    <col width="9.5" customWidth="1" style="162" min="4624" max="4624"/>
    <col width="13.4140625" bestFit="1" customWidth="1" style="162" min="4625" max="4625"/>
    <col width="13.4140625" bestFit="1" customWidth="1" style="162" min="4627" max="4627"/>
    <col width="9.75" customWidth="1" style="162" min="4630" max="4630"/>
    <col width="14.75" bestFit="1" customWidth="1" style="162" min="4631" max="4631"/>
    <col width="29.1640625" bestFit="1" customWidth="1" style="162" min="4632" max="4632"/>
    <col width="11.6640625" bestFit="1" customWidth="1" style="162" min="4634" max="4634"/>
    <col width="11.08203125" customWidth="1" style="162" min="4866" max="4866"/>
    <col width="12.25" customWidth="1" style="162" min="4867" max="4867"/>
    <col width="10.9140625" customWidth="1" style="162" min="4868" max="4868"/>
    <col width="11.6640625" customWidth="1" style="162" min="4869" max="4869"/>
    <col width="9.58203125" customWidth="1" style="162" min="4870" max="4870"/>
    <col width="13.25" customWidth="1" style="162" min="4871" max="4871"/>
    <col width="22.9140625" customWidth="1" style="162" min="4872" max="4872"/>
    <col width="11.25" bestFit="1" customWidth="1" style="162" min="4877" max="4877"/>
    <col width="9.6640625" customWidth="1" style="162" min="4878" max="4878"/>
    <col width="9.5" customWidth="1" style="162" min="4880" max="4880"/>
    <col width="13.4140625" bestFit="1" customWidth="1" style="162" min="4881" max="4881"/>
    <col width="13.4140625" bestFit="1" customWidth="1" style="162" min="4883" max="4883"/>
    <col width="9.75" customWidth="1" style="162" min="4886" max="4886"/>
    <col width="14.75" bestFit="1" customWidth="1" style="162" min="4887" max="4887"/>
    <col width="29.1640625" bestFit="1" customWidth="1" style="162" min="4888" max="4888"/>
    <col width="11.6640625" bestFit="1" customWidth="1" style="162" min="4890" max="4890"/>
    <col width="11.08203125" customWidth="1" style="162" min="5122" max="5122"/>
    <col width="12.25" customWidth="1" style="162" min="5123" max="5123"/>
    <col width="10.9140625" customWidth="1" style="162" min="5124" max="5124"/>
    <col width="11.6640625" customWidth="1" style="162" min="5125" max="5125"/>
    <col width="9.58203125" customWidth="1" style="162" min="5126" max="5126"/>
    <col width="13.25" customWidth="1" style="162" min="5127" max="5127"/>
    <col width="22.9140625" customWidth="1" style="162" min="5128" max="5128"/>
    <col width="11.25" bestFit="1" customWidth="1" style="162" min="5133" max="5133"/>
    <col width="9.6640625" customWidth="1" style="162" min="5134" max="5134"/>
    <col width="9.5" customWidth="1" style="162" min="5136" max="5136"/>
    <col width="13.4140625" bestFit="1" customWidth="1" style="162" min="5137" max="5137"/>
    <col width="13.4140625" bestFit="1" customWidth="1" style="162" min="5139" max="5139"/>
    <col width="9.75" customWidth="1" style="162" min="5142" max="5142"/>
    <col width="14.75" bestFit="1" customWidth="1" style="162" min="5143" max="5143"/>
    <col width="29.1640625" bestFit="1" customWidth="1" style="162" min="5144" max="5144"/>
    <col width="11.6640625" bestFit="1" customWidth="1" style="162" min="5146" max="5146"/>
    <col width="11.08203125" customWidth="1" style="162" min="5378" max="5378"/>
    <col width="12.25" customWidth="1" style="162" min="5379" max="5379"/>
    <col width="10.9140625" customWidth="1" style="162" min="5380" max="5380"/>
    <col width="11.6640625" customWidth="1" style="162" min="5381" max="5381"/>
    <col width="9.58203125" customWidth="1" style="162" min="5382" max="5382"/>
    <col width="13.25" customWidth="1" style="162" min="5383" max="5383"/>
    <col width="22.9140625" customWidth="1" style="162" min="5384" max="5384"/>
    <col width="11.25" bestFit="1" customWidth="1" style="162" min="5389" max="5389"/>
    <col width="9.6640625" customWidth="1" style="162" min="5390" max="5390"/>
    <col width="9.5" customWidth="1" style="162" min="5392" max="5392"/>
    <col width="13.4140625" bestFit="1" customWidth="1" style="162" min="5393" max="5393"/>
    <col width="13.4140625" bestFit="1" customWidth="1" style="162" min="5395" max="5395"/>
    <col width="9.75" customWidth="1" style="162" min="5398" max="5398"/>
    <col width="14.75" bestFit="1" customWidth="1" style="162" min="5399" max="5399"/>
    <col width="29.1640625" bestFit="1" customWidth="1" style="162" min="5400" max="5400"/>
    <col width="11.6640625" bestFit="1" customWidth="1" style="162" min="5402" max="5402"/>
    <col width="11.08203125" customWidth="1" style="162" min="5634" max="5634"/>
    <col width="12.25" customWidth="1" style="162" min="5635" max="5635"/>
    <col width="10.9140625" customWidth="1" style="162" min="5636" max="5636"/>
    <col width="11.6640625" customWidth="1" style="162" min="5637" max="5637"/>
    <col width="9.58203125" customWidth="1" style="162" min="5638" max="5638"/>
    <col width="13.25" customWidth="1" style="162" min="5639" max="5639"/>
    <col width="22.9140625" customWidth="1" style="162" min="5640" max="5640"/>
    <col width="11.25" bestFit="1" customWidth="1" style="162" min="5645" max="5645"/>
    <col width="9.6640625" customWidth="1" style="162" min="5646" max="5646"/>
    <col width="9.5" customWidth="1" style="162" min="5648" max="5648"/>
    <col width="13.4140625" bestFit="1" customWidth="1" style="162" min="5649" max="5649"/>
    <col width="13.4140625" bestFit="1" customWidth="1" style="162" min="5651" max="5651"/>
    <col width="9.75" customWidth="1" style="162" min="5654" max="5654"/>
    <col width="14.75" bestFit="1" customWidth="1" style="162" min="5655" max="5655"/>
    <col width="29.1640625" bestFit="1" customWidth="1" style="162" min="5656" max="5656"/>
    <col width="11.6640625" bestFit="1" customWidth="1" style="162" min="5658" max="5658"/>
    <col width="11.08203125" customWidth="1" style="162" min="5890" max="5890"/>
    <col width="12.25" customWidth="1" style="162" min="5891" max="5891"/>
    <col width="10.9140625" customWidth="1" style="162" min="5892" max="5892"/>
    <col width="11.6640625" customWidth="1" style="162" min="5893" max="5893"/>
    <col width="9.58203125" customWidth="1" style="162" min="5894" max="5894"/>
    <col width="13.25" customWidth="1" style="162" min="5895" max="5895"/>
    <col width="22.9140625" customWidth="1" style="162" min="5896" max="5896"/>
    <col width="11.25" bestFit="1" customWidth="1" style="162" min="5901" max="5901"/>
    <col width="9.6640625" customWidth="1" style="162" min="5902" max="5902"/>
    <col width="9.5" customWidth="1" style="162" min="5904" max="5904"/>
    <col width="13.4140625" bestFit="1" customWidth="1" style="162" min="5905" max="5905"/>
    <col width="13.4140625" bestFit="1" customWidth="1" style="162" min="5907" max="5907"/>
    <col width="9.75" customWidth="1" style="162" min="5910" max="5910"/>
    <col width="14.75" bestFit="1" customWidth="1" style="162" min="5911" max="5911"/>
    <col width="29.1640625" bestFit="1" customWidth="1" style="162" min="5912" max="5912"/>
    <col width="11.6640625" bestFit="1" customWidth="1" style="162" min="5914" max="5914"/>
    <col width="11.08203125" customWidth="1" style="162" min="6146" max="6146"/>
    <col width="12.25" customWidth="1" style="162" min="6147" max="6147"/>
    <col width="10.9140625" customWidth="1" style="162" min="6148" max="6148"/>
    <col width="11.6640625" customWidth="1" style="162" min="6149" max="6149"/>
    <col width="9.58203125" customWidth="1" style="162" min="6150" max="6150"/>
    <col width="13.25" customWidth="1" style="162" min="6151" max="6151"/>
    <col width="22.9140625" customWidth="1" style="162" min="6152" max="6152"/>
    <col width="11.25" bestFit="1" customWidth="1" style="162" min="6157" max="6157"/>
    <col width="9.6640625" customWidth="1" style="162" min="6158" max="6158"/>
    <col width="9.5" customWidth="1" style="162" min="6160" max="6160"/>
    <col width="13.4140625" bestFit="1" customWidth="1" style="162" min="6161" max="6161"/>
    <col width="13.4140625" bestFit="1" customWidth="1" style="162" min="6163" max="6163"/>
    <col width="9.75" customWidth="1" style="162" min="6166" max="6166"/>
    <col width="14.75" bestFit="1" customWidth="1" style="162" min="6167" max="6167"/>
    <col width="29.1640625" bestFit="1" customWidth="1" style="162" min="6168" max="6168"/>
    <col width="11.6640625" bestFit="1" customWidth="1" style="162" min="6170" max="6170"/>
    <col width="11.08203125" customWidth="1" style="162" min="6402" max="6402"/>
    <col width="12.25" customWidth="1" style="162" min="6403" max="6403"/>
    <col width="10.9140625" customWidth="1" style="162" min="6404" max="6404"/>
    <col width="11.6640625" customWidth="1" style="162" min="6405" max="6405"/>
    <col width="9.58203125" customWidth="1" style="162" min="6406" max="6406"/>
    <col width="13.25" customWidth="1" style="162" min="6407" max="6407"/>
    <col width="22.9140625" customWidth="1" style="162" min="6408" max="6408"/>
    <col width="11.25" bestFit="1" customWidth="1" style="162" min="6413" max="6413"/>
    <col width="9.6640625" customWidth="1" style="162" min="6414" max="6414"/>
    <col width="9.5" customWidth="1" style="162" min="6416" max="6416"/>
    <col width="13.4140625" bestFit="1" customWidth="1" style="162" min="6417" max="6417"/>
    <col width="13.4140625" bestFit="1" customWidth="1" style="162" min="6419" max="6419"/>
    <col width="9.75" customWidth="1" style="162" min="6422" max="6422"/>
    <col width="14.75" bestFit="1" customWidth="1" style="162" min="6423" max="6423"/>
    <col width="29.1640625" bestFit="1" customWidth="1" style="162" min="6424" max="6424"/>
    <col width="11.6640625" bestFit="1" customWidth="1" style="162" min="6426" max="6426"/>
    <col width="11.08203125" customWidth="1" style="162" min="6658" max="6658"/>
    <col width="12.25" customWidth="1" style="162" min="6659" max="6659"/>
    <col width="10.9140625" customWidth="1" style="162" min="6660" max="6660"/>
    <col width="11.6640625" customWidth="1" style="162" min="6661" max="6661"/>
    <col width="9.58203125" customWidth="1" style="162" min="6662" max="6662"/>
    <col width="13.25" customWidth="1" style="162" min="6663" max="6663"/>
    <col width="22.9140625" customWidth="1" style="162" min="6664" max="6664"/>
    <col width="11.25" bestFit="1" customWidth="1" style="162" min="6669" max="6669"/>
    <col width="9.6640625" customWidth="1" style="162" min="6670" max="6670"/>
    <col width="9.5" customWidth="1" style="162" min="6672" max="6672"/>
    <col width="13.4140625" bestFit="1" customWidth="1" style="162" min="6673" max="6673"/>
    <col width="13.4140625" bestFit="1" customWidth="1" style="162" min="6675" max="6675"/>
    <col width="9.75" customWidth="1" style="162" min="6678" max="6678"/>
    <col width="14.75" bestFit="1" customWidth="1" style="162" min="6679" max="6679"/>
    <col width="29.1640625" bestFit="1" customWidth="1" style="162" min="6680" max="6680"/>
    <col width="11.6640625" bestFit="1" customWidth="1" style="162" min="6682" max="6682"/>
    <col width="11.08203125" customWidth="1" style="162" min="6914" max="6914"/>
    <col width="12.25" customWidth="1" style="162" min="6915" max="6915"/>
    <col width="10.9140625" customWidth="1" style="162" min="6916" max="6916"/>
    <col width="11.6640625" customWidth="1" style="162" min="6917" max="6917"/>
    <col width="9.58203125" customWidth="1" style="162" min="6918" max="6918"/>
    <col width="13.25" customWidth="1" style="162" min="6919" max="6919"/>
    <col width="22.9140625" customWidth="1" style="162" min="6920" max="6920"/>
    <col width="11.25" bestFit="1" customWidth="1" style="162" min="6925" max="6925"/>
    <col width="9.6640625" customWidth="1" style="162" min="6926" max="6926"/>
    <col width="9.5" customWidth="1" style="162" min="6928" max="6928"/>
    <col width="13.4140625" bestFit="1" customWidth="1" style="162" min="6929" max="6929"/>
    <col width="13.4140625" bestFit="1" customWidth="1" style="162" min="6931" max="6931"/>
    <col width="9.75" customWidth="1" style="162" min="6934" max="6934"/>
    <col width="14.75" bestFit="1" customWidth="1" style="162" min="6935" max="6935"/>
    <col width="29.1640625" bestFit="1" customWidth="1" style="162" min="6936" max="6936"/>
    <col width="11.6640625" bestFit="1" customWidth="1" style="162" min="6938" max="6938"/>
    <col width="11.08203125" customWidth="1" style="162" min="7170" max="7170"/>
    <col width="12.25" customWidth="1" style="162" min="7171" max="7171"/>
    <col width="10.9140625" customWidth="1" style="162" min="7172" max="7172"/>
    <col width="11.6640625" customWidth="1" style="162" min="7173" max="7173"/>
    <col width="9.58203125" customWidth="1" style="162" min="7174" max="7174"/>
    <col width="13.25" customWidth="1" style="162" min="7175" max="7175"/>
    <col width="22.9140625" customWidth="1" style="162" min="7176" max="7176"/>
    <col width="11.25" bestFit="1" customWidth="1" style="162" min="7181" max="7181"/>
    <col width="9.6640625" customWidth="1" style="162" min="7182" max="7182"/>
    <col width="9.5" customWidth="1" style="162" min="7184" max="7184"/>
    <col width="13.4140625" bestFit="1" customWidth="1" style="162" min="7185" max="7185"/>
    <col width="13.4140625" bestFit="1" customWidth="1" style="162" min="7187" max="7187"/>
    <col width="9.75" customWidth="1" style="162" min="7190" max="7190"/>
    <col width="14.75" bestFit="1" customWidth="1" style="162" min="7191" max="7191"/>
    <col width="29.1640625" bestFit="1" customWidth="1" style="162" min="7192" max="7192"/>
    <col width="11.6640625" bestFit="1" customWidth="1" style="162" min="7194" max="7194"/>
    <col width="11.08203125" customWidth="1" style="162" min="7426" max="7426"/>
    <col width="12.25" customWidth="1" style="162" min="7427" max="7427"/>
    <col width="10.9140625" customWidth="1" style="162" min="7428" max="7428"/>
    <col width="11.6640625" customWidth="1" style="162" min="7429" max="7429"/>
    <col width="9.58203125" customWidth="1" style="162" min="7430" max="7430"/>
    <col width="13.25" customWidth="1" style="162" min="7431" max="7431"/>
    <col width="22.9140625" customWidth="1" style="162" min="7432" max="7432"/>
    <col width="11.25" bestFit="1" customWidth="1" style="162" min="7437" max="7437"/>
    <col width="9.6640625" customWidth="1" style="162" min="7438" max="7438"/>
    <col width="9.5" customWidth="1" style="162" min="7440" max="7440"/>
    <col width="13.4140625" bestFit="1" customWidth="1" style="162" min="7441" max="7441"/>
    <col width="13.4140625" bestFit="1" customWidth="1" style="162" min="7443" max="7443"/>
    <col width="9.75" customWidth="1" style="162" min="7446" max="7446"/>
    <col width="14.75" bestFit="1" customWidth="1" style="162" min="7447" max="7447"/>
    <col width="29.1640625" bestFit="1" customWidth="1" style="162" min="7448" max="7448"/>
    <col width="11.6640625" bestFit="1" customWidth="1" style="162" min="7450" max="7450"/>
    <col width="11.08203125" customWidth="1" style="162" min="7682" max="7682"/>
    <col width="12.25" customWidth="1" style="162" min="7683" max="7683"/>
    <col width="10.9140625" customWidth="1" style="162" min="7684" max="7684"/>
    <col width="11.6640625" customWidth="1" style="162" min="7685" max="7685"/>
    <col width="9.58203125" customWidth="1" style="162" min="7686" max="7686"/>
    <col width="13.25" customWidth="1" style="162" min="7687" max="7687"/>
    <col width="22.9140625" customWidth="1" style="162" min="7688" max="7688"/>
    <col width="11.25" bestFit="1" customWidth="1" style="162" min="7693" max="7693"/>
    <col width="9.6640625" customWidth="1" style="162" min="7694" max="7694"/>
    <col width="9.5" customWidth="1" style="162" min="7696" max="7696"/>
    <col width="13.4140625" bestFit="1" customWidth="1" style="162" min="7697" max="7697"/>
    <col width="13.4140625" bestFit="1" customWidth="1" style="162" min="7699" max="7699"/>
    <col width="9.75" customWidth="1" style="162" min="7702" max="7702"/>
    <col width="14.75" bestFit="1" customWidth="1" style="162" min="7703" max="7703"/>
    <col width="29.1640625" bestFit="1" customWidth="1" style="162" min="7704" max="7704"/>
    <col width="11.6640625" bestFit="1" customWidth="1" style="162" min="7706" max="7706"/>
    <col width="11.08203125" customWidth="1" style="162" min="7938" max="7938"/>
    <col width="12.25" customWidth="1" style="162" min="7939" max="7939"/>
    <col width="10.9140625" customWidth="1" style="162" min="7940" max="7940"/>
    <col width="11.6640625" customWidth="1" style="162" min="7941" max="7941"/>
    <col width="9.58203125" customWidth="1" style="162" min="7942" max="7942"/>
    <col width="13.25" customWidth="1" style="162" min="7943" max="7943"/>
    <col width="22.9140625" customWidth="1" style="162" min="7944" max="7944"/>
    <col width="11.25" bestFit="1" customWidth="1" style="162" min="7949" max="7949"/>
    <col width="9.6640625" customWidth="1" style="162" min="7950" max="7950"/>
    <col width="9.5" customWidth="1" style="162" min="7952" max="7952"/>
    <col width="13.4140625" bestFit="1" customWidth="1" style="162" min="7953" max="7953"/>
    <col width="13.4140625" bestFit="1" customWidth="1" style="162" min="7955" max="7955"/>
    <col width="9.75" customWidth="1" style="162" min="7958" max="7958"/>
    <col width="14.75" bestFit="1" customWidth="1" style="162" min="7959" max="7959"/>
    <col width="29.1640625" bestFit="1" customWidth="1" style="162" min="7960" max="7960"/>
    <col width="11.6640625" bestFit="1" customWidth="1" style="162" min="7962" max="7962"/>
    <col width="11.08203125" customWidth="1" style="162" min="8194" max="8194"/>
    <col width="12.25" customWidth="1" style="162" min="8195" max="8195"/>
    <col width="10.9140625" customWidth="1" style="162" min="8196" max="8196"/>
    <col width="11.6640625" customWidth="1" style="162" min="8197" max="8197"/>
    <col width="9.58203125" customWidth="1" style="162" min="8198" max="8198"/>
    <col width="13.25" customWidth="1" style="162" min="8199" max="8199"/>
    <col width="22.9140625" customWidth="1" style="162" min="8200" max="8200"/>
    <col width="11.25" bestFit="1" customWidth="1" style="162" min="8205" max="8205"/>
    <col width="9.6640625" customWidth="1" style="162" min="8206" max="8206"/>
    <col width="9.5" customWidth="1" style="162" min="8208" max="8208"/>
    <col width="13.4140625" bestFit="1" customWidth="1" style="162" min="8209" max="8209"/>
    <col width="13.4140625" bestFit="1" customWidth="1" style="162" min="8211" max="8211"/>
    <col width="9.75" customWidth="1" style="162" min="8214" max="8214"/>
    <col width="14.75" bestFit="1" customWidth="1" style="162" min="8215" max="8215"/>
    <col width="29.1640625" bestFit="1" customWidth="1" style="162" min="8216" max="8216"/>
    <col width="11.6640625" bestFit="1" customWidth="1" style="162" min="8218" max="8218"/>
    <col width="11.08203125" customWidth="1" style="162" min="8450" max="8450"/>
    <col width="12.25" customWidth="1" style="162" min="8451" max="8451"/>
    <col width="10.9140625" customWidth="1" style="162" min="8452" max="8452"/>
    <col width="11.6640625" customWidth="1" style="162" min="8453" max="8453"/>
    <col width="9.58203125" customWidth="1" style="162" min="8454" max="8454"/>
    <col width="13.25" customWidth="1" style="162" min="8455" max="8455"/>
    <col width="22.9140625" customWidth="1" style="162" min="8456" max="8456"/>
    <col width="11.25" bestFit="1" customWidth="1" style="162" min="8461" max="8461"/>
    <col width="9.6640625" customWidth="1" style="162" min="8462" max="8462"/>
    <col width="9.5" customWidth="1" style="162" min="8464" max="8464"/>
    <col width="13.4140625" bestFit="1" customWidth="1" style="162" min="8465" max="8465"/>
    <col width="13.4140625" bestFit="1" customWidth="1" style="162" min="8467" max="8467"/>
    <col width="9.75" customWidth="1" style="162" min="8470" max="8470"/>
    <col width="14.75" bestFit="1" customWidth="1" style="162" min="8471" max="8471"/>
    <col width="29.1640625" bestFit="1" customWidth="1" style="162" min="8472" max="8472"/>
    <col width="11.6640625" bestFit="1" customWidth="1" style="162" min="8474" max="8474"/>
    <col width="11.08203125" customWidth="1" style="162" min="8706" max="8706"/>
    <col width="12.25" customWidth="1" style="162" min="8707" max="8707"/>
    <col width="10.9140625" customWidth="1" style="162" min="8708" max="8708"/>
    <col width="11.6640625" customWidth="1" style="162" min="8709" max="8709"/>
    <col width="9.58203125" customWidth="1" style="162" min="8710" max="8710"/>
    <col width="13.25" customWidth="1" style="162" min="8711" max="8711"/>
    <col width="22.9140625" customWidth="1" style="162" min="8712" max="8712"/>
    <col width="11.25" bestFit="1" customWidth="1" style="162" min="8717" max="8717"/>
    <col width="9.6640625" customWidth="1" style="162" min="8718" max="8718"/>
    <col width="9.5" customWidth="1" style="162" min="8720" max="8720"/>
    <col width="13.4140625" bestFit="1" customWidth="1" style="162" min="8721" max="8721"/>
    <col width="13.4140625" bestFit="1" customWidth="1" style="162" min="8723" max="8723"/>
    <col width="9.75" customWidth="1" style="162" min="8726" max="8726"/>
    <col width="14.75" bestFit="1" customWidth="1" style="162" min="8727" max="8727"/>
    <col width="29.1640625" bestFit="1" customWidth="1" style="162" min="8728" max="8728"/>
    <col width="11.6640625" bestFit="1" customWidth="1" style="162" min="8730" max="8730"/>
    <col width="11.08203125" customWidth="1" style="162" min="8962" max="8962"/>
    <col width="12.25" customWidth="1" style="162" min="8963" max="8963"/>
    <col width="10.9140625" customWidth="1" style="162" min="8964" max="8964"/>
    <col width="11.6640625" customWidth="1" style="162" min="8965" max="8965"/>
    <col width="9.58203125" customWidth="1" style="162" min="8966" max="8966"/>
    <col width="13.25" customWidth="1" style="162" min="8967" max="8967"/>
    <col width="22.9140625" customWidth="1" style="162" min="8968" max="8968"/>
    <col width="11.25" bestFit="1" customWidth="1" style="162" min="8973" max="8973"/>
    <col width="9.6640625" customWidth="1" style="162" min="8974" max="8974"/>
    <col width="9.5" customWidth="1" style="162" min="8976" max="8976"/>
    <col width="13.4140625" bestFit="1" customWidth="1" style="162" min="8977" max="8977"/>
    <col width="13.4140625" bestFit="1" customWidth="1" style="162" min="8979" max="8979"/>
    <col width="9.75" customWidth="1" style="162" min="8982" max="8982"/>
    <col width="14.75" bestFit="1" customWidth="1" style="162" min="8983" max="8983"/>
    <col width="29.1640625" bestFit="1" customWidth="1" style="162" min="8984" max="8984"/>
    <col width="11.6640625" bestFit="1" customWidth="1" style="162" min="8986" max="8986"/>
    <col width="11.08203125" customWidth="1" style="162" min="9218" max="9218"/>
    <col width="12.25" customWidth="1" style="162" min="9219" max="9219"/>
    <col width="10.9140625" customWidth="1" style="162" min="9220" max="9220"/>
    <col width="11.6640625" customWidth="1" style="162" min="9221" max="9221"/>
    <col width="9.58203125" customWidth="1" style="162" min="9222" max="9222"/>
    <col width="13.25" customWidth="1" style="162" min="9223" max="9223"/>
    <col width="22.9140625" customWidth="1" style="162" min="9224" max="9224"/>
    <col width="11.25" bestFit="1" customWidth="1" style="162" min="9229" max="9229"/>
    <col width="9.6640625" customWidth="1" style="162" min="9230" max="9230"/>
    <col width="9.5" customWidth="1" style="162" min="9232" max="9232"/>
    <col width="13.4140625" bestFit="1" customWidth="1" style="162" min="9233" max="9233"/>
    <col width="13.4140625" bestFit="1" customWidth="1" style="162" min="9235" max="9235"/>
    <col width="9.75" customWidth="1" style="162" min="9238" max="9238"/>
    <col width="14.75" bestFit="1" customWidth="1" style="162" min="9239" max="9239"/>
    <col width="29.1640625" bestFit="1" customWidth="1" style="162" min="9240" max="9240"/>
    <col width="11.6640625" bestFit="1" customWidth="1" style="162" min="9242" max="9242"/>
    <col width="11.08203125" customWidth="1" style="162" min="9474" max="9474"/>
    <col width="12.25" customWidth="1" style="162" min="9475" max="9475"/>
    <col width="10.9140625" customWidth="1" style="162" min="9476" max="9476"/>
    <col width="11.6640625" customWidth="1" style="162" min="9477" max="9477"/>
    <col width="9.58203125" customWidth="1" style="162" min="9478" max="9478"/>
    <col width="13.25" customWidth="1" style="162" min="9479" max="9479"/>
    <col width="22.9140625" customWidth="1" style="162" min="9480" max="9480"/>
    <col width="11.25" bestFit="1" customWidth="1" style="162" min="9485" max="9485"/>
    <col width="9.6640625" customWidth="1" style="162" min="9486" max="9486"/>
    <col width="9.5" customWidth="1" style="162" min="9488" max="9488"/>
    <col width="13.4140625" bestFit="1" customWidth="1" style="162" min="9489" max="9489"/>
    <col width="13.4140625" bestFit="1" customWidth="1" style="162" min="9491" max="9491"/>
    <col width="9.75" customWidth="1" style="162" min="9494" max="9494"/>
    <col width="14.75" bestFit="1" customWidth="1" style="162" min="9495" max="9495"/>
    <col width="29.1640625" bestFit="1" customWidth="1" style="162" min="9496" max="9496"/>
    <col width="11.6640625" bestFit="1" customWidth="1" style="162" min="9498" max="9498"/>
    <col width="11.08203125" customWidth="1" style="162" min="9730" max="9730"/>
    <col width="12.25" customWidth="1" style="162" min="9731" max="9731"/>
    <col width="10.9140625" customWidth="1" style="162" min="9732" max="9732"/>
    <col width="11.6640625" customWidth="1" style="162" min="9733" max="9733"/>
    <col width="9.58203125" customWidth="1" style="162" min="9734" max="9734"/>
    <col width="13.25" customWidth="1" style="162" min="9735" max="9735"/>
    <col width="22.9140625" customWidth="1" style="162" min="9736" max="9736"/>
    <col width="11.25" bestFit="1" customWidth="1" style="162" min="9741" max="9741"/>
    <col width="9.6640625" customWidth="1" style="162" min="9742" max="9742"/>
    <col width="9.5" customWidth="1" style="162" min="9744" max="9744"/>
    <col width="13.4140625" bestFit="1" customWidth="1" style="162" min="9745" max="9745"/>
    <col width="13.4140625" bestFit="1" customWidth="1" style="162" min="9747" max="9747"/>
    <col width="9.75" customWidth="1" style="162" min="9750" max="9750"/>
    <col width="14.75" bestFit="1" customWidth="1" style="162" min="9751" max="9751"/>
    <col width="29.1640625" bestFit="1" customWidth="1" style="162" min="9752" max="9752"/>
    <col width="11.6640625" bestFit="1" customWidth="1" style="162" min="9754" max="9754"/>
    <col width="11.08203125" customWidth="1" style="162" min="9986" max="9986"/>
    <col width="12.25" customWidth="1" style="162" min="9987" max="9987"/>
    <col width="10.9140625" customWidth="1" style="162" min="9988" max="9988"/>
    <col width="11.6640625" customWidth="1" style="162" min="9989" max="9989"/>
    <col width="9.58203125" customWidth="1" style="162" min="9990" max="9990"/>
    <col width="13.25" customWidth="1" style="162" min="9991" max="9991"/>
    <col width="22.9140625" customWidth="1" style="162" min="9992" max="9992"/>
    <col width="11.25" bestFit="1" customWidth="1" style="162" min="9997" max="9997"/>
    <col width="9.6640625" customWidth="1" style="162" min="9998" max="9998"/>
    <col width="9.5" customWidth="1" style="162" min="10000" max="10000"/>
    <col width="13.4140625" bestFit="1" customWidth="1" style="162" min="10001" max="10001"/>
    <col width="13.4140625" bestFit="1" customWidth="1" style="162" min="10003" max="10003"/>
    <col width="9.75" customWidth="1" style="162" min="10006" max="10006"/>
    <col width="14.75" bestFit="1" customWidth="1" style="162" min="10007" max="10007"/>
    <col width="29.1640625" bestFit="1" customWidth="1" style="162" min="10008" max="10008"/>
    <col width="11.6640625" bestFit="1" customWidth="1" style="162" min="10010" max="10010"/>
    <col width="11.08203125" customWidth="1" style="162" min="10242" max="10242"/>
    <col width="12.25" customWidth="1" style="162" min="10243" max="10243"/>
    <col width="10.9140625" customWidth="1" style="162" min="10244" max="10244"/>
    <col width="11.6640625" customWidth="1" style="162" min="10245" max="10245"/>
    <col width="9.58203125" customWidth="1" style="162" min="10246" max="10246"/>
    <col width="13.25" customWidth="1" style="162" min="10247" max="10247"/>
    <col width="22.9140625" customWidth="1" style="162" min="10248" max="10248"/>
    <col width="11.25" bestFit="1" customWidth="1" style="162" min="10253" max="10253"/>
    <col width="9.6640625" customWidth="1" style="162" min="10254" max="10254"/>
    <col width="9.5" customWidth="1" style="162" min="10256" max="10256"/>
    <col width="13.4140625" bestFit="1" customWidth="1" style="162" min="10257" max="10257"/>
    <col width="13.4140625" bestFit="1" customWidth="1" style="162" min="10259" max="10259"/>
    <col width="9.75" customWidth="1" style="162" min="10262" max="10262"/>
    <col width="14.75" bestFit="1" customWidth="1" style="162" min="10263" max="10263"/>
    <col width="29.1640625" bestFit="1" customWidth="1" style="162" min="10264" max="10264"/>
    <col width="11.6640625" bestFit="1" customWidth="1" style="162" min="10266" max="10266"/>
    <col width="11.08203125" customWidth="1" style="162" min="10498" max="10498"/>
    <col width="12.25" customWidth="1" style="162" min="10499" max="10499"/>
    <col width="10.9140625" customWidth="1" style="162" min="10500" max="10500"/>
    <col width="11.6640625" customWidth="1" style="162" min="10501" max="10501"/>
    <col width="9.58203125" customWidth="1" style="162" min="10502" max="10502"/>
    <col width="13.25" customWidth="1" style="162" min="10503" max="10503"/>
    <col width="22.9140625" customWidth="1" style="162" min="10504" max="10504"/>
    <col width="11.25" bestFit="1" customWidth="1" style="162" min="10509" max="10509"/>
    <col width="9.6640625" customWidth="1" style="162" min="10510" max="10510"/>
    <col width="9.5" customWidth="1" style="162" min="10512" max="10512"/>
    <col width="13.4140625" bestFit="1" customWidth="1" style="162" min="10513" max="10513"/>
    <col width="13.4140625" bestFit="1" customWidth="1" style="162" min="10515" max="10515"/>
    <col width="9.75" customWidth="1" style="162" min="10518" max="10518"/>
    <col width="14.75" bestFit="1" customWidth="1" style="162" min="10519" max="10519"/>
    <col width="29.1640625" bestFit="1" customWidth="1" style="162" min="10520" max="10520"/>
    <col width="11.6640625" bestFit="1" customWidth="1" style="162" min="10522" max="10522"/>
    <col width="11.08203125" customWidth="1" style="162" min="10754" max="10754"/>
    <col width="12.25" customWidth="1" style="162" min="10755" max="10755"/>
    <col width="10.9140625" customWidth="1" style="162" min="10756" max="10756"/>
    <col width="11.6640625" customWidth="1" style="162" min="10757" max="10757"/>
    <col width="9.58203125" customWidth="1" style="162" min="10758" max="10758"/>
    <col width="13.25" customWidth="1" style="162" min="10759" max="10759"/>
    <col width="22.9140625" customWidth="1" style="162" min="10760" max="10760"/>
    <col width="11.25" bestFit="1" customWidth="1" style="162" min="10765" max="10765"/>
    <col width="9.6640625" customWidth="1" style="162" min="10766" max="10766"/>
    <col width="9.5" customWidth="1" style="162" min="10768" max="10768"/>
    <col width="13.4140625" bestFit="1" customWidth="1" style="162" min="10769" max="10769"/>
    <col width="13.4140625" bestFit="1" customWidth="1" style="162" min="10771" max="10771"/>
    <col width="9.75" customWidth="1" style="162" min="10774" max="10774"/>
    <col width="14.75" bestFit="1" customWidth="1" style="162" min="10775" max="10775"/>
    <col width="29.1640625" bestFit="1" customWidth="1" style="162" min="10776" max="10776"/>
    <col width="11.6640625" bestFit="1" customWidth="1" style="162" min="10778" max="10778"/>
    <col width="11.08203125" customWidth="1" style="162" min="11010" max="11010"/>
    <col width="12.25" customWidth="1" style="162" min="11011" max="11011"/>
    <col width="10.9140625" customWidth="1" style="162" min="11012" max="11012"/>
    <col width="11.6640625" customWidth="1" style="162" min="11013" max="11013"/>
    <col width="9.58203125" customWidth="1" style="162" min="11014" max="11014"/>
    <col width="13.25" customWidth="1" style="162" min="11015" max="11015"/>
    <col width="22.9140625" customWidth="1" style="162" min="11016" max="11016"/>
    <col width="11.25" bestFit="1" customWidth="1" style="162" min="11021" max="11021"/>
    <col width="9.6640625" customWidth="1" style="162" min="11022" max="11022"/>
    <col width="9.5" customWidth="1" style="162" min="11024" max="11024"/>
    <col width="13.4140625" bestFit="1" customWidth="1" style="162" min="11025" max="11025"/>
    <col width="13.4140625" bestFit="1" customWidth="1" style="162" min="11027" max="11027"/>
    <col width="9.75" customWidth="1" style="162" min="11030" max="11030"/>
    <col width="14.75" bestFit="1" customWidth="1" style="162" min="11031" max="11031"/>
    <col width="29.1640625" bestFit="1" customWidth="1" style="162" min="11032" max="11032"/>
    <col width="11.6640625" bestFit="1" customWidth="1" style="162" min="11034" max="11034"/>
    <col width="11.08203125" customWidth="1" style="162" min="11266" max="11266"/>
    <col width="12.25" customWidth="1" style="162" min="11267" max="11267"/>
    <col width="10.9140625" customWidth="1" style="162" min="11268" max="11268"/>
    <col width="11.6640625" customWidth="1" style="162" min="11269" max="11269"/>
    <col width="9.58203125" customWidth="1" style="162" min="11270" max="11270"/>
    <col width="13.25" customWidth="1" style="162" min="11271" max="11271"/>
    <col width="22.9140625" customWidth="1" style="162" min="11272" max="11272"/>
    <col width="11.25" bestFit="1" customWidth="1" style="162" min="11277" max="11277"/>
    <col width="9.6640625" customWidth="1" style="162" min="11278" max="11278"/>
    <col width="9.5" customWidth="1" style="162" min="11280" max="11280"/>
    <col width="13.4140625" bestFit="1" customWidth="1" style="162" min="11281" max="11281"/>
    <col width="13.4140625" bestFit="1" customWidth="1" style="162" min="11283" max="11283"/>
    <col width="9.75" customWidth="1" style="162" min="11286" max="11286"/>
    <col width="14.75" bestFit="1" customWidth="1" style="162" min="11287" max="11287"/>
    <col width="29.1640625" bestFit="1" customWidth="1" style="162" min="11288" max="11288"/>
    <col width="11.6640625" bestFit="1" customWidth="1" style="162" min="11290" max="11290"/>
    <col width="11.08203125" customWidth="1" style="162" min="11522" max="11522"/>
    <col width="12.25" customWidth="1" style="162" min="11523" max="11523"/>
    <col width="10.9140625" customWidth="1" style="162" min="11524" max="11524"/>
    <col width="11.6640625" customWidth="1" style="162" min="11525" max="11525"/>
    <col width="9.58203125" customWidth="1" style="162" min="11526" max="11526"/>
    <col width="13.25" customWidth="1" style="162" min="11527" max="11527"/>
    <col width="22.9140625" customWidth="1" style="162" min="11528" max="11528"/>
    <col width="11.25" bestFit="1" customWidth="1" style="162" min="11533" max="11533"/>
    <col width="9.6640625" customWidth="1" style="162" min="11534" max="11534"/>
    <col width="9.5" customWidth="1" style="162" min="11536" max="11536"/>
    <col width="13.4140625" bestFit="1" customWidth="1" style="162" min="11537" max="11537"/>
    <col width="13.4140625" bestFit="1" customWidth="1" style="162" min="11539" max="11539"/>
    <col width="9.75" customWidth="1" style="162" min="11542" max="11542"/>
    <col width="14.75" bestFit="1" customWidth="1" style="162" min="11543" max="11543"/>
    <col width="29.1640625" bestFit="1" customWidth="1" style="162" min="11544" max="11544"/>
    <col width="11.6640625" bestFit="1" customWidth="1" style="162" min="11546" max="11546"/>
    <col width="11.08203125" customWidth="1" style="162" min="11778" max="11778"/>
    <col width="12.25" customWidth="1" style="162" min="11779" max="11779"/>
    <col width="10.9140625" customWidth="1" style="162" min="11780" max="11780"/>
    <col width="11.6640625" customWidth="1" style="162" min="11781" max="11781"/>
    <col width="9.58203125" customWidth="1" style="162" min="11782" max="11782"/>
    <col width="13.25" customWidth="1" style="162" min="11783" max="11783"/>
    <col width="22.9140625" customWidth="1" style="162" min="11784" max="11784"/>
    <col width="11.25" bestFit="1" customWidth="1" style="162" min="11789" max="11789"/>
    <col width="9.6640625" customWidth="1" style="162" min="11790" max="11790"/>
    <col width="9.5" customWidth="1" style="162" min="11792" max="11792"/>
    <col width="13.4140625" bestFit="1" customWidth="1" style="162" min="11793" max="11793"/>
    <col width="13.4140625" bestFit="1" customWidth="1" style="162" min="11795" max="11795"/>
    <col width="9.75" customWidth="1" style="162" min="11798" max="11798"/>
    <col width="14.75" bestFit="1" customWidth="1" style="162" min="11799" max="11799"/>
    <col width="29.1640625" bestFit="1" customWidth="1" style="162" min="11800" max="11800"/>
    <col width="11.6640625" bestFit="1" customWidth="1" style="162" min="11802" max="11802"/>
    <col width="11.08203125" customWidth="1" style="162" min="12034" max="12034"/>
    <col width="12.25" customWidth="1" style="162" min="12035" max="12035"/>
    <col width="10.9140625" customWidth="1" style="162" min="12036" max="12036"/>
    <col width="11.6640625" customWidth="1" style="162" min="12037" max="12037"/>
    <col width="9.58203125" customWidth="1" style="162" min="12038" max="12038"/>
    <col width="13.25" customWidth="1" style="162" min="12039" max="12039"/>
    <col width="22.9140625" customWidth="1" style="162" min="12040" max="12040"/>
    <col width="11.25" bestFit="1" customWidth="1" style="162" min="12045" max="12045"/>
    <col width="9.6640625" customWidth="1" style="162" min="12046" max="12046"/>
    <col width="9.5" customWidth="1" style="162" min="12048" max="12048"/>
    <col width="13.4140625" bestFit="1" customWidth="1" style="162" min="12049" max="12049"/>
    <col width="13.4140625" bestFit="1" customWidth="1" style="162" min="12051" max="12051"/>
    <col width="9.75" customWidth="1" style="162" min="12054" max="12054"/>
    <col width="14.75" bestFit="1" customWidth="1" style="162" min="12055" max="12055"/>
    <col width="29.1640625" bestFit="1" customWidth="1" style="162" min="12056" max="12056"/>
    <col width="11.6640625" bestFit="1" customWidth="1" style="162" min="12058" max="12058"/>
    <col width="11.08203125" customWidth="1" style="162" min="12290" max="12290"/>
    <col width="12.25" customWidth="1" style="162" min="12291" max="12291"/>
    <col width="10.9140625" customWidth="1" style="162" min="12292" max="12292"/>
    <col width="11.6640625" customWidth="1" style="162" min="12293" max="12293"/>
    <col width="9.58203125" customWidth="1" style="162" min="12294" max="12294"/>
    <col width="13.25" customWidth="1" style="162" min="12295" max="12295"/>
    <col width="22.9140625" customWidth="1" style="162" min="12296" max="12296"/>
    <col width="11.25" bestFit="1" customWidth="1" style="162" min="12301" max="12301"/>
    <col width="9.6640625" customWidth="1" style="162" min="12302" max="12302"/>
    <col width="9.5" customWidth="1" style="162" min="12304" max="12304"/>
    <col width="13.4140625" bestFit="1" customWidth="1" style="162" min="12305" max="12305"/>
    <col width="13.4140625" bestFit="1" customWidth="1" style="162" min="12307" max="12307"/>
    <col width="9.75" customWidth="1" style="162" min="12310" max="12310"/>
    <col width="14.75" bestFit="1" customWidth="1" style="162" min="12311" max="12311"/>
    <col width="29.1640625" bestFit="1" customWidth="1" style="162" min="12312" max="12312"/>
    <col width="11.6640625" bestFit="1" customWidth="1" style="162" min="12314" max="12314"/>
    <col width="11.08203125" customWidth="1" style="162" min="12546" max="12546"/>
    <col width="12.25" customWidth="1" style="162" min="12547" max="12547"/>
    <col width="10.9140625" customWidth="1" style="162" min="12548" max="12548"/>
    <col width="11.6640625" customWidth="1" style="162" min="12549" max="12549"/>
    <col width="9.58203125" customWidth="1" style="162" min="12550" max="12550"/>
    <col width="13.25" customWidth="1" style="162" min="12551" max="12551"/>
    <col width="22.9140625" customWidth="1" style="162" min="12552" max="12552"/>
    <col width="11.25" bestFit="1" customWidth="1" style="162" min="12557" max="12557"/>
    <col width="9.6640625" customWidth="1" style="162" min="12558" max="12558"/>
    <col width="9.5" customWidth="1" style="162" min="12560" max="12560"/>
    <col width="13.4140625" bestFit="1" customWidth="1" style="162" min="12561" max="12561"/>
    <col width="13.4140625" bestFit="1" customWidth="1" style="162" min="12563" max="12563"/>
    <col width="9.75" customWidth="1" style="162" min="12566" max="12566"/>
    <col width="14.75" bestFit="1" customWidth="1" style="162" min="12567" max="12567"/>
    <col width="29.1640625" bestFit="1" customWidth="1" style="162" min="12568" max="12568"/>
    <col width="11.6640625" bestFit="1" customWidth="1" style="162" min="12570" max="12570"/>
    <col width="11.08203125" customWidth="1" style="162" min="12802" max="12802"/>
    <col width="12.25" customWidth="1" style="162" min="12803" max="12803"/>
    <col width="10.9140625" customWidth="1" style="162" min="12804" max="12804"/>
    <col width="11.6640625" customWidth="1" style="162" min="12805" max="12805"/>
    <col width="9.58203125" customWidth="1" style="162" min="12806" max="12806"/>
    <col width="13.25" customWidth="1" style="162" min="12807" max="12807"/>
    <col width="22.9140625" customWidth="1" style="162" min="12808" max="12808"/>
    <col width="11.25" bestFit="1" customWidth="1" style="162" min="12813" max="12813"/>
    <col width="9.6640625" customWidth="1" style="162" min="12814" max="12814"/>
    <col width="9.5" customWidth="1" style="162" min="12816" max="12816"/>
    <col width="13.4140625" bestFit="1" customWidth="1" style="162" min="12817" max="12817"/>
    <col width="13.4140625" bestFit="1" customWidth="1" style="162" min="12819" max="12819"/>
    <col width="9.75" customWidth="1" style="162" min="12822" max="12822"/>
    <col width="14.75" bestFit="1" customWidth="1" style="162" min="12823" max="12823"/>
    <col width="29.1640625" bestFit="1" customWidth="1" style="162" min="12824" max="12824"/>
    <col width="11.6640625" bestFit="1" customWidth="1" style="162" min="12826" max="12826"/>
    <col width="11.08203125" customWidth="1" style="162" min="13058" max="13058"/>
    <col width="12.25" customWidth="1" style="162" min="13059" max="13059"/>
    <col width="10.9140625" customWidth="1" style="162" min="13060" max="13060"/>
    <col width="11.6640625" customWidth="1" style="162" min="13061" max="13061"/>
    <col width="9.58203125" customWidth="1" style="162" min="13062" max="13062"/>
    <col width="13.25" customWidth="1" style="162" min="13063" max="13063"/>
    <col width="22.9140625" customWidth="1" style="162" min="13064" max="13064"/>
    <col width="11.25" bestFit="1" customWidth="1" style="162" min="13069" max="13069"/>
    <col width="9.6640625" customWidth="1" style="162" min="13070" max="13070"/>
    <col width="9.5" customWidth="1" style="162" min="13072" max="13072"/>
    <col width="13.4140625" bestFit="1" customWidth="1" style="162" min="13073" max="13073"/>
    <col width="13.4140625" bestFit="1" customWidth="1" style="162" min="13075" max="13075"/>
    <col width="9.75" customWidth="1" style="162" min="13078" max="13078"/>
    <col width="14.75" bestFit="1" customWidth="1" style="162" min="13079" max="13079"/>
    <col width="29.1640625" bestFit="1" customWidth="1" style="162" min="13080" max="13080"/>
    <col width="11.6640625" bestFit="1" customWidth="1" style="162" min="13082" max="13082"/>
    <col width="11.08203125" customWidth="1" style="162" min="13314" max="13314"/>
    <col width="12.25" customWidth="1" style="162" min="13315" max="13315"/>
    <col width="10.9140625" customWidth="1" style="162" min="13316" max="13316"/>
    <col width="11.6640625" customWidth="1" style="162" min="13317" max="13317"/>
    <col width="9.58203125" customWidth="1" style="162" min="13318" max="13318"/>
    <col width="13.25" customWidth="1" style="162" min="13319" max="13319"/>
    <col width="22.9140625" customWidth="1" style="162" min="13320" max="13320"/>
    <col width="11.25" bestFit="1" customWidth="1" style="162" min="13325" max="13325"/>
    <col width="9.6640625" customWidth="1" style="162" min="13326" max="13326"/>
    <col width="9.5" customWidth="1" style="162" min="13328" max="13328"/>
    <col width="13.4140625" bestFit="1" customWidth="1" style="162" min="13329" max="13329"/>
    <col width="13.4140625" bestFit="1" customWidth="1" style="162" min="13331" max="13331"/>
    <col width="9.75" customWidth="1" style="162" min="13334" max="13334"/>
    <col width="14.75" bestFit="1" customWidth="1" style="162" min="13335" max="13335"/>
    <col width="29.1640625" bestFit="1" customWidth="1" style="162" min="13336" max="13336"/>
    <col width="11.6640625" bestFit="1" customWidth="1" style="162" min="13338" max="13338"/>
    <col width="11.08203125" customWidth="1" style="162" min="13570" max="13570"/>
    <col width="12.25" customWidth="1" style="162" min="13571" max="13571"/>
    <col width="10.9140625" customWidth="1" style="162" min="13572" max="13572"/>
    <col width="11.6640625" customWidth="1" style="162" min="13573" max="13573"/>
    <col width="9.58203125" customWidth="1" style="162" min="13574" max="13574"/>
    <col width="13.25" customWidth="1" style="162" min="13575" max="13575"/>
    <col width="22.9140625" customWidth="1" style="162" min="13576" max="13576"/>
    <col width="11.25" bestFit="1" customWidth="1" style="162" min="13581" max="13581"/>
    <col width="9.6640625" customWidth="1" style="162" min="13582" max="13582"/>
    <col width="9.5" customWidth="1" style="162" min="13584" max="13584"/>
    <col width="13.4140625" bestFit="1" customWidth="1" style="162" min="13585" max="13585"/>
    <col width="13.4140625" bestFit="1" customWidth="1" style="162" min="13587" max="13587"/>
    <col width="9.75" customWidth="1" style="162" min="13590" max="13590"/>
    <col width="14.75" bestFit="1" customWidth="1" style="162" min="13591" max="13591"/>
    <col width="29.1640625" bestFit="1" customWidth="1" style="162" min="13592" max="13592"/>
    <col width="11.6640625" bestFit="1" customWidth="1" style="162" min="13594" max="13594"/>
    <col width="11.08203125" customWidth="1" style="162" min="13826" max="13826"/>
    <col width="12.25" customWidth="1" style="162" min="13827" max="13827"/>
    <col width="10.9140625" customWidth="1" style="162" min="13828" max="13828"/>
    <col width="11.6640625" customWidth="1" style="162" min="13829" max="13829"/>
    <col width="9.58203125" customWidth="1" style="162" min="13830" max="13830"/>
    <col width="13.25" customWidth="1" style="162" min="13831" max="13831"/>
    <col width="22.9140625" customWidth="1" style="162" min="13832" max="13832"/>
    <col width="11.25" bestFit="1" customWidth="1" style="162" min="13837" max="13837"/>
    <col width="9.6640625" customWidth="1" style="162" min="13838" max="13838"/>
    <col width="9.5" customWidth="1" style="162" min="13840" max="13840"/>
    <col width="13.4140625" bestFit="1" customWidth="1" style="162" min="13841" max="13841"/>
    <col width="13.4140625" bestFit="1" customWidth="1" style="162" min="13843" max="13843"/>
    <col width="9.75" customWidth="1" style="162" min="13846" max="13846"/>
    <col width="14.75" bestFit="1" customWidth="1" style="162" min="13847" max="13847"/>
    <col width="29.1640625" bestFit="1" customWidth="1" style="162" min="13848" max="13848"/>
    <col width="11.6640625" bestFit="1" customWidth="1" style="162" min="13850" max="13850"/>
    <col width="11.08203125" customWidth="1" style="162" min="14082" max="14082"/>
    <col width="12.25" customWidth="1" style="162" min="14083" max="14083"/>
    <col width="10.9140625" customWidth="1" style="162" min="14084" max="14084"/>
    <col width="11.6640625" customWidth="1" style="162" min="14085" max="14085"/>
    <col width="9.58203125" customWidth="1" style="162" min="14086" max="14086"/>
    <col width="13.25" customWidth="1" style="162" min="14087" max="14087"/>
    <col width="22.9140625" customWidth="1" style="162" min="14088" max="14088"/>
    <col width="11.25" bestFit="1" customWidth="1" style="162" min="14093" max="14093"/>
    <col width="9.6640625" customWidth="1" style="162" min="14094" max="14094"/>
    <col width="9.5" customWidth="1" style="162" min="14096" max="14096"/>
    <col width="13.4140625" bestFit="1" customWidth="1" style="162" min="14097" max="14097"/>
    <col width="13.4140625" bestFit="1" customWidth="1" style="162" min="14099" max="14099"/>
    <col width="9.75" customWidth="1" style="162" min="14102" max="14102"/>
    <col width="14.75" bestFit="1" customWidth="1" style="162" min="14103" max="14103"/>
    <col width="29.1640625" bestFit="1" customWidth="1" style="162" min="14104" max="14104"/>
    <col width="11.6640625" bestFit="1" customWidth="1" style="162" min="14106" max="14106"/>
    <col width="11.08203125" customWidth="1" style="162" min="14338" max="14338"/>
    <col width="12.25" customWidth="1" style="162" min="14339" max="14339"/>
    <col width="10.9140625" customWidth="1" style="162" min="14340" max="14340"/>
    <col width="11.6640625" customWidth="1" style="162" min="14341" max="14341"/>
    <col width="9.58203125" customWidth="1" style="162" min="14342" max="14342"/>
    <col width="13.25" customWidth="1" style="162" min="14343" max="14343"/>
    <col width="22.9140625" customWidth="1" style="162" min="14344" max="14344"/>
    <col width="11.25" bestFit="1" customWidth="1" style="162" min="14349" max="14349"/>
    <col width="9.6640625" customWidth="1" style="162" min="14350" max="14350"/>
    <col width="9.5" customWidth="1" style="162" min="14352" max="14352"/>
    <col width="13.4140625" bestFit="1" customWidth="1" style="162" min="14353" max="14353"/>
    <col width="13.4140625" bestFit="1" customWidth="1" style="162" min="14355" max="14355"/>
    <col width="9.75" customWidth="1" style="162" min="14358" max="14358"/>
    <col width="14.75" bestFit="1" customWidth="1" style="162" min="14359" max="14359"/>
    <col width="29.1640625" bestFit="1" customWidth="1" style="162" min="14360" max="14360"/>
    <col width="11.6640625" bestFit="1" customWidth="1" style="162" min="14362" max="14362"/>
    <col width="11.08203125" customWidth="1" style="162" min="14594" max="14594"/>
    <col width="12.25" customWidth="1" style="162" min="14595" max="14595"/>
    <col width="10.9140625" customWidth="1" style="162" min="14596" max="14596"/>
    <col width="11.6640625" customWidth="1" style="162" min="14597" max="14597"/>
    <col width="9.58203125" customWidth="1" style="162" min="14598" max="14598"/>
    <col width="13.25" customWidth="1" style="162" min="14599" max="14599"/>
    <col width="22.9140625" customWidth="1" style="162" min="14600" max="14600"/>
    <col width="11.25" bestFit="1" customWidth="1" style="162" min="14605" max="14605"/>
    <col width="9.6640625" customWidth="1" style="162" min="14606" max="14606"/>
    <col width="9.5" customWidth="1" style="162" min="14608" max="14608"/>
    <col width="13.4140625" bestFit="1" customWidth="1" style="162" min="14609" max="14609"/>
    <col width="13.4140625" bestFit="1" customWidth="1" style="162" min="14611" max="14611"/>
    <col width="9.75" customWidth="1" style="162" min="14614" max="14614"/>
    <col width="14.75" bestFit="1" customWidth="1" style="162" min="14615" max="14615"/>
    <col width="29.1640625" bestFit="1" customWidth="1" style="162" min="14616" max="14616"/>
    <col width="11.6640625" bestFit="1" customWidth="1" style="162" min="14618" max="14618"/>
    <col width="11.08203125" customWidth="1" style="162" min="14850" max="14850"/>
    <col width="12.25" customWidth="1" style="162" min="14851" max="14851"/>
    <col width="10.9140625" customWidth="1" style="162" min="14852" max="14852"/>
    <col width="11.6640625" customWidth="1" style="162" min="14853" max="14853"/>
    <col width="9.58203125" customWidth="1" style="162" min="14854" max="14854"/>
    <col width="13.25" customWidth="1" style="162" min="14855" max="14855"/>
    <col width="22.9140625" customWidth="1" style="162" min="14856" max="14856"/>
    <col width="11.25" bestFit="1" customWidth="1" style="162" min="14861" max="14861"/>
    <col width="9.6640625" customWidth="1" style="162" min="14862" max="14862"/>
    <col width="9.5" customWidth="1" style="162" min="14864" max="14864"/>
    <col width="13.4140625" bestFit="1" customWidth="1" style="162" min="14865" max="14865"/>
    <col width="13.4140625" bestFit="1" customWidth="1" style="162" min="14867" max="14867"/>
    <col width="9.75" customWidth="1" style="162" min="14870" max="14870"/>
    <col width="14.75" bestFit="1" customWidth="1" style="162" min="14871" max="14871"/>
    <col width="29.1640625" bestFit="1" customWidth="1" style="162" min="14872" max="14872"/>
    <col width="11.6640625" bestFit="1" customWidth="1" style="162" min="14874" max="14874"/>
    <col width="11.08203125" customWidth="1" style="162" min="15106" max="15106"/>
    <col width="12.25" customWidth="1" style="162" min="15107" max="15107"/>
    <col width="10.9140625" customWidth="1" style="162" min="15108" max="15108"/>
    <col width="11.6640625" customWidth="1" style="162" min="15109" max="15109"/>
    <col width="9.58203125" customWidth="1" style="162" min="15110" max="15110"/>
    <col width="13.25" customWidth="1" style="162" min="15111" max="15111"/>
    <col width="22.9140625" customWidth="1" style="162" min="15112" max="15112"/>
    <col width="11.25" bestFit="1" customWidth="1" style="162" min="15117" max="15117"/>
    <col width="9.6640625" customWidth="1" style="162" min="15118" max="15118"/>
    <col width="9.5" customWidth="1" style="162" min="15120" max="15120"/>
    <col width="13.4140625" bestFit="1" customWidth="1" style="162" min="15121" max="15121"/>
    <col width="13.4140625" bestFit="1" customWidth="1" style="162" min="15123" max="15123"/>
    <col width="9.75" customWidth="1" style="162" min="15126" max="15126"/>
    <col width="14.75" bestFit="1" customWidth="1" style="162" min="15127" max="15127"/>
    <col width="29.1640625" bestFit="1" customWidth="1" style="162" min="15128" max="15128"/>
    <col width="11.6640625" bestFit="1" customWidth="1" style="162" min="15130" max="15130"/>
    <col width="11.08203125" customWidth="1" style="162" min="15362" max="15362"/>
    <col width="12.25" customWidth="1" style="162" min="15363" max="15363"/>
    <col width="10.9140625" customWidth="1" style="162" min="15364" max="15364"/>
    <col width="11.6640625" customWidth="1" style="162" min="15365" max="15365"/>
    <col width="9.58203125" customWidth="1" style="162" min="15366" max="15366"/>
    <col width="13.25" customWidth="1" style="162" min="15367" max="15367"/>
    <col width="22.9140625" customWidth="1" style="162" min="15368" max="15368"/>
    <col width="11.25" bestFit="1" customWidth="1" style="162" min="15373" max="15373"/>
    <col width="9.6640625" customWidth="1" style="162" min="15374" max="15374"/>
    <col width="9.5" customWidth="1" style="162" min="15376" max="15376"/>
    <col width="13.4140625" bestFit="1" customWidth="1" style="162" min="15377" max="15377"/>
    <col width="13.4140625" bestFit="1" customWidth="1" style="162" min="15379" max="15379"/>
    <col width="9.75" customWidth="1" style="162" min="15382" max="15382"/>
    <col width="14.75" bestFit="1" customWidth="1" style="162" min="15383" max="15383"/>
    <col width="29.1640625" bestFit="1" customWidth="1" style="162" min="15384" max="15384"/>
    <col width="11.6640625" bestFit="1" customWidth="1" style="162" min="15386" max="15386"/>
    <col width="11.08203125" customWidth="1" style="162" min="15618" max="15618"/>
    <col width="12.25" customWidth="1" style="162" min="15619" max="15619"/>
    <col width="10.9140625" customWidth="1" style="162" min="15620" max="15620"/>
    <col width="11.6640625" customWidth="1" style="162" min="15621" max="15621"/>
    <col width="9.58203125" customWidth="1" style="162" min="15622" max="15622"/>
    <col width="13.25" customWidth="1" style="162" min="15623" max="15623"/>
    <col width="22.9140625" customWidth="1" style="162" min="15624" max="15624"/>
    <col width="11.25" bestFit="1" customWidth="1" style="162" min="15629" max="15629"/>
    <col width="9.6640625" customWidth="1" style="162" min="15630" max="15630"/>
    <col width="9.5" customWidth="1" style="162" min="15632" max="15632"/>
    <col width="13.4140625" bestFit="1" customWidth="1" style="162" min="15633" max="15633"/>
    <col width="13.4140625" bestFit="1" customWidth="1" style="162" min="15635" max="15635"/>
    <col width="9.75" customWidth="1" style="162" min="15638" max="15638"/>
    <col width="14.75" bestFit="1" customWidth="1" style="162" min="15639" max="15639"/>
    <col width="29.1640625" bestFit="1" customWidth="1" style="162" min="15640" max="15640"/>
    <col width="11.6640625" bestFit="1" customWidth="1" style="162" min="15642" max="15642"/>
    <col width="11.08203125" customWidth="1" style="162" min="15874" max="15874"/>
    <col width="12.25" customWidth="1" style="162" min="15875" max="15875"/>
    <col width="10.9140625" customWidth="1" style="162" min="15876" max="15876"/>
    <col width="11.6640625" customWidth="1" style="162" min="15877" max="15877"/>
    <col width="9.58203125" customWidth="1" style="162" min="15878" max="15878"/>
    <col width="13.25" customWidth="1" style="162" min="15879" max="15879"/>
    <col width="22.9140625" customWidth="1" style="162" min="15880" max="15880"/>
    <col width="11.25" bestFit="1" customWidth="1" style="162" min="15885" max="15885"/>
    <col width="9.6640625" customWidth="1" style="162" min="15886" max="15886"/>
    <col width="9.5" customWidth="1" style="162" min="15888" max="15888"/>
    <col width="13.4140625" bestFit="1" customWidth="1" style="162" min="15889" max="15889"/>
    <col width="13.4140625" bestFit="1" customWidth="1" style="162" min="15891" max="15891"/>
    <col width="9.75" customWidth="1" style="162" min="15894" max="15894"/>
    <col width="14.75" bestFit="1" customWidth="1" style="162" min="15895" max="15895"/>
    <col width="29.1640625" bestFit="1" customWidth="1" style="162" min="15896" max="15896"/>
    <col width="11.6640625" bestFit="1" customWidth="1" style="162" min="15898" max="15898"/>
    <col width="11.08203125" customWidth="1" style="162" min="16130" max="16130"/>
    <col width="12.25" customWidth="1" style="162" min="16131" max="16131"/>
    <col width="10.9140625" customWidth="1" style="162" min="16132" max="16132"/>
    <col width="11.6640625" customWidth="1" style="162" min="16133" max="16133"/>
    <col width="9.58203125" customWidth="1" style="162" min="16134" max="16134"/>
    <col width="13.25" customWidth="1" style="162" min="16135" max="16135"/>
    <col width="22.9140625" customWidth="1" style="162" min="16136" max="16136"/>
    <col width="11.25" bestFit="1" customWidth="1" style="162" min="16141" max="16141"/>
    <col width="9.6640625" customWidth="1" style="162" min="16142" max="16142"/>
    <col width="9.5" customWidth="1" style="162" min="16144" max="16144"/>
    <col width="13.4140625" bestFit="1" customWidth="1" style="162" min="16145" max="16145"/>
    <col width="13.4140625" bestFit="1" customWidth="1" style="162" min="16147" max="16147"/>
    <col width="9.75" customWidth="1" style="162" min="16150" max="16150"/>
    <col width="14.75" bestFit="1" customWidth="1" style="162" min="16151" max="16151"/>
    <col width="29.1640625" bestFit="1" customWidth="1" style="162" min="16152" max="16152"/>
    <col width="11.6640625" bestFit="1" customWidth="1" style="162" min="16154" max="16154"/>
  </cols>
  <sheetData>
    <row r="1" ht="78" customHeight="1" s="162">
      <c r="A1" s="163" t="inlineStr">
        <is>
          <t xml:space="preserve">NP150/3합 P150/3합  PP450D </t>
        </is>
      </c>
      <c r="B1" s="164" t="inlineStr">
        <is>
          <t xml:space="preserve">하이젠540.Q851 </t>
        </is>
      </c>
      <c r="C1" s="146" t="n"/>
      <c r="D1" s="3" t="n"/>
      <c r="E1" s="4" t="n"/>
      <c r="F1" s="5" t="n"/>
      <c r="G1" s="6" t="inlineStr">
        <is>
          <t>HPK0112-풍아 미니멈 수량 600YD  SURCHARGE 30만원</t>
        </is>
      </c>
      <c r="H1" s="7" t="inlineStr">
        <is>
          <t>zig mop*0.21. Q851*0.3675</t>
        </is>
      </c>
      <c r="I1" s="8" t="inlineStr">
        <is>
          <t>에프에스 POLY NSY:총량 *21%*2390  (21%)</t>
        </is>
      </c>
      <c r="J1" s="165" t="inlineStr">
        <is>
          <t>동우섬유:총량*0.15*2.2046*1200/1.1(약15%)</t>
        </is>
      </c>
      <c r="K1" s="10" t="inlineStr">
        <is>
          <t>이것확인해보세요  에프에스가 추가원사비용이 많이 높아요</t>
        </is>
      </c>
      <c r="L1" s="166" t="n"/>
      <c r="M1" s="167" t="n"/>
      <c r="N1" s="168" t="n"/>
      <c r="O1" s="169" t="n"/>
      <c r="P1" s="170" t="n"/>
      <c r="Q1" s="171" t="n"/>
      <c r="R1" s="172" t="n"/>
      <c r="S1" s="172" t="n"/>
      <c r="T1" s="173" t="n"/>
      <c r="U1" s="174" t="n"/>
      <c r="V1" s="175" t="n"/>
      <c r="W1" s="176" t="n"/>
      <c r="X1" s="172" t="n"/>
      <c r="Z1" s="177" t="n"/>
    </row>
    <row r="2" ht="51" customFormat="1" customHeight="1" s="43" thickBot="1">
      <c r="A2" s="178" t="inlineStr">
        <is>
          <t>정산전 재 확인할것</t>
        </is>
      </c>
      <c r="B2" s="178" t="n"/>
      <c r="C2" s="147" t="n"/>
      <c r="D2" s="179" t="n"/>
      <c r="E2" s="26" t="n"/>
      <c r="F2" s="27" t="inlineStr">
        <is>
          <t>입출고 전체</t>
        </is>
      </c>
      <c r="G2" s="28" t="n"/>
      <c r="H2" s="29" t="n"/>
      <c r="I2" s="29" t="n"/>
      <c r="J2" s="29" t="n"/>
      <c r="K2" s="30" t="n"/>
      <c r="L2" s="180" t="n"/>
      <c r="M2" s="181" t="n"/>
      <c r="N2" s="182" t="n"/>
      <c r="O2" s="183" t="n"/>
      <c r="P2" s="184" t="n"/>
      <c r="Q2" s="185" t="n"/>
      <c r="R2" s="186" t="inlineStr">
        <is>
          <t>상품.임가공</t>
        </is>
      </c>
      <c r="S2" s="187" t="n"/>
      <c r="T2" s="188" t="n"/>
      <c r="U2" s="189" t="n"/>
      <c r="V2" s="190" t="n"/>
      <c r="W2" s="191" t="n"/>
      <c r="Y2" s="192" t="inlineStr">
        <is>
          <t>지수컴퍼니.아이온.밧틈.진영텍스코.텍스진.유정.덕산</t>
        </is>
      </c>
      <c r="Z2" s="177" t="n"/>
      <c r="AA2" s="0" t="n"/>
      <c r="AB2" s="0" t="n"/>
      <c r="AC2" s="0" t="n"/>
      <c r="AD2" s="0" t="n"/>
      <c r="AE2" s="0" t="n"/>
    </row>
    <row r="3" ht="54.5" customFormat="1" customHeight="1" s="22" thickBot="1">
      <c r="A3" s="193" t="inlineStr">
        <is>
          <t>년월</t>
        </is>
      </c>
      <c r="B3" s="194" t="inlineStr">
        <is>
          <t>출고일</t>
        </is>
      </c>
      <c r="C3" s="148" t="inlineStr">
        <is>
          <t>완제품번</t>
        </is>
      </c>
      <c r="D3" s="47" t="inlineStr">
        <is>
          <t>출고지</t>
        </is>
      </c>
      <c r="E3" s="48" t="inlineStr">
        <is>
          <t>입고지</t>
        </is>
      </c>
      <c r="F3" s="49" t="inlineStr">
        <is>
          <t>제품군</t>
        </is>
      </c>
      <c r="G3" s="50" t="inlineStr">
        <is>
          <t>end buyer</t>
        </is>
      </c>
      <c r="H3" s="51" t="inlineStr">
        <is>
          <t>ITEM</t>
        </is>
      </c>
      <c r="I3" s="51" t="inlineStr">
        <is>
          <t>COLOR</t>
        </is>
      </c>
      <c r="J3" s="51" t="inlineStr">
        <is>
          <t>특기 2</t>
        </is>
      </c>
      <c r="K3" s="52" t="inlineStr">
        <is>
          <t>LOT#</t>
        </is>
      </c>
      <c r="L3" s="195" t="inlineStr">
        <is>
          <t>절</t>
        </is>
      </c>
      <c r="M3" s="196" t="inlineStr">
        <is>
          <t>수량(KG)</t>
        </is>
      </c>
      <c r="N3" s="197" t="inlineStr">
        <is>
          <t>수량(YD)</t>
        </is>
      </c>
      <c r="O3" s="198" t="inlineStr">
        <is>
          <t>수량(MT)</t>
        </is>
      </c>
      <c r="P3" s="199" t="inlineStr">
        <is>
          <t>원료단가(kg,y,m/\)</t>
        </is>
      </c>
      <c r="Q3" s="199" t="inlineStr">
        <is>
          <t>원료비(\)</t>
        </is>
      </c>
      <c r="R3" s="200" t="inlineStr">
        <is>
          <t>임가공단가(\)  kg,y,m</t>
        </is>
      </c>
      <c r="S3" s="200" t="inlineStr">
        <is>
          <t>가공비금액 계(\)</t>
        </is>
      </c>
      <c r="T3" s="201" t="inlineStr">
        <is>
          <t>외화매출단가</t>
        </is>
      </c>
      <c r="U3" s="202" t="inlineStr">
        <is>
          <t>외화매출금액</t>
        </is>
      </c>
      <c r="V3" s="203" t="inlineStr">
        <is>
          <t>원화매출단가(\)</t>
        </is>
      </c>
      <c r="W3" s="203" t="inlineStr">
        <is>
          <t>원화매출금액
(\)</t>
        </is>
      </c>
      <c r="X3" s="204" t="inlineStr">
        <is>
          <t>기타</t>
        </is>
      </c>
      <c r="Y3" s="63" t="inlineStr">
        <is>
          <t>공정</t>
        </is>
      </c>
      <c r="Z3" s="205" t="inlineStr">
        <is>
          <t>매출이익</t>
        </is>
      </c>
    </row>
    <row r="4" ht="16" customHeight="1" s="162">
      <c r="A4" s="206" t="n">
        <v>2601</v>
      </c>
      <c r="B4" s="207" t="n">
        <v>46044</v>
      </c>
      <c r="C4" s="149" t="inlineStr">
        <is>
          <t>Grey PTFE</t>
        </is>
      </c>
      <c r="D4" s="71" t="inlineStr">
        <is>
          <t>WUJING FUHUANG TEXTILE CO., LTD</t>
        </is>
      </c>
      <c r="E4" s="72" t="inlineStr">
        <is>
          <t>하이멜</t>
        </is>
      </c>
      <c r="F4" s="73" t="inlineStr">
        <is>
          <t>tape</t>
        </is>
      </c>
      <c r="G4" s="72" t="inlineStr">
        <is>
          <t>하이멜</t>
        </is>
      </c>
      <c r="H4" s="74" t="inlineStr">
        <is>
          <t>PTFE GREY 필름</t>
        </is>
      </c>
      <c r="I4" s="74" t="inlineStr">
        <is>
          <t>KHAKI</t>
        </is>
      </c>
      <c r="J4" s="74" t="n"/>
      <c r="K4" s="75" t="n"/>
      <c r="L4" s="208" t="n">
        <v>1</v>
      </c>
      <c r="M4" s="209" t="n"/>
      <c r="N4" s="210" t="n"/>
      <c r="O4" s="211" t="n">
        <v>1155</v>
      </c>
      <c r="P4" s="212" t="n"/>
      <c r="Q4" s="213" t="n"/>
      <c r="R4" s="214" t="n"/>
      <c r="S4" s="215" t="n">
        <v>3330000</v>
      </c>
      <c r="T4" s="216" t="n"/>
      <c r="U4" s="217" t="n"/>
      <c r="V4" s="218" t="inlineStr">
        <is>
          <t>@1460 X$8.75</t>
        </is>
      </c>
      <c r="W4" s="219">
        <f>O4*X4</f>
        <v/>
      </c>
      <c r="X4" s="215" t="n">
        <v>12775</v>
      </c>
      <c r="Y4" s="134" t="inlineStr">
        <is>
          <t>원료</t>
        </is>
      </c>
      <c r="Z4" s="220">
        <f>W4-S4-Q4</f>
        <v/>
      </c>
      <c r="AA4" s="68" t="n"/>
      <c r="AB4" s="68" t="n"/>
      <c r="AC4" s="68" t="n"/>
      <c r="AD4" s="68" t="n"/>
      <c r="AE4" s="68" t="n"/>
    </row>
    <row r="5" ht="16" customFormat="1" customHeight="1" s="68">
      <c r="A5" s="206" t="n">
        <v>2601</v>
      </c>
      <c r="B5" s="164" t="n">
        <v>46044</v>
      </c>
      <c r="C5" s="150" t="inlineStr">
        <is>
          <t>grey ptfe</t>
        </is>
      </c>
      <c r="D5" s="3" t="inlineStr">
        <is>
          <t>WUJING FUHUANG TEXTILE CO., LTD</t>
        </is>
      </c>
      <c r="E5" s="4" t="inlineStr">
        <is>
          <t>XXXX</t>
        </is>
      </c>
      <c r="F5" s="5" t="inlineStr">
        <is>
          <t>tape</t>
        </is>
      </c>
      <c r="G5" s="4" t="inlineStr">
        <is>
          <t>하이멜</t>
        </is>
      </c>
      <c r="H5" s="66" t="inlineStr">
        <is>
          <t>통관비용</t>
        </is>
      </c>
      <c r="I5" s="66" t="n"/>
      <c r="J5" s="66" t="n"/>
      <c r="K5" s="67" t="n"/>
      <c r="L5" s="166" t="n">
        <v>1</v>
      </c>
      <c r="M5" s="167" t="n"/>
      <c r="N5" s="168" t="n"/>
      <c r="O5" s="169" t="n"/>
      <c r="P5" s="170" t="n"/>
      <c r="Q5" s="171" t="n"/>
      <c r="R5" s="172" t="n"/>
      <c r="S5" s="172" t="n">
        <v>287760</v>
      </c>
      <c r="T5" s="173" t="n"/>
      <c r="U5" s="174" t="n"/>
      <c r="V5" s="175" t="n"/>
      <c r="W5" s="176" t="n"/>
      <c r="X5" s="172" t="n"/>
      <c r="Y5" s="22" t="inlineStr">
        <is>
          <t>물류</t>
        </is>
      </c>
      <c r="Z5" s="220">
        <f>W5-S5-Q5</f>
        <v/>
      </c>
      <c r="AA5" s="0" t="n"/>
      <c r="AB5" s="0" t="n"/>
      <c r="AC5" s="0" t="n"/>
      <c r="AD5" s="0" t="n"/>
      <c r="AE5" s="0" t="n"/>
    </row>
    <row r="6" ht="16" customHeight="1" s="162">
      <c r="A6" s="206" t="n">
        <v>2601</v>
      </c>
      <c r="B6" s="164" t="n">
        <v>46044</v>
      </c>
      <c r="C6" s="150" t="inlineStr">
        <is>
          <t>grey ptfe</t>
        </is>
      </c>
      <c r="D6" s="3" t="inlineStr">
        <is>
          <t>WUJING FUHUANG TEXTILE CO., LTD</t>
        </is>
      </c>
      <c r="E6" s="4" t="inlineStr">
        <is>
          <t>XXXX</t>
        </is>
      </c>
      <c r="F6" s="5" t="inlineStr">
        <is>
          <t>tape</t>
        </is>
      </c>
      <c r="G6" s="4" t="inlineStr">
        <is>
          <t>하이멜</t>
        </is>
      </c>
      <c r="H6" s="66" t="inlineStr">
        <is>
          <t>운임비용</t>
        </is>
      </c>
      <c r="I6" s="66" t="n"/>
      <c r="J6" s="66" t="n"/>
      <c r="K6" s="67" t="n"/>
      <c r="L6" s="166" t="n">
        <v>1</v>
      </c>
      <c r="M6" s="167" t="n"/>
      <c r="N6" s="168" t="n"/>
      <c r="O6" s="169" t="n"/>
      <c r="P6" s="170" t="n"/>
      <c r="Q6" s="171" t="n"/>
      <c r="R6" s="172" t="n"/>
      <c r="S6" s="172" t="n">
        <v>1268210</v>
      </c>
      <c r="T6" s="173" t="n"/>
      <c r="U6" s="174" t="n"/>
      <c r="V6" s="175" t="n"/>
      <c r="W6" s="176" t="n"/>
      <c r="X6" s="172" t="n"/>
      <c r="Y6" s="22" t="inlineStr">
        <is>
          <t>물류</t>
        </is>
      </c>
      <c r="Z6" s="220">
        <f>W6-S6-Q6</f>
        <v/>
      </c>
    </row>
    <row r="7" ht="16" customFormat="1" customHeight="1" s="68">
      <c r="A7" s="206" t="n">
        <v>2601</v>
      </c>
      <c r="B7" s="164" t="n">
        <v>46023</v>
      </c>
      <c r="C7" s="150" t="inlineStr">
        <is>
          <t>HPK3042-SJ</t>
        </is>
      </c>
      <c r="D7" s="3" t="inlineStr">
        <is>
          <t>강일섬유</t>
        </is>
      </c>
      <c r="E7" s="4" t="inlineStr">
        <is>
          <t>풍아산업</t>
        </is>
      </c>
      <c r="F7" s="5" t="inlineStr">
        <is>
          <t>tape</t>
        </is>
      </c>
      <c r="G7" s="4" t="inlineStr">
        <is>
          <t>실론</t>
        </is>
      </c>
      <c r="H7" s="66" t="inlineStr">
        <is>
          <t>HPK3042-SJ</t>
        </is>
      </c>
      <c r="I7" s="66" t="n"/>
      <c r="J7" s="66" t="n"/>
      <c r="K7" s="67" t="n"/>
      <c r="L7" s="166" t="n">
        <v>10</v>
      </c>
      <c r="M7" s="167" t="n">
        <v>175</v>
      </c>
      <c r="N7" s="168" t="n"/>
      <c r="O7" s="169" t="n"/>
      <c r="P7" s="170" t="n"/>
      <c r="Q7" s="171" t="n"/>
      <c r="R7" s="172" t="n">
        <v>3800</v>
      </c>
      <c r="S7" s="172">
        <f>M7*R7</f>
        <v/>
      </c>
      <c r="T7" s="173" t="n"/>
      <c r="U7" s="174" t="n"/>
      <c r="V7" s="175" t="n"/>
      <c r="W7" s="176" t="n"/>
      <c r="X7" s="172" t="n"/>
      <c r="Y7" s="22" t="inlineStr">
        <is>
          <t>편직</t>
        </is>
      </c>
      <c r="Z7" s="220">
        <f>W7-S7-Q7</f>
        <v/>
      </c>
      <c r="AA7" s="0" t="n"/>
      <c r="AB7" s="0" t="n"/>
      <c r="AC7" s="0" t="n"/>
      <c r="AD7" s="0" t="n"/>
      <c r="AE7" s="0" t="n"/>
    </row>
    <row r="8" ht="16" customFormat="1" customHeight="1" s="68">
      <c r="A8" s="206" t="n">
        <v>2601</v>
      </c>
      <c r="B8" s="164" t="n">
        <v>46041</v>
      </c>
      <c r="C8" s="150" t="inlineStr">
        <is>
          <t>HPK3042-SJ</t>
        </is>
      </c>
      <c r="D8" s="3" t="inlineStr">
        <is>
          <t>강일섬유</t>
        </is>
      </c>
      <c r="E8" s="4" t="inlineStr">
        <is>
          <t>풍아산업</t>
        </is>
      </c>
      <c r="F8" s="5" t="inlineStr">
        <is>
          <t>tape</t>
        </is>
      </c>
      <c r="G8" s="4" t="inlineStr">
        <is>
          <t>실론</t>
        </is>
      </c>
      <c r="H8" s="66" t="inlineStr">
        <is>
          <t>HPK3042-SJ</t>
        </is>
      </c>
      <c r="I8" s="66" t="n"/>
      <c r="J8" s="66" t="n"/>
      <c r="K8" s="67" t="n"/>
      <c r="L8" s="166" t="n">
        <v>21</v>
      </c>
      <c r="M8" s="167" t="n">
        <v>367.5</v>
      </c>
      <c r="N8" s="168" t="n"/>
      <c r="O8" s="169" t="n"/>
      <c r="P8" s="170" t="n"/>
      <c r="Q8" s="171" t="n"/>
      <c r="R8" s="172" t="n">
        <v>3800</v>
      </c>
      <c r="S8" s="172">
        <f>M8*R8</f>
        <v/>
      </c>
      <c r="T8" s="173" t="n"/>
      <c r="U8" s="174" t="n"/>
      <c r="V8" s="175" t="n"/>
      <c r="W8" s="176" t="n"/>
      <c r="X8" s="172" t="n"/>
      <c r="Y8" s="22" t="inlineStr">
        <is>
          <t>편직</t>
        </is>
      </c>
      <c r="Z8" s="220">
        <f>W8-S8-Q8</f>
        <v/>
      </c>
      <c r="AA8" s="0" t="n"/>
      <c r="AB8" s="0" t="n"/>
      <c r="AC8" s="0" t="n"/>
      <c r="AD8" s="0" t="n"/>
      <c r="AE8" s="0" t="n"/>
    </row>
    <row r="9" ht="16" customFormat="1" customHeight="1" s="68">
      <c r="A9" s="206" t="n">
        <v>2601</v>
      </c>
      <c r="B9" s="164" t="n">
        <v>46045</v>
      </c>
      <c r="C9" s="150" t="inlineStr">
        <is>
          <t>HPK3042-SJ</t>
        </is>
      </c>
      <c r="D9" s="3" t="inlineStr">
        <is>
          <t>강일섬유</t>
        </is>
      </c>
      <c r="E9" s="4" t="inlineStr">
        <is>
          <t>풍아산업</t>
        </is>
      </c>
      <c r="F9" s="5" t="inlineStr">
        <is>
          <t>tape</t>
        </is>
      </c>
      <c r="G9" s="4" t="inlineStr">
        <is>
          <t>실론</t>
        </is>
      </c>
      <c r="H9" s="66" t="inlineStr">
        <is>
          <t>HPK3042-SJ</t>
        </is>
      </c>
      <c r="I9" s="66" t="n"/>
      <c r="J9" s="66" t="n"/>
      <c r="K9" s="67" t="n"/>
      <c r="L9" s="166" t="n">
        <v>11</v>
      </c>
      <c r="M9" s="167" t="n">
        <v>192.5</v>
      </c>
      <c r="N9" s="168" t="n"/>
      <c r="O9" s="169" t="n"/>
      <c r="P9" s="170" t="n"/>
      <c r="Q9" s="171" t="n"/>
      <c r="R9" s="172" t="n">
        <v>3800</v>
      </c>
      <c r="S9" s="172">
        <f>M9*R9</f>
        <v/>
      </c>
      <c r="T9" s="173" t="n"/>
      <c r="U9" s="174" t="n"/>
      <c r="V9" s="175" t="n"/>
      <c r="W9" s="176" t="n"/>
      <c r="X9" s="172" t="n"/>
      <c r="Y9" s="22" t="inlineStr">
        <is>
          <t>편직</t>
        </is>
      </c>
      <c r="Z9" s="220">
        <f>W9-S9-Q9</f>
        <v/>
      </c>
      <c r="AA9" s="0" t="n"/>
      <c r="AB9" s="0" t="n"/>
      <c r="AC9" s="0" t="n"/>
      <c r="AD9" s="0" t="n"/>
      <c r="AE9" s="0" t="n"/>
    </row>
    <row r="10" ht="16" customFormat="1" customHeight="1" s="68">
      <c r="A10" s="206" t="n">
        <v>2601</v>
      </c>
      <c r="B10" s="164" t="n">
        <v>46049</v>
      </c>
      <c r="C10" s="150" t="inlineStr">
        <is>
          <t>HPK3042-SJ</t>
        </is>
      </c>
      <c r="D10" s="3" t="inlineStr">
        <is>
          <t>강일섬유</t>
        </is>
      </c>
      <c r="E10" s="4" t="inlineStr">
        <is>
          <t>풍아산업</t>
        </is>
      </c>
      <c r="F10" s="5" t="inlineStr">
        <is>
          <t>tape</t>
        </is>
      </c>
      <c r="G10" s="4" t="inlineStr">
        <is>
          <t>실론</t>
        </is>
      </c>
      <c r="H10" s="66" t="inlineStr">
        <is>
          <t>HPK3042-SJ</t>
        </is>
      </c>
      <c r="I10" s="66" t="n"/>
      <c r="J10" s="66" t="n"/>
      <c r="K10" s="67" t="n"/>
      <c r="L10" s="166" t="n">
        <v>1</v>
      </c>
      <c r="M10" s="167" t="n">
        <v>17.5</v>
      </c>
      <c r="N10" s="168" t="n"/>
      <c r="O10" s="169" t="n"/>
      <c r="P10" s="170" t="n"/>
      <c r="Q10" s="171" t="n"/>
      <c r="R10" s="172" t="n">
        <v>3800</v>
      </c>
      <c r="S10" s="172">
        <f>M10*R10</f>
        <v/>
      </c>
      <c r="T10" s="173" t="n"/>
      <c r="U10" s="174" t="n"/>
      <c r="V10" s="175" t="n"/>
      <c r="W10" s="176" t="n"/>
      <c r="X10" s="172" t="n"/>
      <c r="Y10" s="22" t="inlineStr">
        <is>
          <t>편직</t>
        </is>
      </c>
      <c r="Z10" s="220">
        <f>W10-S10-Q10</f>
        <v/>
      </c>
      <c r="AA10" s="0" t="n"/>
      <c r="AB10" s="0" t="n"/>
      <c r="AC10" s="0" t="n"/>
      <c r="AD10" s="0" t="n"/>
      <c r="AE10" s="0" t="n"/>
    </row>
    <row r="11" ht="16" customFormat="1" customHeight="1" s="68">
      <c r="A11" s="206" t="n">
        <v>2601</v>
      </c>
      <c r="B11" s="164" t="n">
        <v>46028</v>
      </c>
      <c r="C11" s="150" t="inlineStr">
        <is>
          <t>하이젠540</t>
        </is>
      </c>
      <c r="D11" s="3" t="inlineStr">
        <is>
          <t>동우섬유</t>
        </is>
      </c>
      <c r="E11" s="4" t="inlineStr">
        <is>
          <t>은호섬유</t>
        </is>
      </c>
      <c r="F11" s="5" t="inlineStr">
        <is>
          <t>cleaner</t>
        </is>
      </c>
      <c r="G11" s="4" t="inlineStr">
        <is>
          <t>티에이케이</t>
        </is>
      </c>
      <c r="H11" s="66" t="inlineStr">
        <is>
          <t>하이젠540</t>
        </is>
      </c>
      <c r="I11" s="66" t="n"/>
      <c r="J11" s="66" t="n"/>
      <c r="K11" s="67" t="n"/>
      <c r="L11" s="166" t="n">
        <v>66</v>
      </c>
      <c r="M11" s="167" t="n">
        <v>1358.3</v>
      </c>
      <c r="N11" s="168" t="n"/>
      <c r="O11" s="169" t="n"/>
      <c r="P11" s="170" t="n"/>
      <c r="Q11" s="171" t="n"/>
      <c r="R11" s="172" t="n">
        <v>2000</v>
      </c>
      <c r="S11" s="172">
        <f>M11*R11</f>
        <v/>
      </c>
      <c r="T11" s="173" t="n"/>
      <c r="U11" s="174" t="n"/>
      <c r="V11" s="175" t="n"/>
      <c r="W11" s="176" t="n"/>
      <c r="X11" s="172" t="n"/>
      <c r="Y11" s="22" t="inlineStr">
        <is>
          <t>편직</t>
        </is>
      </c>
      <c r="Z11" s="220">
        <f>W11-S11-Q11</f>
        <v/>
      </c>
      <c r="AA11" s="0" t="n"/>
      <c r="AB11" s="0" t="n"/>
      <c r="AC11" s="0" t="n"/>
      <c r="AD11" s="0" t="n"/>
      <c r="AE11" s="0" t="n"/>
    </row>
    <row r="12" ht="16" customHeight="1" s="162">
      <c r="A12" s="206" t="n">
        <v>2601</v>
      </c>
      <c r="B12" s="164" t="n">
        <v>46029</v>
      </c>
      <c r="C12" s="150" t="inlineStr">
        <is>
          <t>Q851</t>
        </is>
      </c>
      <c r="D12" s="3" t="inlineStr">
        <is>
          <t>동우섬유</t>
        </is>
      </c>
      <c r="E12" s="4" t="inlineStr">
        <is>
          <t>은호섬유</t>
        </is>
      </c>
      <c r="F12" s="5" t="inlineStr">
        <is>
          <t>cleaner</t>
        </is>
      </c>
      <c r="G12" s="4" t="inlineStr">
        <is>
          <t>티에이케이</t>
        </is>
      </c>
      <c r="H12" s="66" t="inlineStr">
        <is>
          <t>Q851</t>
        </is>
      </c>
      <c r="I12" s="66" t="n"/>
      <c r="J12" s="66" t="n"/>
      <c r="K12" s="67" t="n"/>
      <c r="L12" s="166" t="n">
        <v>40</v>
      </c>
      <c r="M12" s="167" t="n">
        <v>736.5</v>
      </c>
      <c r="N12" s="168" t="n"/>
      <c r="O12" s="169" t="n"/>
      <c r="P12" s="170" t="n"/>
      <c r="Q12" s="171" t="n"/>
      <c r="R12" s="172" t="n">
        <v>1800</v>
      </c>
      <c r="S12" s="172">
        <f>M12*R12</f>
        <v/>
      </c>
      <c r="T12" s="173" t="n"/>
      <c r="U12" s="174" t="n"/>
      <c r="V12" s="175" t="n"/>
      <c r="W12" s="176" t="n"/>
      <c r="X12" s="172" t="n"/>
      <c r="Y12" s="22" t="inlineStr">
        <is>
          <t>편직</t>
        </is>
      </c>
      <c r="Z12" s="221">
        <f>W12-S12-Q12</f>
        <v/>
      </c>
    </row>
    <row r="13" ht="16" customHeight="1" s="162">
      <c r="A13" s="206" t="n">
        <v>2601</v>
      </c>
      <c r="B13" s="164" t="n">
        <v>46029</v>
      </c>
      <c r="C13" s="150" t="inlineStr">
        <is>
          <t>하이젠540</t>
        </is>
      </c>
      <c r="D13" s="3" t="inlineStr">
        <is>
          <t>동우섬유</t>
        </is>
      </c>
      <c r="E13" s="4" t="inlineStr">
        <is>
          <t>은호섬유</t>
        </is>
      </c>
      <c r="F13" s="5" t="inlineStr">
        <is>
          <t>cleaner</t>
        </is>
      </c>
      <c r="G13" s="4" t="inlineStr">
        <is>
          <t>티에이케이</t>
        </is>
      </c>
      <c r="H13" s="66" t="inlineStr">
        <is>
          <t>하이젠 540</t>
        </is>
      </c>
      <c r="I13" s="66" t="n"/>
      <c r="J13" s="66" t="n"/>
      <c r="K13" s="67" t="n"/>
      <c r="L13" s="166" t="n">
        <v>140</v>
      </c>
      <c r="M13" s="167" t="n">
        <v>2839.9</v>
      </c>
      <c r="N13" s="168" t="n"/>
      <c r="O13" s="169" t="n"/>
      <c r="P13" s="170" t="n"/>
      <c r="Q13" s="171" t="n"/>
      <c r="R13" s="172" t="n">
        <v>2000</v>
      </c>
      <c r="S13" s="172">
        <f>M13*R13</f>
        <v/>
      </c>
      <c r="T13" s="173" t="n"/>
      <c r="U13" s="174" t="n"/>
      <c r="V13" s="175" t="n"/>
      <c r="W13" s="176" t="n"/>
      <c r="X13" s="172" t="n"/>
      <c r="Y13" s="22" t="inlineStr">
        <is>
          <t>편직</t>
        </is>
      </c>
      <c r="Z13" s="220">
        <f>W13-S13-Q13</f>
        <v/>
      </c>
    </row>
    <row r="14" ht="16" customHeight="1" s="162">
      <c r="A14" s="206" t="n">
        <v>2601</v>
      </c>
      <c r="B14" s="222" t="n">
        <v>46035</v>
      </c>
      <c r="C14" s="150" t="inlineStr">
        <is>
          <t>하이젠540</t>
        </is>
      </c>
      <c r="D14" s="84" t="inlineStr">
        <is>
          <t>동우섬유</t>
        </is>
      </c>
      <c r="E14" s="88" t="inlineStr">
        <is>
          <t>은호섬유</t>
        </is>
      </c>
      <c r="F14" s="89" t="inlineStr">
        <is>
          <t>cleaner</t>
        </is>
      </c>
      <c r="G14" s="88" t="inlineStr">
        <is>
          <t>티에이케이</t>
        </is>
      </c>
      <c r="H14" s="90" t="inlineStr">
        <is>
          <t>하이젠 540</t>
        </is>
      </c>
      <c r="I14" s="90" t="n"/>
      <c r="J14" s="90" t="n"/>
      <c r="K14" s="91" t="n"/>
      <c r="L14" s="223" t="n">
        <v>50</v>
      </c>
      <c r="M14" s="224" t="n">
        <v>1038.8</v>
      </c>
      <c r="N14" s="225" t="n"/>
      <c r="O14" s="226" t="n"/>
      <c r="P14" s="170" t="n"/>
      <c r="Q14" s="171" t="n"/>
      <c r="R14" s="227" t="n">
        <v>2000</v>
      </c>
      <c r="S14" s="227">
        <f>M14*R14</f>
        <v/>
      </c>
      <c r="T14" s="228" t="n"/>
      <c r="U14" s="229" t="n"/>
      <c r="V14" s="230" t="n"/>
      <c r="W14" s="231" t="n"/>
      <c r="X14" s="227" t="n"/>
      <c r="Y14" s="130" t="inlineStr">
        <is>
          <t>편직</t>
        </is>
      </c>
      <c r="Z14" s="220">
        <f>W14-S14-Q14</f>
        <v/>
      </c>
      <c r="AA14" s="86" t="n"/>
      <c r="AB14" s="86" t="n"/>
      <c r="AC14" s="86" t="n"/>
      <c r="AD14" s="86" t="n"/>
      <c r="AE14" s="86" t="n"/>
    </row>
    <row r="15" ht="16" customHeight="1" s="162">
      <c r="A15" s="206" t="n">
        <v>2601</v>
      </c>
      <c r="B15" s="164" t="n">
        <v>46043</v>
      </c>
      <c r="C15" s="150" t="inlineStr">
        <is>
          <t>하이젠540</t>
        </is>
      </c>
      <c r="D15" s="3" t="inlineStr">
        <is>
          <t>동우섬유</t>
        </is>
      </c>
      <c r="E15" s="4" t="inlineStr">
        <is>
          <t>은호섬유</t>
        </is>
      </c>
      <c r="F15" s="5" t="inlineStr">
        <is>
          <t>cleaner</t>
        </is>
      </c>
      <c r="G15" s="4" t="inlineStr">
        <is>
          <t>티에이케이</t>
        </is>
      </c>
      <c r="H15" s="66" t="inlineStr">
        <is>
          <t>하이젠 540</t>
        </is>
      </c>
      <c r="I15" s="66" t="n"/>
      <c r="J15" s="66" t="n"/>
      <c r="K15" s="67" t="n"/>
      <c r="L15" s="166" t="n">
        <v>66</v>
      </c>
      <c r="M15" s="167" t="n">
        <v>1352</v>
      </c>
      <c r="N15" s="168" t="n"/>
      <c r="O15" s="169" t="n"/>
      <c r="P15" s="170" t="n"/>
      <c r="Q15" s="171" t="n"/>
      <c r="R15" s="172" t="n">
        <v>2000</v>
      </c>
      <c r="S15" s="172">
        <f>M15*R15</f>
        <v/>
      </c>
      <c r="T15" s="173" t="n"/>
      <c r="U15" s="174" t="n"/>
      <c r="V15" s="175" t="n"/>
      <c r="W15" s="176" t="n"/>
      <c r="X15" s="172" t="n"/>
      <c r="Y15" s="22" t="inlineStr">
        <is>
          <t>편직</t>
        </is>
      </c>
      <c r="Z15" s="220">
        <f>W15-S15-Q15</f>
        <v/>
      </c>
    </row>
    <row r="16" ht="16" customHeight="1" s="162">
      <c r="A16" s="206" t="n">
        <v>2601</v>
      </c>
      <c r="B16" s="164" t="n">
        <v>46049</v>
      </c>
      <c r="C16" s="150" t="inlineStr">
        <is>
          <t>하이젠540</t>
        </is>
      </c>
      <c r="D16" s="3" t="inlineStr">
        <is>
          <t>동우섬유</t>
        </is>
      </c>
      <c r="E16" s="4" t="inlineStr">
        <is>
          <t>은호섬유</t>
        </is>
      </c>
      <c r="F16" s="5" t="inlineStr">
        <is>
          <t>cleaner</t>
        </is>
      </c>
      <c r="G16" s="4" t="inlineStr">
        <is>
          <t>티에이케이</t>
        </is>
      </c>
      <c r="H16" s="66" t="inlineStr">
        <is>
          <t>하이젠 540</t>
        </is>
      </c>
      <c r="I16" s="66" t="n"/>
      <c r="J16" s="66" t="n"/>
      <c r="K16" s="67" t="n"/>
      <c r="L16" s="166" t="n">
        <v>50</v>
      </c>
      <c r="M16" s="167" t="n">
        <v>1034.8</v>
      </c>
      <c r="N16" s="168" t="n"/>
      <c r="O16" s="169" t="n"/>
      <c r="P16" s="170" t="n"/>
      <c r="Q16" s="171" t="n"/>
      <c r="R16" s="172" t="n">
        <v>2000</v>
      </c>
      <c r="S16" s="172">
        <f>M16*R16</f>
        <v/>
      </c>
      <c r="T16" s="173" t="n"/>
      <c r="U16" s="174" t="n"/>
      <c r="V16" s="175" t="n"/>
      <c r="W16" s="176" t="n"/>
      <c r="X16" s="172" t="n"/>
      <c r="Y16" s="22" t="inlineStr">
        <is>
          <t>편직</t>
        </is>
      </c>
      <c r="Z16" s="220">
        <f>W16-S16-Q16</f>
        <v/>
      </c>
    </row>
    <row r="17" ht="16" customHeight="1" s="162">
      <c r="A17" s="206" t="n">
        <v>2601</v>
      </c>
      <c r="B17" s="164" t="n">
        <v>46052</v>
      </c>
      <c r="C17" s="150" t="inlineStr">
        <is>
          <t>하이젠540</t>
        </is>
      </c>
      <c r="D17" s="3" t="inlineStr">
        <is>
          <t>동우섬유</t>
        </is>
      </c>
      <c r="E17" s="4" t="inlineStr">
        <is>
          <t>은호섬유</t>
        </is>
      </c>
      <c r="F17" s="5" t="inlineStr">
        <is>
          <t>cleaner</t>
        </is>
      </c>
      <c r="G17" s="4" t="inlineStr">
        <is>
          <t>티에이케이</t>
        </is>
      </c>
      <c r="H17" s="66" t="inlineStr">
        <is>
          <t>GROUND 원사</t>
        </is>
      </c>
      <c r="I17" s="66" t="n"/>
      <c r="J17" s="66" t="n"/>
      <c r="K17" s="67" t="n"/>
      <c r="L17" s="166" t="n"/>
      <c r="M17" s="167" t="n">
        <v>1254.05</v>
      </c>
      <c r="N17" s="168" t="n"/>
      <c r="O17" s="169" t="n"/>
      <c r="P17" s="170" t="n">
        <v>2505</v>
      </c>
      <c r="Q17" s="171" t="n">
        <v>3141668</v>
      </c>
      <c r="R17" s="172" t="n"/>
      <c r="S17" s="172" t="n"/>
      <c r="T17" s="173" t="n"/>
      <c r="U17" s="174" t="n"/>
      <c r="V17" s="175" t="n"/>
      <c r="W17" s="176" t="n"/>
      <c r="X17" s="172" t="n"/>
      <c r="Y17" s="22" t="inlineStr">
        <is>
          <t>편직</t>
        </is>
      </c>
      <c r="Z17" s="220">
        <f>W17-S17-Q17</f>
        <v/>
      </c>
    </row>
    <row r="18" ht="16" customHeight="1" s="162">
      <c r="A18" s="206" t="n">
        <v>2601</v>
      </c>
      <c r="B18" s="164" t="n">
        <v>46037</v>
      </c>
      <c r="C18" s="150" t="inlineStr">
        <is>
          <t>하이젠540</t>
        </is>
      </c>
      <c r="D18" s="3" t="inlineStr">
        <is>
          <t>두성섬유</t>
        </is>
      </c>
      <c r="E18" s="4" t="inlineStr">
        <is>
          <t>승진섬유</t>
        </is>
      </c>
      <c r="F18" s="5" t="inlineStr">
        <is>
          <t>cleaner</t>
        </is>
      </c>
      <c r="G18" s="4" t="inlineStr">
        <is>
          <t>티에이케이</t>
        </is>
      </c>
      <c r="H18" s="66" t="inlineStr">
        <is>
          <t>POLY 150/48</t>
        </is>
      </c>
      <c r="I18" s="66" t="n"/>
      <c r="J18" s="66" t="n"/>
      <c r="K18" s="67" t="inlineStr">
        <is>
          <t>AA</t>
        </is>
      </c>
      <c r="L18" s="166" t="n">
        <v>7</v>
      </c>
      <c r="M18" s="167" t="n">
        <v>2625</v>
      </c>
      <c r="N18" s="168" t="n"/>
      <c r="O18" s="169" t="n"/>
      <c r="P18" s="170" t="n">
        <v>2205</v>
      </c>
      <c r="Q18" s="171">
        <f>M18*P18</f>
        <v/>
      </c>
      <c r="R18" s="172" t="n"/>
      <c r="S18" s="172" t="n"/>
      <c r="T18" s="173" t="n"/>
      <c r="U18" s="174" t="n"/>
      <c r="V18" s="175" t="n"/>
      <c r="W18" s="176" t="n"/>
      <c r="X18" s="172" t="n"/>
      <c r="Y18" s="22" t="inlineStr">
        <is>
          <t>원료</t>
        </is>
      </c>
      <c r="Z18" s="220">
        <f>W18-S18-Q18</f>
        <v/>
      </c>
    </row>
    <row r="19" ht="16" customHeight="1" s="162">
      <c r="A19" s="206" t="n">
        <v>2601</v>
      </c>
      <c r="B19" s="164" t="n">
        <v>46037</v>
      </c>
      <c r="C19" s="150" t="inlineStr">
        <is>
          <t>하이젠540</t>
        </is>
      </c>
      <c r="D19" s="3" t="inlineStr">
        <is>
          <t>두성섬유</t>
        </is>
      </c>
      <c r="E19" s="4" t="inlineStr">
        <is>
          <t>승진섬유</t>
        </is>
      </c>
      <c r="F19" s="5" t="inlineStr">
        <is>
          <t>cleaner</t>
        </is>
      </c>
      <c r="G19" s="4" t="inlineStr">
        <is>
          <t>티에이케이</t>
        </is>
      </c>
      <c r="H19" s="66" t="inlineStr">
        <is>
          <t>POLY 150/48</t>
        </is>
      </c>
      <c r="I19" s="66" t="n"/>
      <c r="J19" s="66" t="n"/>
      <c r="K19" s="67" t="inlineStr">
        <is>
          <t>A</t>
        </is>
      </c>
      <c r="L19" s="166" t="n">
        <v>1</v>
      </c>
      <c r="M19" s="167" t="n">
        <v>365</v>
      </c>
      <c r="N19" s="168" t="n"/>
      <c r="O19" s="169" t="n"/>
      <c r="P19" s="170" t="n">
        <v>1874</v>
      </c>
      <c r="Q19" s="171">
        <f>M19*P19</f>
        <v/>
      </c>
      <c r="R19" s="172" t="n"/>
      <c r="S19" s="172" t="n"/>
      <c r="T19" s="173" t="n"/>
      <c r="U19" s="174" t="n"/>
      <c r="V19" s="175" t="n"/>
      <c r="W19" s="176" t="n"/>
      <c r="X19" s="172" t="n"/>
      <c r="Y19" s="22" t="inlineStr">
        <is>
          <t>원료</t>
        </is>
      </c>
      <c r="Z19" s="220">
        <f>W19-S19-Q19</f>
        <v/>
      </c>
    </row>
    <row r="20" ht="16" customHeight="1" s="162">
      <c r="A20" s="206" t="n">
        <v>2601</v>
      </c>
      <c r="B20" s="207" t="n">
        <v>46035</v>
      </c>
      <c r="C20" s="150" t="inlineStr">
        <is>
          <t>20D PTR</t>
        </is>
      </c>
      <c r="D20" s="71" t="inlineStr">
        <is>
          <t>디케이티</t>
        </is>
      </c>
      <c r="E20" s="72" t="inlineStr">
        <is>
          <t>하이멜</t>
        </is>
      </c>
      <c r="F20" s="73" t="inlineStr">
        <is>
          <t>tape</t>
        </is>
      </c>
      <c r="G20" s="72" t="inlineStr">
        <is>
          <t>하이멜</t>
        </is>
      </c>
      <c r="H20" s="74" t="inlineStr">
        <is>
          <t>20D PTR-SKIN</t>
        </is>
      </c>
      <c r="I20" s="74" t="inlineStr">
        <is>
          <t>GREY/WHIT</t>
        </is>
      </c>
      <c r="J20" s="74" t="n"/>
      <c r="K20" s="75" t="n"/>
      <c r="L20" s="208" t="n">
        <v>5</v>
      </c>
      <c r="M20" s="209" t="n"/>
      <c r="N20" s="210" t="n"/>
      <c r="O20" s="211" t="n">
        <v>3700</v>
      </c>
      <c r="P20" s="212" t="n"/>
      <c r="Q20" s="213" t="n"/>
      <c r="R20" s="215" t="n">
        <v>1850</v>
      </c>
      <c r="S20" s="215">
        <f>O20*R20</f>
        <v/>
      </c>
      <c r="T20" s="216" t="n"/>
      <c r="U20" s="217" t="n"/>
      <c r="V20" s="218" t="n">
        <v>3595</v>
      </c>
      <c r="W20" s="219">
        <f>O20*V20</f>
        <v/>
      </c>
      <c r="X20" s="215" t="n"/>
      <c r="Y20" s="134" t="inlineStr">
        <is>
          <t>가공</t>
        </is>
      </c>
      <c r="Z20" s="220">
        <f>W20-S20-Q20</f>
        <v/>
      </c>
      <c r="AA20" s="68" t="n"/>
      <c r="AB20" s="68" t="n"/>
      <c r="AC20" s="68" t="n"/>
      <c r="AD20" s="68" t="n"/>
      <c r="AE20" s="68" t="n"/>
    </row>
    <row r="21" ht="16" customFormat="1" customHeight="1" s="68">
      <c r="A21" s="206" t="n">
        <v>2601</v>
      </c>
      <c r="B21" s="207" t="n">
        <v>46035</v>
      </c>
      <c r="C21" s="150" t="inlineStr">
        <is>
          <t>sample</t>
        </is>
      </c>
      <c r="D21" s="71" t="inlineStr">
        <is>
          <t>디케이티</t>
        </is>
      </c>
      <c r="E21" s="72" t="inlineStr">
        <is>
          <t>하이멜</t>
        </is>
      </c>
      <c r="F21" s="73" t="inlineStr">
        <is>
          <t>tape</t>
        </is>
      </c>
      <c r="G21" s="72" t="inlineStr">
        <is>
          <t>하이멜</t>
        </is>
      </c>
      <c r="H21" s="74" t="inlineStr">
        <is>
          <t>COTTON TRICOT</t>
        </is>
      </c>
      <c r="I21" s="74" t="inlineStr">
        <is>
          <t>BEIGE</t>
        </is>
      </c>
      <c r="J21" s="74" t="n"/>
      <c r="K21" s="75" t="n"/>
      <c r="L21" s="208" t="n">
        <v>1</v>
      </c>
      <c r="M21" s="209" t="n"/>
      <c r="N21" s="210" t="n"/>
      <c r="O21" s="211" t="n">
        <v>25</v>
      </c>
      <c r="P21" s="212" t="n"/>
      <c r="Q21" s="213" t="n"/>
      <c r="R21" s="215" t="n">
        <v>1850</v>
      </c>
      <c r="S21" s="215">
        <f>O21*R21</f>
        <v/>
      </c>
      <c r="T21" s="216" t="n"/>
      <c r="U21" s="217" t="n"/>
      <c r="V21" s="218" t="n">
        <v>2250</v>
      </c>
      <c r="W21" s="219">
        <f>O21*V21</f>
        <v/>
      </c>
      <c r="X21" s="215" t="n"/>
      <c r="Y21" s="134" t="inlineStr">
        <is>
          <t>가공</t>
        </is>
      </c>
      <c r="Z21" s="220">
        <f>W21-S21-Q21</f>
        <v/>
      </c>
    </row>
    <row r="22" ht="16" customFormat="1" customHeight="1" s="68">
      <c r="A22" s="206" t="n">
        <v>2601</v>
      </c>
      <c r="B22" s="207" t="n">
        <v>46035</v>
      </c>
      <c r="C22" s="150" t="inlineStr">
        <is>
          <t>sample</t>
        </is>
      </c>
      <c r="D22" s="71" t="inlineStr">
        <is>
          <t>디케이티</t>
        </is>
      </c>
      <c r="E22" s="72" t="inlineStr">
        <is>
          <t>하이멜</t>
        </is>
      </c>
      <c r="F22" s="73" t="inlineStr">
        <is>
          <t>tape</t>
        </is>
      </c>
      <c r="G22" s="72" t="inlineStr">
        <is>
          <t>하이멜</t>
        </is>
      </c>
      <c r="H22" s="74" t="inlineStr">
        <is>
          <t>COTTON TRICOT</t>
        </is>
      </c>
      <c r="I22" s="74" t="inlineStr">
        <is>
          <t>BEIGE</t>
        </is>
      </c>
      <c r="J22" s="74" t="n"/>
      <c r="K22" s="75" t="n"/>
      <c r="L22" s="208" t="n">
        <v>2</v>
      </c>
      <c r="M22" s="209" t="n"/>
      <c r="N22" s="210" t="n"/>
      <c r="O22" s="211" t="n">
        <v>31</v>
      </c>
      <c r="P22" s="212" t="n"/>
      <c r="Q22" s="213" t="n"/>
      <c r="R22" s="215" t="n">
        <v>1850</v>
      </c>
      <c r="S22" s="215">
        <f>O22*R22</f>
        <v/>
      </c>
      <c r="T22" s="216" t="n"/>
      <c r="U22" s="217" t="n"/>
      <c r="V22" s="218" t="n">
        <v>2250</v>
      </c>
      <c r="W22" s="219">
        <f>O22*V22</f>
        <v/>
      </c>
      <c r="X22" s="215" t="n"/>
      <c r="Y22" s="134" t="inlineStr">
        <is>
          <t>가공</t>
        </is>
      </c>
      <c r="Z22" s="220">
        <f>W22-S22-Q22</f>
        <v/>
      </c>
    </row>
    <row r="23" ht="16" customFormat="1" customHeight="1" s="68">
      <c r="A23" s="206" t="n">
        <v>2601</v>
      </c>
      <c r="B23" s="207" t="n">
        <v>46036</v>
      </c>
      <c r="C23" s="150" t="inlineStr">
        <is>
          <t>15d심지</t>
        </is>
      </c>
      <c r="D23" s="71" t="inlineStr">
        <is>
          <t>미래심지</t>
        </is>
      </c>
      <c r="E23" s="72" t="inlineStr">
        <is>
          <t>에스제이인터내셔널</t>
        </is>
      </c>
      <c r="F23" s="73" t="inlineStr">
        <is>
          <t>back</t>
        </is>
      </c>
      <c r="G23" s="72" t="inlineStr">
        <is>
          <t>에스제이인터내셔널</t>
        </is>
      </c>
      <c r="H23" s="74" t="inlineStr">
        <is>
          <t>P15D WOVEN</t>
        </is>
      </c>
      <c r="I23" s="74" t="inlineStr">
        <is>
          <t>GREY</t>
        </is>
      </c>
      <c r="J23" s="74" t="n"/>
      <c r="K23" s="75" t="n"/>
      <c r="L23" s="208" t="n">
        <v>3</v>
      </c>
      <c r="M23" s="209" t="n"/>
      <c r="N23" s="210" t="n">
        <v>1045</v>
      </c>
      <c r="O23" s="211" t="n"/>
      <c r="P23" s="212" t="n"/>
      <c r="Q23" s="213" t="n"/>
      <c r="R23" s="215" t="n">
        <v>1020</v>
      </c>
      <c r="S23" s="215">
        <f>N23*R23</f>
        <v/>
      </c>
      <c r="T23" s="216" t="n"/>
      <c r="U23" s="217" t="n"/>
      <c r="V23" s="218" t="n">
        <v>1600</v>
      </c>
      <c r="W23" s="219">
        <f>N23*V23</f>
        <v/>
      </c>
      <c r="X23" s="215" t="n"/>
      <c r="Y23" s="134" t="inlineStr">
        <is>
          <t>상품</t>
        </is>
      </c>
      <c r="Z23" s="221">
        <f>W23-S23-Q23</f>
        <v/>
      </c>
    </row>
    <row r="24" ht="16" customFormat="1" customHeight="1" s="68">
      <c r="A24" s="206" t="n">
        <v>2601</v>
      </c>
      <c r="B24" s="164" t="n">
        <v>46044</v>
      </c>
      <c r="C24" s="150" t="inlineStr">
        <is>
          <t>뷰티 내츄럴</t>
        </is>
      </c>
      <c r="D24" s="3" t="inlineStr">
        <is>
          <t>빛나섬유</t>
        </is>
      </c>
      <c r="E24" s="4" t="inlineStr">
        <is>
          <t>태광산업</t>
        </is>
      </c>
      <c r="F24" s="5" t="inlineStr">
        <is>
          <t>blind</t>
        </is>
      </c>
      <c r="G24" s="4" t="inlineStr">
        <is>
          <t>한국윈텍</t>
        </is>
      </c>
      <c r="H24" s="66" t="inlineStr">
        <is>
          <t>DTY 150/48</t>
        </is>
      </c>
      <c r="I24" s="66" t="inlineStr">
        <is>
          <t>710-원사</t>
        </is>
      </c>
      <c r="J24" s="66" t="n"/>
      <c r="K24" s="67" t="n"/>
      <c r="L24" s="166" t="n">
        <v>30</v>
      </c>
      <c r="M24" s="167" t="n">
        <v>150</v>
      </c>
      <c r="N24" s="168" t="n"/>
      <c r="O24" s="169" t="n"/>
      <c r="P24" s="170" t="n">
        <v>3750</v>
      </c>
      <c r="Q24" s="171">
        <f>P24*M24</f>
        <v/>
      </c>
      <c r="R24" s="172" t="n"/>
      <c r="S24" s="172" t="n"/>
      <c r="T24" s="173" t="n"/>
      <c r="U24" s="174" t="n"/>
      <c r="V24" s="175" t="n"/>
      <c r="W24" s="176" t="n"/>
      <c r="X24" s="172" t="n"/>
      <c r="Y24" s="22" t="inlineStr">
        <is>
          <t>원료</t>
        </is>
      </c>
      <c r="Z24" s="220">
        <f>W24-S24-Q24</f>
        <v/>
      </c>
      <c r="AA24" s="0" t="n"/>
      <c r="AB24" s="0" t="n"/>
      <c r="AC24" s="0" t="n"/>
      <c r="AD24" s="0" t="n"/>
      <c r="AE24" s="0" t="n"/>
    </row>
    <row r="25" ht="16" customFormat="1" customHeight="1" s="68">
      <c r="A25" s="206" t="n">
        <v>2601</v>
      </c>
      <c r="B25" s="164" t="n">
        <v>46044</v>
      </c>
      <c r="C25" s="150" t="inlineStr">
        <is>
          <t>뷰티 내츄럴</t>
        </is>
      </c>
      <c r="D25" s="3" t="inlineStr">
        <is>
          <t>빛나섬유</t>
        </is>
      </c>
      <c r="E25" s="4" t="inlineStr">
        <is>
          <t>태광산업</t>
        </is>
      </c>
      <c r="F25" s="5" t="inlineStr">
        <is>
          <t>blind</t>
        </is>
      </c>
      <c r="G25" s="4" t="inlineStr">
        <is>
          <t>한국윈텍</t>
        </is>
      </c>
      <c r="H25" s="66" t="inlineStr">
        <is>
          <t>DTY 150/48</t>
        </is>
      </c>
      <c r="I25" s="66" t="inlineStr">
        <is>
          <t>452-원사</t>
        </is>
      </c>
      <c r="J25" s="66" t="n"/>
      <c r="K25" s="67" t="n"/>
      <c r="L25" s="166" t="n">
        <v>21</v>
      </c>
      <c r="M25" s="167" t="n">
        <v>105</v>
      </c>
      <c r="N25" s="168" t="n"/>
      <c r="O25" s="169" t="n"/>
      <c r="P25" s="170" t="n">
        <v>3750</v>
      </c>
      <c r="Q25" s="171">
        <f>P25*M25</f>
        <v/>
      </c>
      <c r="R25" s="172" t="n"/>
      <c r="S25" s="172" t="n"/>
      <c r="T25" s="173" t="n"/>
      <c r="U25" s="174" t="n"/>
      <c r="V25" s="175" t="n"/>
      <c r="W25" s="176" t="n"/>
      <c r="X25" s="172" t="n"/>
      <c r="Y25" s="22" t="inlineStr">
        <is>
          <t>원료</t>
        </is>
      </c>
      <c r="Z25" s="220">
        <f>W25-S25-Q25</f>
        <v/>
      </c>
      <c r="AA25" s="0" t="n"/>
      <c r="AB25" s="0" t="n"/>
      <c r="AC25" s="0" t="n"/>
      <c r="AD25" s="0" t="n"/>
      <c r="AE25" s="0" t="n"/>
    </row>
    <row r="26" ht="16" customFormat="1" customHeight="1" s="68">
      <c r="A26" s="206" t="n">
        <v>2601</v>
      </c>
      <c r="B26" s="164" t="n">
        <v>46044</v>
      </c>
      <c r="C26" s="150" t="inlineStr">
        <is>
          <t>뷰티 내츄럴</t>
        </is>
      </c>
      <c r="D26" s="3" t="inlineStr">
        <is>
          <t>빛나섬유</t>
        </is>
      </c>
      <c r="E26" s="4" t="inlineStr">
        <is>
          <t>태광산업</t>
        </is>
      </c>
      <c r="F26" s="5" t="inlineStr">
        <is>
          <t>blind</t>
        </is>
      </c>
      <c r="G26" s="4" t="inlineStr">
        <is>
          <t>한국윈텍</t>
        </is>
      </c>
      <c r="H26" s="66" t="inlineStr">
        <is>
          <t>DTY 150/48</t>
        </is>
      </c>
      <c r="I26" s="66" t="inlineStr">
        <is>
          <t>801-원사</t>
        </is>
      </c>
      <c r="J26" s="66" t="n"/>
      <c r="K26" s="67" t="n"/>
      <c r="L26" s="166" t="n">
        <v>9</v>
      </c>
      <c r="M26" s="167" t="n">
        <v>45</v>
      </c>
      <c r="N26" s="168" t="n"/>
      <c r="O26" s="169" t="n"/>
      <c r="P26" s="170" t="n">
        <v>3750</v>
      </c>
      <c r="Q26" s="171">
        <f>P26*M26</f>
        <v/>
      </c>
      <c r="R26" s="172" t="n"/>
      <c r="S26" s="172" t="n"/>
      <c r="T26" s="173" t="n"/>
      <c r="U26" s="174" t="n"/>
      <c r="V26" s="175" t="n"/>
      <c r="W26" s="176" t="n"/>
      <c r="X26" s="172" t="n"/>
      <c r="Y26" s="22" t="inlineStr">
        <is>
          <t>원료</t>
        </is>
      </c>
      <c r="Z26" s="220">
        <f>W26-S26-Q26</f>
        <v/>
      </c>
      <c r="AA26" s="0" t="n"/>
      <c r="AB26" s="0" t="n"/>
      <c r="AC26" s="0" t="n"/>
      <c r="AD26" s="0" t="n"/>
      <c r="AE26" s="0" t="n"/>
    </row>
    <row r="27" ht="16" customFormat="1" customHeight="1" s="68">
      <c r="A27" s="206" t="n">
        <v>2601</v>
      </c>
      <c r="B27" s="164" t="n">
        <v>46044</v>
      </c>
      <c r="C27" s="150" t="inlineStr">
        <is>
          <t>뷰티 내츄럴</t>
        </is>
      </c>
      <c r="D27" s="3" t="inlineStr">
        <is>
          <t>빛나섬유</t>
        </is>
      </c>
      <c r="E27" s="4" t="inlineStr">
        <is>
          <t>태광산업</t>
        </is>
      </c>
      <c r="F27" s="5" t="inlineStr">
        <is>
          <t>blind</t>
        </is>
      </c>
      <c r="G27" s="4" t="inlineStr">
        <is>
          <t>한국윈텍</t>
        </is>
      </c>
      <c r="H27" s="66" t="inlineStr">
        <is>
          <t>DTY 150/48</t>
        </is>
      </c>
      <c r="I27" s="66" t="inlineStr">
        <is>
          <t>704-원사</t>
        </is>
      </c>
      <c r="J27" s="66" t="n"/>
      <c r="K27" s="67" t="n"/>
      <c r="L27" s="166" t="n">
        <v>3</v>
      </c>
      <c r="M27" s="167" t="n">
        <v>15</v>
      </c>
      <c r="N27" s="168" t="n"/>
      <c r="O27" s="169" t="n"/>
      <c r="P27" s="170" t="n">
        <v>3750</v>
      </c>
      <c r="Q27" s="171">
        <f>P27*M27</f>
        <v/>
      </c>
      <c r="R27" s="172" t="n"/>
      <c r="S27" s="172" t="n"/>
      <c r="T27" s="173" t="n"/>
      <c r="U27" s="174" t="n"/>
      <c r="V27" s="175" t="n"/>
      <c r="W27" s="176" t="n"/>
      <c r="X27" s="172" t="n"/>
      <c r="Y27" s="22" t="inlineStr">
        <is>
          <t>원료</t>
        </is>
      </c>
      <c r="Z27" s="220">
        <f>W27-S27-Q27</f>
        <v/>
      </c>
      <c r="AA27" s="0" t="n"/>
      <c r="AB27" s="0" t="n"/>
      <c r="AC27" s="0" t="n"/>
      <c r="AD27" s="0" t="n"/>
      <c r="AE27" s="0" t="n"/>
    </row>
    <row r="28" ht="16" customFormat="1" customHeight="1" s="68">
      <c r="A28" s="206" t="n">
        <v>2601</v>
      </c>
      <c r="B28" s="164" t="n">
        <v>46044</v>
      </c>
      <c r="C28" s="150" t="inlineStr">
        <is>
          <t>뷰티 내츄럴</t>
        </is>
      </c>
      <c r="D28" s="3" t="inlineStr">
        <is>
          <t>빛나섬유</t>
        </is>
      </c>
      <c r="E28" s="4" t="inlineStr">
        <is>
          <t>태광산업</t>
        </is>
      </c>
      <c r="F28" s="5" t="inlineStr">
        <is>
          <t>blind</t>
        </is>
      </c>
      <c r="G28" s="4" t="inlineStr">
        <is>
          <t>한국윈텍</t>
        </is>
      </c>
      <c r="H28" s="66" t="inlineStr">
        <is>
          <t>DTY 150/48</t>
        </is>
      </c>
      <c r="I28" s="66" t="inlineStr">
        <is>
          <t>421-원사</t>
        </is>
      </c>
      <c r="J28" s="66" t="n"/>
      <c r="K28" s="67" t="n"/>
      <c r="L28" s="166" t="n">
        <v>12</v>
      </c>
      <c r="M28" s="167" t="n">
        <v>60</v>
      </c>
      <c r="N28" s="168" t="n"/>
      <c r="O28" s="169" t="n"/>
      <c r="P28" s="170" t="n">
        <v>3750</v>
      </c>
      <c r="Q28" s="171">
        <f>P28*M28</f>
        <v/>
      </c>
      <c r="R28" s="172" t="n"/>
      <c r="S28" s="172" t="n"/>
      <c r="T28" s="173" t="n"/>
      <c r="U28" s="174" t="n"/>
      <c r="V28" s="175" t="n"/>
      <c r="W28" s="176" t="n"/>
      <c r="X28" s="172" t="n"/>
      <c r="Y28" s="22" t="inlineStr">
        <is>
          <t>원료</t>
        </is>
      </c>
      <c r="Z28" s="220">
        <f>W28-S28-Q28</f>
        <v/>
      </c>
      <c r="AA28" s="0" t="n"/>
      <c r="AB28" s="0" t="n"/>
      <c r="AC28" s="0" t="n"/>
      <c r="AD28" s="0" t="n"/>
      <c r="AE28" s="0" t="n"/>
    </row>
    <row r="29" ht="16" customFormat="1" customHeight="1" s="68">
      <c r="A29" s="206" t="n">
        <v>2601</v>
      </c>
      <c r="B29" s="164" t="n">
        <v>46044</v>
      </c>
      <c r="C29" s="150" t="inlineStr">
        <is>
          <t>뷰티 내츄럴</t>
        </is>
      </c>
      <c r="D29" s="3" t="inlineStr">
        <is>
          <t>빛나섬유</t>
        </is>
      </c>
      <c r="E29" s="4" t="inlineStr">
        <is>
          <t>태광산업</t>
        </is>
      </c>
      <c r="F29" s="5" t="inlineStr">
        <is>
          <t>blind</t>
        </is>
      </c>
      <c r="G29" s="4" t="inlineStr">
        <is>
          <t>한국윈텍</t>
        </is>
      </c>
      <c r="H29" s="66" t="inlineStr">
        <is>
          <t>DTY 150/48</t>
        </is>
      </c>
      <c r="I29" s="66" t="inlineStr">
        <is>
          <t>703-원사</t>
        </is>
      </c>
      <c r="J29" s="66" t="n"/>
      <c r="K29" s="67" t="n"/>
      <c r="L29" s="166" t="n">
        <v>6</v>
      </c>
      <c r="M29" s="167" t="n">
        <v>30</v>
      </c>
      <c r="N29" s="168" t="n"/>
      <c r="O29" s="169" t="n"/>
      <c r="P29" s="170" t="n">
        <v>3750</v>
      </c>
      <c r="Q29" s="171">
        <f>P29*M29</f>
        <v/>
      </c>
      <c r="R29" s="172" t="n"/>
      <c r="S29" s="172" t="n"/>
      <c r="T29" s="173" t="n"/>
      <c r="U29" s="174" t="n"/>
      <c r="V29" s="175" t="n"/>
      <c r="W29" s="176" t="n"/>
      <c r="X29" s="172" t="n"/>
      <c r="Y29" s="22" t="inlineStr">
        <is>
          <t>원료</t>
        </is>
      </c>
      <c r="Z29" s="220">
        <f>W29-S29-Q29</f>
        <v/>
      </c>
      <c r="AA29" s="0" t="n"/>
      <c r="AB29" s="0" t="n"/>
      <c r="AC29" s="0" t="n"/>
      <c r="AD29" s="0" t="n"/>
      <c r="AE29" s="0" t="n"/>
    </row>
    <row r="30" ht="16" customHeight="1" s="162">
      <c r="A30" s="206" t="n">
        <v>2601</v>
      </c>
      <c r="B30" s="164" t="n">
        <v>46044</v>
      </c>
      <c r="C30" s="150" t="inlineStr">
        <is>
          <t>뷰티 내츄럴</t>
        </is>
      </c>
      <c r="D30" s="3" t="inlineStr">
        <is>
          <t>빛나섬유</t>
        </is>
      </c>
      <c r="E30" s="4" t="inlineStr">
        <is>
          <t>태광산업</t>
        </is>
      </c>
      <c r="F30" s="5" t="inlineStr">
        <is>
          <t>blind</t>
        </is>
      </c>
      <c r="G30" s="4" t="inlineStr">
        <is>
          <t>한국윈텍</t>
        </is>
      </c>
      <c r="H30" s="66" t="inlineStr">
        <is>
          <t>DTY 150/48</t>
        </is>
      </c>
      <c r="I30" s="66" t="inlineStr">
        <is>
          <t>708-원사</t>
        </is>
      </c>
      <c r="J30" s="66" t="n"/>
      <c r="K30" s="67" t="n"/>
      <c r="L30" s="166" t="n">
        <v>3</v>
      </c>
      <c r="M30" s="167" t="n">
        <v>15</v>
      </c>
      <c r="N30" s="168" t="n"/>
      <c r="O30" s="169" t="n"/>
      <c r="P30" s="170" t="n">
        <v>3950</v>
      </c>
      <c r="Q30" s="171">
        <f>P30*M30</f>
        <v/>
      </c>
      <c r="R30" s="172" t="n"/>
      <c r="S30" s="172" t="n"/>
      <c r="T30" s="173" t="n"/>
      <c r="U30" s="174" t="n"/>
      <c r="V30" s="175" t="n"/>
      <c r="W30" s="176" t="n"/>
      <c r="X30" s="172" t="n"/>
      <c r="Y30" s="22" t="inlineStr">
        <is>
          <t>원료</t>
        </is>
      </c>
      <c r="Z30" s="220">
        <f>W30-S30-Q30</f>
        <v/>
      </c>
    </row>
    <row r="31" ht="16" customHeight="1" s="162">
      <c r="A31" s="206" t="n">
        <v>2601</v>
      </c>
      <c r="B31" s="164" t="n">
        <v>46028</v>
      </c>
      <c r="C31" s="150" t="inlineStr">
        <is>
          <t xml:space="preserve">뷰티 xo </t>
        </is>
      </c>
      <c r="D31" s="3" t="inlineStr">
        <is>
          <t>삼덕섬유</t>
        </is>
      </c>
      <c r="E31" s="4" t="inlineStr">
        <is>
          <t>에스티</t>
        </is>
      </c>
      <c r="F31" s="5" t="inlineStr">
        <is>
          <t>blind</t>
        </is>
      </c>
      <c r="G31" s="4" t="inlineStr">
        <is>
          <t>한국윈텍</t>
        </is>
      </c>
      <c r="H31" s="66" t="inlineStr">
        <is>
          <t>DTY 450/144</t>
        </is>
      </c>
      <c r="I31" s="66" t="n"/>
      <c r="J31" s="66" t="n"/>
      <c r="K31" s="67" t="n"/>
      <c r="L31" s="166" t="n">
        <v>3</v>
      </c>
      <c r="M31" s="167" t="n">
        <v>1548</v>
      </c>
      <c r="N31" s="168" t="n"/>
      <c r="O31" s="169" t="n"/>
      <c r="P31" s="170" t="n">
        <v>2304</v>
      </c>
      <c r="Q31" s="171">
        <f>M31*P31</f>
        <v/>
      </c>
      <c r="R31" s="172" t="n"/>
      <c r="S31" s="172" t="n"/>
      <c r="T31" s="173" t="n"/>
      <c r="U31" s="174" t="n"/>
      <c r="V31" s="175" t="n"/>
      <c r="W31" s="176" t="n"/>
      <c r="X31" s="172" t="n"/>
      <c r="Y31" s="22" t="inlineStr">
        <is>
          <t>원료</t>
        </is>
      </c>
      <c r="Z31" s="220">
        <f>W31-S31-Q31</f>
        <v/>
      </c>
    </row>
    <row r="32" ht="16" customFormat="1" customHeight="1" s="68">
      <c r="A32" s="206" t="n">
        <v>2601</v>
      </c>
      <c r="B32" s="207" t="n">
        <v>46035</v>
      </c>
      <c r="C32" s="150" t="inlineStr">
        <is>
          <t>HPK3042-SJ</t>
        </is>
      </c>
      <c r="D32" s="71" t="inlineStr">
        <is>
          <t>성일티앤씨</t>
        </is>
      </c>
      <c r="E32" s="72" t="inlineStr">
        <is>
          <t>실론</t>
        </is>
      </c>
      <c r="F32" s="73" t="inlineStr">
        <is>
          <t>tape</t>
        </is>
      </c>
      <c r="G32" s="72" t="inlineStr">
        <is>
          <t>실론</t>
        </is>
      </c>
      <c r="H32" s="74" t="inlineStr">
        <is>
          <t>SEALON633</t>
        </is>
      </c>
      <c r="I32" s="74" t="inlineStr">
        <is>
          <t>QUITE SHADE/CLEAR</t>
        </is>
      </c>
      <c r="J32" s="74" t="n"/>
      <c r="K32" s="85" t="inlineStr">
        <is>
          <t>31.32</t>
        </is>
      </c>
      <c r="L32" s="208" t="n">
        <v>8</v>
      </c>
      <c r="M32" s="209" t="n"/>
      <c r="N32" s="210" t="n"/>
      <c r="O32" s="211" t="n">
        <v>2819</v>
      </c>
      <c r="P32" s="212" t="n"/>
      <c r="Q32" s="213" t="n"/>
      <c r="R32" s="215" t="n">
        <v>2350</v>
      </c>
      <c r="S32" s="215">
        <f>O32*R32</f>
        <v/>
      </c>
      <c r="T32" s="216" t="n"/>
      <c r="U32" s="217" t="n"/>
      <c r="V32" s="218" t="n">
        <v>4700</v>
      </c>
      <c r="W32" s="219">
        <f>O32*V32</f>
        <v/>
      </c>
      <c r="X32" s="215" t="n"/>
      <c r="Y32" s="134" t="inlineStr">
        <is>
          <t>가공</t>
        </is>
      </c>
      <c r="Z32" s="220">
        <f>W32-S32-Q32</f>
        <v/>
      </c>
    </row>
    <row r="33" ht="16" customHeight="1" s="162">
      <c r="A33" s="206" t="n">
        <v>2601</v>
      </c>
      <c r="B33" s="207" t="n">
        <v>46028</v>
      </c>
      <c r="C33" s="150" t="inlineStr">
        <is>
          <t>HPK3042-SJ</t>
        </is>
      </c>
      <c r="D33" s="71" t="inlineStr">
        <is>
          <t>성일티앤씨</t>
        </is>
      </c>
      <c r="E33" s="72" t="inlineStr">
        <is>
          <t>실론</t>
        </is>
      </c>
      <c r="F33" s="73" t="inlineStr">
        <is>
          <t>tape</t>
        </is>
      </c>
      <c r="G33" s="72" t="inlineStr">
        <is>
          <t>실론</t>
        </is>
      </c>
      <c r="H33" s="74" t="inlineStr">
        <is>
          <t>SEALON 633</t>
        </is>
      </c>
      <c r="I33" s="74" t="inlineStr">
        <is>
          <t>BLACK/WHITE</t>
        </is>
      </c>
      <c r="J33" s="74" t="n"/>
      <c r="K33" s="85" t="inlineStr">
        <is>
          <t>43.44</t>
        </is>
      </c>
      <c r="L33" s="208" t="n">
        <v>10</v>
      </c>
      <c r="M33" s="209" t="n"/>
      <c r="N33" s="210" t="n"/>
      <c r="O33" s="211" t="n">
        <v>2938</v>
      </c>
      <c r="P33" s="212" t="n"/>
      <c r="Q33" s="213" t="n"/>
      <c r="R33" s="215" t="n">
        <v>2350</v>
      </c>
      <c r="S33" s="215">
        <f>O33*R33</f>
        <v/>
      </c>
      <c r="T33" s="216" t="n"/>
      <c r="U33" s="217" t="n"/>
      <c r="V33" s="218" t="n">
        <v>4700</v>
      </c>
      <c r="W33" s="219">
        <f>O33*V33</f>
        <v/>
      </c>
      <c r="X33" s="215" t="n"/>
      <c r="Y33" s="134" t="inlineStr">
        <is>
          <t>가공</t>
        </is>
      </c>
      <c r="Z33" s="220">
        <f>W33-S33-Q33</f>
        <v/>
      </c>
      <c r="AA33" s="68" t="n"/>
      <c r="AB33" s="68" t="n"/>
      <c r="AC33" s="68" t="n"/>
      <c r="AD33" s="68" t="n"/>
      <c r="AE33" s="68" t="n"/>
    </row>
    <row r="34" ht="16" customFormat="1" customHeight="1" s="68">
      <c r="A34" s="206" t="n">
        <v>2601</v>
      </c>
      <c r="B34" s="207" t="n">
        <v>46052</v>
      </c>
      <c r="C34" s="150" t="inlineStr">
        <is>
          <t>HPK3042-SJ</t>
        </is>
      </c>
      <c r="D34" s="71" t="inlineStr">
        <is>
          <t>성일티앤씨</t>
        </is>
      </c>
      <c r="E34" s="72" t="inlineStr">
        <is>
          <t>실론</t>
        </is>
      </c>
      <c r="F34" s="73" t="inlineStr">
        <is>
          <t>tape</t>
        </is>
      </c>
      <c r="G34" s="72" t="inlineStr">
        <is>
          <t>실론</t>
        </is>
      </c>
      <c r="H34" s="74" t="inlineStr">
        <is>
          <t>SEALON 633</t>
        </is>
      </c>
      <c r="I34" s="74" t="inlineStr">
        <is>
          <t>BLACK/CLEAR</t>
        </is>
      </c>
      <c r="J34" s="74" t="n"/>
      <c r="K34" s="75" t="n"/>
      <c r="L34" s="208" t="n">
        <v>3</v>
      </c>
      <c r="M34" s="209" t="n"/>
      <c r="N34" s="210" t="n"/>
      <c r="O34" s="211" t="n">
        <v>1411</v>
      </c>
      <c r="P34" s="212" t="n"/>
      <c r="Q34" s="213" t="n"/>
      <c r="R34" s="215" t="n">
        <v>2350</v>
      </c>
      <c r="S34" s="215">
        <f>O34*R34</f>
        <v/>
      </c>
      <c r="T34" s="216" t="n"/>
      <c r="U34" s="217" t="n"/>
      <c r="V34" s="218" t="n">
        <v>4700</v>
      </c>
      <c r="W34" s="219">
        <f>O34*V34</f>
        <v/>
      </c>
      <c r="X34" s="215" t="n"/>
      <c r="Y34" s="134" t="inlineStr">
        <is>
          <t>가공</t>
        </is>
      </c>
      <c r="Z34" s="221">
        <f>W34-S34-Q34</f>
        <v/>
      </c>
    </row>
    <row r="35" ht="16" customFormat="1" customHeight="1" s="68">
      <c r="A35" s="206" t="n">
        <v>2601</v>
      </c>
      <c r="B35" s="207" t="n">
        <v>46052</v>
      </c>
      <c r="C35" s="150" t="inlineStr">
        <is>
          <t>HPK3042-SJ</t>
        </is>
      </c>
      <c r="D35" s="71" t="inlineStr">
        <is>
          <t>성일티앤씨</t>
        </is>
      </c>
      <c r="E35" s="72" t="inlineStr">
        <is>
          <t>실론</t>
        </is>
      </c>
      <c r="F35" s="73" t="inlineStr">
        <is>
          <t>tape</t>
        </is>
      </c>
      <c r="G35" s="72" t="inlineStr">
        <is>
          <t>실론</t>
        </is>
      </c>
      <c r="H35" s="74" t="inlineStr">
        <is>
          <t>SEALON 633</t>
        </is>
      </c>
      <c r="I35" s="74" t="inlineStr">
        <is>
          <t>ZINC/CLEAR</t>
        </is>
      </c>
      <c r="J35" s="74" t="n"/>
      <c r="K35" s="75" t="n"/>
      <c r="L35" s="208" t="n">
        <v>3</v>
      </c>
      <c r="M35" s="209" t="n"/>
      <c r="N35" s="210" t="n"/>
      <c r="O35" s="211" t="n">
        <v>1428</v>
      </c>
      <c r="P35" s="212" t="n"/>
      <c r="Q35" s="213" t="n"/>
      <c r="R35" s="215" t="n">
        <v>2350</v>
      </c>
      <c r="S35" s="215">
        <f>O35*R35</f>
        <v/>
      </c>
      <c r="T35" s="216" t="n"/>
      <c r="U35" s="217" t="n"/>
      <c r="V35" s="218" t="n">
        <v>4700</v>
      </c>
      <c r="W35" s="219">
        <f>O35*V35</f>
        <v/>
      </c>
      <c r="X35" s="215" t="n"/>
      <c r="Y35" s="134" t="inlineStr">
        <is>
          <t>가공</t>
        </is>
      </c>
      <c r="Z35" s="221">
        <f>W35-S35-Q35</f>
        <v/>
      </c>
    </row>
    <row r="36" ht="16" customFormat="1" customHeight="1" s="68">
      <c r="A36" s="206" t="n">
        <v>2601</v>
      </c>
      <c r="B36" s="207" t="n">
        <v>46052</v>
      </c>
      <c r="C36" s="150" t="inlineStr">
        <is>
          <t>N 15D NTR</t>
        </is>
      </c>
      <c r="D36" s="71" t="inlineStr">
        <is>
          <t>성일티앤씨</t>
        </is>
      </c>
      <c r="E36" s="72" t="inlineStr">
        <is>
          <t>실론(개발팀)</t>
        </is>
      </c>
      <c r="F36" s="73" t="inlineStr">
        <is>
          <t>tape</t>
        </is>
      </c>
      <c r="G36" s="72" t="inlineStr">
        <is>
          <t>실론</t>
        </is>
      </c>
      <c r="H36" s="74" t="inlineStr">
        <is>
          <t>N 15D NTR</t>
        </is>
      </c>
      <c r="I36" s="74" t="inlineStr">
        <is>
          <t>GREY/WHITE</t>
        </is>
      </c>
      <c r="J36" s="74" t="n"/>
      <c r="K36" s="75" t="n"/>
      <c r="L36" s="208" t="n">
        <v>1</v>
      </c>
      <c r="M36" s="209" t="n"/>
      <c r="N36" s="210" t="n"/>
      <c r="O36" s="211" t="n">
        <v>353</v>
      </c>
      <c r="P36" s="212" t="n"/>
      <c r="Q36" s="213" t="n"/>
      <c r="R36" s="215" t="n">
        <v>2350</v>
      </c>
      <c r="S36" s="215">
        <f>O36*R36</f>
        <v/>
      </c>
      <c r="T36" s="216" t="n"/>
      <c r="U36" s="217" t="n"/>
      <c r="V36" s="218" t="n">
        <v>5950</v>
      </c>
      <c r="W36" s="219">
        <f>O36*V36</f>
        <v/>
      </c>
      <c r="X36" s="215" t="n"/>
      <c r="Y36" s="134" t="inlineStr">
        <is>
          <t>가공</t>
        </is>
      </c>
      <c r="Z36" s="221">
        <f>W36-S36-Q36</f>
        <v/>
      </c>
    </row>
    <row r="37" ht="16" customFormat="1" customHeight="1" s="68">
      <c r="A37" s="206" t="n">
        <v>2601</v>
      </c>
      <c r="B37" s="207" t="n">
        <v>46024</v>
      </c>
      <c r="C37" s="150" t="inlineStr">
        <is>
          <t>원사판매</t>
        </is>
      </c>
      <c r="D37" s="71" t="inlineStr">
        <is>
          <t>승진섬유</t>
        </is>
      </c>
      <c r="E37" s="72" t="inlineStr">
        <is>
          <t>메타빈(에프에스)</t>
        </is>
      </c>
      <c r="F37" s="73" t="inlineStr">
        <is>
          <t>cleaner</t>
        </is>
      </c>
      <c r="G37" s="72" t="inlineStr">
        <is>
          <t>메타빈</t>
        </is>
      </c>
      <c r="H37" s="74" t="inlineStr">
        <is>
          <t>PP450D</t>
        </is>
      </c>
      <c r="I37" s="74" t="n"/>
      <c r="J37" s="74" t="n"/>
      <c r="K37" s="75" t="n"/>
      <c r="L37" s="208" t="n">
        <v>10</v>
      </c>
      <c r="M37" s="209" t="n">
        <v>803.4</v>
      </c>
      <c r="N37" s="210" t="n"/>
      <c r="O37" s="211" t="n"/>
      <c r="P37" s="212" t="n"/>
      <c r="Q37" s="213" t="n"/>
      <c r="R37" s="215" t="n">
        <v>1000</v>
      </c>
      <c r="S37" s="215">
        <f>M37*R37</f>
        <v/>
      </c>
      <c r="T37" s="216" t="n"/>
      <c r="U37" s="217" t="n"/>
      <c r="V37" s="218" t="n">
        <v>5480</v>
      </c>
      <c r="W37" s="219">
        <f>M37*V37</f>
        <v/>
      </c>
      <c r="X37" s="215" t="n"/>
      <c r="Y37" s="134" t="inlineStr">
        <is>
          <t>연사</t>
        </is>
      </c>
      <c r="Z37" s="220">
        <f>W37-S37-Q37</f>
        <v/>
      </c>
    </row>
    <row r="38" ht="16" customFormat="1" customHeight="1" s="68">
      <c r="A38" s="206" t="n">
        <v>2601</v>
      </c>
      <c r="B38" s="207" t="n">
        <v>46045</v>
      </c>
      <c r="C38" s="150" t="inlineStr">
        <is>
          <t>원사판매</t>
        </is>
      </c>
      <c r="D38" s="71" t="inlineStr">
        <is>
          <t>승진섬유</t>
        </is>
      </c>
      <c r="E38" s="72" t="inlineStr">
        <is>
          <t>메타빈(에프에스)</t>
        </is>
      </c>
      <c r="F38" s="73" t="inlineStr">
        <is>
          <t>cleaner</t>
        </is>
      </c>
      <c r="G38" s="72" t="inlineStr">
        <is>
          <t>메타빈</t>
        </is>
      </c>
      <c r="H38" s="74" t="inlineStr">
        <is>
          <t>PP450D</t>
        </is>
      </c>
      <c r="I38" s="74" t="inlineStr">
        <is>
          <t>BLUE</t>
        </is>
      </c>
      <c r="J38" s="74" t="n"/>
      <c r="K38" s="75" t="n"/>
      <c r="L38" s="208" t="n">
        <v>9</v>
      </c>
      <c r="M38" s="209" t="n">
        <v>758.1</v>
      </c>
      <c r="N38" s="210" t="n"/>
      <c r="O38" s="211" t="n"/>
      <c r="P38" s="212" t="n"/>
      <c r="Q38" s="213" t="n"/>
      <c r="R38" s="215" t="n">
        <v>1000</v>
      </c>
      <c r="S38" s="215">
        <f>M38*R38</f>
        <v/>
      </c>
      <c r="T38" s="216" t="n"/>
      <c r="U38" s="217" t="n"/>
      <c r="V38" s="218" t="n">
        <v>5480</v>
      </c>
      <c r="W38" s="219">
        <f>M38*V38</f>
        <v/>
      </c>
      <c r="X38" s="215" t="n"/>
      <c r="Y38" s="134" t="inlineStr">
        <is>
          <t>연사</t>
        </is>
      </c>
      <c r="Z38" s="220">
        <f>W38-S38-Q38</f>
        <v/>
      </c>
    </row>
    <row r="39" ht="16" customFormat="1" customHeight="1" s="68">
      <c r="A39" s="206" t="n">
        <v>2601</v>
      </c>
      <c r="B39" s="164" t="n">
        <v>46042</v>
      </c>
      <c r="C39" s="150" t="inlineStr">
        <is>
          <t>하이젠540</t>
        </is>
      </c>
      <c r="D39" s="3" t="inlineStr">
        <is>
          <t>승진섬유</t>
        </is>
      </c>
      <c r="E39" s="4" t="inlineStr">
        <is>
          <t>에프에스</t>
        </is>
      </c>
      <c r="F39" s="5" t="inlineStr">
        <is>
          <t>cleaner</t>
        </is>
      </c>
      <c r="G39" s="4" t="inlineStr">
        <is>
          <t>티에이케이</t>
        </is>
      </c>
      <c r="H39" s="66" t="inlineStr">
        <is>
          <t>NP 150/3합</t>
        </is>
      </c>
      <c r="I39" s="66" t="n"/>
      <c r="J39" s="66" t="n"/>
      <c r="K39" s="67" t="n"/>
      <c r="L39" s="166" t="n">
        <v>2</v>
      </c>
      <c r="M39" s="167" t="n">
        <v>840.2</v>
      </c>
      <c r="N39" s="168" t="n"/>
      <c r="O39" s="169" t="n"/>
      <c r="P39" s="170" t="n"/>
      <c r="Q39" s="171" t="n"/>
      <c r="R39" s="172" t="n">
        <v>1000</v>
      </c>
      <c r="S39" s="172">
        <f>M39*R39</f>
        <v/>
      </c>
      <c r="T39" s="173" t="n"/>
      <c r="U39" s="174" t="n"/>
      <c r="V39" s="175" t="n"/>
      <c r="W39" s="176" t="n"/>
      <c r="X39" s="172" t="n"/>
      <c r="Y39" s="22" t="inlineStr">
        <is>
          <t>연사</t>
        </is>
      </c>
      <c r="Z39" s="221">
        <f>W39-S39-Q39</f>
        <v/>
      </c>
      <c r="AA39" s="0" t="n"/>
      <c r="AB39" s="0" t="n"/>
      <c r="AC39" s="0" t="n"/>
      <c r="AD39" s="0" t="n"/>
      <c r="AE39" s="0" t="n"/>
    </row>
    <row r="40" ht="16" customFormat="1" customHeight="1" s="68">
      <c r="A40" s="206" t="n">
        <v>2601</v>
      </c>
      <c r="B40" s="164" t="n">
        <v>46042</v>
      </c>
      <c r="C40" s="150" t="inlineStr">
        <is>
          <t>하이젠540</t>
        </is>
      </c>
      <c r="D40" s="3" t="inlineStr">
        <is>
          <t>승진섬유</t>
        </is>
      </c>
      <c r="E40" s="4" t="inlineStr">
        <is>
          <t>에프에스</t>
        </is>
      </c>
      <c r="F40" s="5" t="inlineStr">
        <is>
          <t>cleaner</t>
        </is>
      </c>
      <c r="G40" s="4" t="inlineStr">
        <is>
          <t>티에이케이</t>
        </is>
      </c>
      <c r="H40" s="66" t="inlineStr">
        <is>
          <t>PP450D</t>
        </is>
      </c>
      <c r="I40" s="66" t="n"/>
      <c r="J40" s="66" t="n"/>
      <c r="K40" s="67" t="n"/>
      <c r="L40" s="166" t="n">
        <v>1</v>
      </c>
      <c r="M40" s="167" t="n">
        <v>218.3</v>
      </c>
      <c r="N40" s="168" t="n"/>
      <c r="O40" s="169" t="n"/>
      <c r="P40" s="170" t="n"/>
      <c r="Q40" s="171" t="n"/>
      <c r="R40" s="172" t="n">
        <v>1000</v>
      </c>
      <c r="S40" s="172">
        <f>M40*R40</f>
        <v/>
      </c>
      <c r="T40" s="173" t="n"/>
      <c r="U40" s="174" t="n"/>
      <c r="V40" s="175" t="n"/>
      <c r="W40" s="176" t="n"/>
      <c r="X40" s="172" t="n"/>
      <c r="Y40" s="22" t="inlineStr">
        <is>
          <t>연사</t>
        </is>
      </c>
      <c r="Z40" s="221">
        <f>W40-S40-Q40</f>
        <v/>
      </c>
      <c r="AA40" s="0" t="n"/>
      <c r="AB40" s="0" t="n"/>
      <c r="AC40" s="0" t="n"/>
      <c r="AD40" s="0" t="n"/>
      <c r="AE40" s="0" t="n"/>
    </row>
    <row r="41" ht="16" customFormat="1" customHeight="1" s="68">
      <c r="A41" s="206" t="n">
        <v>2601</v>
      </c>
      <c r="B41" s="164" t="n">
        <v>46042</v>
      </c>
      <c r="C41" s="150" t="inlineStr">
        <is>
          <t>하이젠540</t>
        </is>
      </c>
      <c r="D41" s="3" t="inlineStr">
        <is>
          <t>승진섬유</t>
        </is>
      </c>
      <c r="E41" s="4" t="inlineStr">
        <is>
          <t>에프에스</t>
        </is>
      </c>
      <c r="F41" s="5" t="inlineStr">
        <is>
          <t>cleaner</t>
        </is>
      </c>
      <c r="G41" s="4" t="inlineStr">
        <is>
          <t>티에이케이</t>
        </is>
      </c>
      <c r="H41" s="66" t="inlineStr">
        <is>
          <t>P150/3합</t>
        </is>
      </c>
      <c r="I41" s="66" t="n"/>
      <c r="J41" s="66" t="n"/>
      <c r="K41" s="67" t="n"/>
      <c r="L41" s="166" t="n">
        <v>10</v>
      </c>
      <c r="M41" s="167" t="n">
        <v>286.4</v>
      </c>
      <c r="N41" s="168" t="n"/>
      <c r="O41" s="169" t="n"/>
      <c r="P41" s="170" t="n"/>
      <c r="Q41" s="171" t="n"/>
      <c r="R41" s="172" t="n">
        <v>1000</v>
      </c>
      <c r="S41" s="172">
        <f>M41*R41</f>
        <v/>
      </c>
      <c r="T41" s="173" t="n"/>
      <c r="U41" s="174" t="n"/>
      <c r="V41" s="175" t="n"/>
      <c r="W41" s="176" t="n"/>
      <c r="X41" s="172" t="n"/>
      <c r="Y41" s="22" t="inlineStr">
        <is>
          <t>연사</t>
        </is>
      </c>
      <c r="Z41" s="221">
        <f>W41-S41-Q41</f>
        <v/>
      </c>
      <c r="AA41" s="0" t="n"/>
      <c r="AB41" s="0" t="n"/>
      <c r="AC41" s="0" t="n"/>
      <c r="AD41" s="0" t="n"/>
      <c r="AE41" s="0" t="n"/>
    </row>
    <row r="42" ht="16" customFormat="1" customHeight="1" s="86">
      <c r="A42" s="206" t="n">
        <v>2601</v>
      </c>
      <c r="B42" s="164" t="n">
        <v>46044</v>
      </c>
      <c r="C42" s="150" t="inlineStr">
        <is>
          <t>하이젠540</t>
        </is>
      </c>
      <c r="D42" s="3" t="inlineStr">
        <is>
          <t>승진섬유</t>
        </is>
      </c>
      <c r="E42" s="4" t="inlineStr">
        <is>
          <t>에프에스</t>
        </is>
      </c>
      <c r="F42" s="5" t="inlineStr">
        <is>
          <t>cleaner</t>
        </is>
      </c>
      <c r="G42" s="4" t="inlineStr">
        <is>
          <t>티에이케이</t>
        </is>
      </c>
      <c r="H42" s="66" t="inlineStr">
        <is>
          <t>NP 150/3합</t>
        </is>
      </c>
      <c r="I42" s="66" t="n"/>
      <c r="J42" s="66" t="n"/>
      <c r="K42" s="67" t="n"/>
      <c r="L42" s="166" t="n">
        <v>1</v>
      </c>
      <c r="M42" s="167" t="n">
        <v>420.8</v>
      </c>
      <c r="N42" s="168" t="n"/>
      <c r="O42" s="169" t="n"/>
      <c r="P42" s="170" t="n"/>
      <c r="Q42" s="171" t="n"/>
      <c r="R42" s="172" t="n">
        <v>1000</v>
      </c>
      <c r="S42" s="172">
        <f>M42*R42</f>
        <v/>
      </c>
      <c r="T42" s="173" t="n"/>
      <c r="U42" s="174" t="n"/>
      <c r="V42" s="175" t="n"/>
      <c r="W42" s="176" t="n"/>
      <c r="X42" s="172" t="n"/>
      <c r="Y42" s="22" t="inlineStr">
        <is>
          <t>연사</t>
        </is>
      </c>
      <c r="Z42" s="221">
        <f>W42-S42-Q42</f>
        <v/>
      </c>
      <c r="AA42" s="0" t="n"/>
      <c r="AB42" s="0" t="n"/>
      <c r="AC42" s="0" t="n"/>
      <c r="AD42" s="0" t="n"/>
      <c r="AE42" s="0" t="n"/>
    </row>
    <row r="43" ht="16" customFormat="1" customHeight="1" s="68">
      <c r="A43" s="206" t="n">
        <v>2601</v>
      </c>
      <c r="B43" s="164" t="n">
        <v>46044</v>
      </c>
      <c r="C43" s="150" t="inlineStr">
        <is>
          <t>하이젠540</t>
        </is>
      </c>
      <c r="D43" s="3" t="inlineStr">
        <is>
          <t>승진섬유</t>
        </is>
      </c>
      <c r="E43" s="4" t="inlineStr">
        <is>
          <t>에프에스</t>
        </is>
      </c>
      <c r="F43" s="5" t="inlineStr">
        <is>
          <t>cleaner</t>
        </is>
      </c>
      <c r="G43" s="4" t="inlineStr">
        <is>
          <t>티에이케이</t>
        </is>
      </c>
      <c r="H43" s="66" t="inlineStr">
        <is>
          <t>PP450D</t>
        </is>
      </c>
      <c r="I43" s="66" t="n"/>
      <c r="J43" s="66" t="n"/>
      <c r="K43" s="67" t="n"/>
      <c r="L43" s="166" t="n">
        <v>1</v>
      </c>
      <c r="M43" s="167" t="n">
        <v>215.4</v>
      </c>
      <c r="N43" s="168" t="n"/>
      <c r="O43" s="169" t="n"/>
      <c r="P43" s="170" t="n"/>
      <c r="Q43" s="171" t="n"/>
      <c r="R43" s="172" t="n">
        <v>1000</v>
      </c>
      <c r="S43" s="172">
        <f>M43*R43</f>
        <v/>
      </c>
      <c r="T43" s="173" t="n"/>
      <c r="U43" s="174" t="n"/>
      <c r="V43" s="175" t="n"/>
      <c r="W43" s="176" t="n"/>
      <c r="X43" s="172" t="n"/>
      <c r="Y43" s="22" t="inlineStr">
        <is>
          <t>연사</t>
        </is>
      </c>
      <c r="Z43" s="221">
        <f>W43-S43-Q43</f>
        <v/>
      </c>
      <c r="AA43" s="0" t="n"/>
      <c r="AB43" s="0" t="n"/>
      <c r="AC43" s="0" t="n"/>
      <c r="AD43" s="0" t="n"/>
      <c r="AE43" s="0" t="n"/>
    </row>
    <row r="44" ht="16" customFormat="1" customHeight="1" s="68">
      <c r="A44" s="206" t="n">
        <v>2601</v>
      </c>
      <c r="B44" s="164" t="n">
        <v>46044</v>
      </c>
      <c r="C44" s="150" t="inlineStr">
        <is>
          <t>하이젠540</t>
        </is>
      </c>
      <c r="D44" s="3" t="inlineStr">
        <is>
          <t>승진섬유</t>
        </is>
      </c>
      <c r="E44" s="4" t="inlineStr">
        <is>
          <t>에프에스</t>
        </is>
      </c>
      <c r="F44" s="5" t="inlineStr">
        <is>
          <t>cleaner</t>
        </is>
      </c>
      <c r="G44" s="4" t="inlineStr">
        <is>
          <t>티에이케이</t>
        </is>
      </c>
      <c r="H44" s="66" t="inlineStr">
        <is>
          <t>P150/3합</t>
        </is>
      </c>
      <c r="I44" s="66" t="n"/>
      <c r="J44" s="66" t="n"/>
      <c r="K44" s="67" t="n"/>
      <c r="L44" s="166" t="n">
        <v>1</v>
      </c>
      <c r="M44" s="167" t="n">
        <v>422.5</v>
      </c>
      <c r="N44" s="168" t="n"/>
      <c r="O44" s="169" t="n"/>
      <c r="P44" s="170" t="n"/>
      <c r="Q44" s="171" t="n"/>
      <c r="R44" s="172" t="n">
        <v>1000</v>
      </c>
      <c r="S44" s="172">
        <f>M44*R44</f>
        <v/>
      </c>
      <c r="T44" s="173" t="n"/>
      <c r="U44" s="174" t="n"/>
      <c r="V44" s="175" t="n"/>
      <c r="W44" s="176" t="n"/>
      <c r="X44" s="172" t="n"/>
      <c r="Y44" s="22" t="inlineStr">
        <is>
          <t>연사</t>
        </is>
      </c>
      <c r="Z44" s="221">
        <f>W44-S44-Q44</f>
        <v/>
      </c>
      <c r="AA44" s="0" t="n"/>
      <c r="AB44" s="0" t="n"/>
      <c r="AC44" s="0" t="n"/>
      <c r="AD44" s="0" t="n"/>
      <c r="AE44" s="0" t="n"/>
    </row>
    <row r="45" ht="16" customFormat="1" customHeight="1" s="68">
      <c r="A45" s="206" t="n">
        <v>2601</v>
      </c>
      <c r="B45" s="164" t="n">
        <v>46048</v>
      </c>
      <c r="C45" s="150" t="inlineStr">
        <is>
          <t>하이젠540</t>
        </is>
      </c>
      <c r="D45" s="3" t="inlineStr">
        <is>
          <t>승진섬유</t>
        </is>
      </c>
      <c r="E45" s="4" t="inlineStr">
        <is>
          <t>에프에스</t>
        </is>
      </c>
      <c r="F45" s="5" t="inlineStr">
        <is>
          <t>cleaner</t>
        </is>
      </c>
      <c r="G45" s="4" t="inlineStr">
        <is>
          <t>티에이케이</t>
        </is>
      </c>
      <c r="H45" s="66" t="inlineStr">
        <is>
          <t>NP 150/3합</t>
        </is>
      </c>
      <c r="I45" s="66" t="n"/>
      <c r="J45" s="66" t="n"/>
      <c r="K45" s="67" t="n"/>
      <c r="L45" s="166" t="n">
        <v>2</v>
      </c>
      <c r="M45" s="167" t="n">
        <v>846.1</v>
      </c>
      <c r="N45" s="168" t="n"/>
      <c r="O45" s="169" t="n"/>
      <c r="P45" s="170" t="n"/>
      <c r="Q45" s="171" t="n"/>
      <c r="R45" s="172" t="n">
        <v>1000</v>
      </c>
      <c r="S45" s="172">
        <f>M45*R45</f>
        <v/>
      </c>
      <c r="T45" s="173" t="n"/>
      <c r="U45" s="174" t="n"/>
      <c r="V45" s="175" t="n"/>
      <c r="W45" s="176" t="n"/>
      <c r="X45" s="172" t="n"/>
      <c r="Y45" s="22" t="inlineStr">
        <is>
          <t>연사</t>
        </is>
      </c>
      <c r="Z45" s="220">
        <f>W45-S45-Q45</f>
        <v/>
      </c>
      <c r="AA45" s="0" t="n"/>
      <c r="AB45" s="0" t="n"/>
      <c r="AC45" s="0" t="n"/>
      <c r="AD45" s="0" t="n"/>
      <c r="AE45" s="0" t="n"/>
    </row>
    <row r="46" ht="16" customFormat="1" customHeight="1" s="68">
      <c r="A46" s="206" t="n">
        <v>2601</v>
      </c>
      <c r="B46" s="164" t="n">
        <v>46048</v>
      </c>
      <c r="C46" s="150" t="inlineStr">
        <is>
          <t>하이젠540</t>
        </is>
      </c>
      <c r="D46" s="3" t="inlineStr">
        <is>
          <t>승진섬유</t>
        </is>
      </c>
      <c r="E46" s="4" t="inlineStr">
        <is>
          <t>에프에스</t>
        </is>
      </c>
      <c r="F46" s="5" t="inlineStr">
        <is>
          <t>cleaner</t>
        </is>
      </c>
      <c r="G46" s="4" t="inlineStr">
        <is>
          <t>티에이케이</t>
        </is>
      </c>
      <c r="H46" s="66" t="inlineStr">
        <is>
          <t>P150/3합</t>
        </is>
      </c>
      <c r="I46" s="66" t="n"/>
      <c r="J46" s="66" t="n"/>
      <c r="K46" s="67" t="n"/>
      <c r="L46" s="166" t="n">
        <v>1</v>
      </c>
      <c r="M46" s="167" t="n">
        <v>423.8</v>
      </c>
      <c r="N46" s="168" t="n"/>
      <c r="O46" s="169" t="n"/>
      <c r="P46" s="170" t="n"/>
      <c r="Q46" s="171" t="n"/>
      <c r="R46" s="172" t="n">
        <v>1000</v>
      </c>
      <c r="S46" s="172">
        <f>M46*R46</f>
        <v/>
      </c>
      <c r="T46" s="173" t="n"/>
      <c r="U46" s="174" t="n"/>
      <c r="V46" s="175" t="n"/>
      <c r="W46" s="176" t="n"/>
      <c r="X46" s="172" t="n"/>
      <c r="Y46" s="22" t="inlineStr">
        <is>
          <t>연사</t>
        </is>
      </c>
      <c r="Z46" s="220">
        <f>W46-S46-Q46</f>
        <v/>
      </c>
      <c r="AA46" s="0" t="n"/>
      <c r="AB46" s="0" t="n"/>
      <c r="AC46" s="0" t="n"/>
      <c r="AD46" s="0" t="n"/>
      <c r="AE46" s="0" t="n"/>
    </row>
    <row r="47" ht="16" customHeight="1" s="162">
      <c r="A47" s="206" t="n">
        <v>2601</v>
      </c>
      <c r="B47" s="164" t="n">
        <v>46038</v>
      </c>
      <c r="C47" s="150" t="inlineStr">
        <is>
          <t>하이젠540</t>
        </is>
      </c>
      <c r="D47" s="3" t="inlineStr">
        <is>
          <t>아주피피얀</t>
        </is>
      </c>
      <c r="E47" s="4" t="inlineStr">
        <is>
          <t>승진섬유</t>
        </is>
      </c>
      <c r="F47" s="5" t="inlineStr">
        <is>
          <t>cleaner</t>
        </is>
      </c>
      <c r="G47" s="4" t="inlineStr">
        <is>
          <t>티에이케이</t>
        </is>
      </c>
      <c r="H47" s="66" t="inlineStr">
        <is>
          <t>PP 450/20</t>
        </is>
      </c>
      <c r="I47" s="66" t="inlineStr">
        <is>
          <t>남청 3206</t>
        </is>
      </c>
      <c r="J47" s="66" t="n"/>
      <c r="K47" s="67" t="n"/>
      <c r="L47" s="166" t="n">
        <v>59</v>
      </c>
      <c r="M47" s="167" t="n">
        <v>1704.8</v>
      </c>
      <c r="N47" s="168" t="n"/>
      <c r="O47" s="169" t="n"/>
      <c r="P47" s="170" t="n">
        <v>4000</v>
      </c>
      <c r="Q47" s="171">
        <f>M47*P47</f>
        <v/>
      </c>
      <c r="R47" s="172" t="n"/>
      <c r="S47" s="172" t="n"/>
      <c r="T47" s="173" t="n"/>
      <c r="U47" s="174" t="n"/>
      <c r="V47" s="175" t="n"/>
      <c r="W47" s="176" t="n"/>
      <c r="X47" s="172" t="n"/>
      <c r="Y47" s="22" t="inlineStr">
        <is>
          <t>원료</t>
        </is>
      </c>
      <c r="Z47" s="220">
        <f>W47-S47-Q47</f>
        <v/>
      </c>
    </row>
    <row r="48" ht="16" customHeight="1" s="162">
      <c r="A48" s="206" t="n">
        <v>2601</v>
      </c>
      <c r="B48" s="164" t="n">
        <v>46029</v>
      </c>
      <c r="C48" s="150" t="inlineStr">
        <is>
          <t>하이젠540</t>
        </is>
      </c>
      <c r="D48" s="3" t="inlineStr">
        <is>
          <t>아주피피얀</t>
        </is>
      </c>
      <c r="E48" s="4" t="inlineStr">
        <is>
          <t>승진섬유</t>
        </is>
      </c>
      <c r="F48" s="5" t="inlineStr">
        <is>
          <t>cleaner</t>
        </is>
      </c>
      <c r="G48" s="4" t="inlineStr">
        <is>
          <t>티에이케이</t>
        </is>
      </c>
      <c r="H48" s="66" t="inlineStr">
        <is>
          <t>PP450D</t>
        </is>
      </c>
      <c r="I48" s="66" t="inlineStr">
        <is>
          <t>남청 3206</t>
        </is>
      </c>
      <c r="J48" s="66" t="n"/>
      <c r="K48" s="67" t="n"/>
      <c r="L48" s="166" t="n">
        <v>24</v>
      </c>
      <c r="M48" s="167" t="n">
        <v>717.6</v>
      </c>
      <c r="N48" s="168" t="n"/>
      <c r="O48" s="169" t="n"/>
      <c r="P48" s="170" t="n">
        <v>4000</v>
      </c>
      <c r="Q48" s="171">
        <f>M48*P48</f>
        <v/>
      </c>
      <c r="R48" s="172" t="n"/>
      <c r="S48" s="172" t="n"/>
      <c r="T48" s="173" t="n"/>
      <c r="U48" s="174" t="n"/>
      <c r="V48" s="175" t="n"/>
      <c r="W48" s="176" t="n"/>
      <c r="X48" s="172" t="n"/>
      <c r="Y48" s="22" t="inlineStr">
        <is>
          <t>원료</t>
        </is>
      </c>
      <c r="Z48" s="220">
        <f>W48-S48-Q48</f>
        <v/>
      </c>
    </row>
    <row r="49" ht="16" customFormat="1" customHeight="1" s="68">
      <c r="A49" s="206" t="n">
        <v>2601</v>
      </c>
      <c r="B49" s="164" t="n">
        <v>46027</v>
      </c>
      <c r="C49" s="150" t="inlineStr">
        <is>
          <t>하이젠540</t>
        </is>
      </c>
      <c r="D49" s="3" t="inlineStr">
        <is>
          <t>아주피피얀</t>
        </is>
      </c>
      <c r="E49" s="4" t="inlineStr">
        <is>
          <t>승진섬유</t>
        </is>
      </c>
      <c r="F49" s="5" t="inlineStr">
        <is>
          <t>cleaner</t>
        </is>
      </c>
      <c r="G49" s="4" t="inlineStr">
        <is>
          <t>티에이케이</t>
        </is>
      </c>
      <c r="H49" s="66" t="inlineStr">
        <is>
          <t>PP450D</t>
        </is>
      </c>
      <c r="I49" s="66" t="inlineStr">
        <is>
          <t>남청 3206</t>
        </is>
      </c>
      <c r="J49" s="66" t="n"/>
      <c r="K49" s="67" t="n"/>
      <c r="L49" s="166" t="n">
        <v>24</v>
      </c>
      <c r="M49" s="167" t="n">
        <v>743.7</v>
      </c>
      <c r="N49" s="168" t="n"/>
      <c r="O49" s="169" t="n"/>
      <c r="P49" s="170" t="n">
        <v>4000</v>
      </c>
      <c r="Q49" s="171">
        <f>M49*P49</f>
        <v/>
      </c>
      <c r="R49" s="172" t="n"/>
      <c r="S49" s="172" t="n"/>
      <c r="T49" s="173" t="n"/>
      <c r="U49" s="174" t="n"/>
      <c r="V49" s="175" t="n"/>
      <c r="W49" s="176" t="n"/>
      <c r="X49" s="172" t="n"/>
      <c r="Y49" s="22" t="inlineStr">
        <is>
          <t>원료</t>
        </is>
      </c>
      <c r="Z49" s="220">
        <f>W49-S49-Q49</f>
        <v/>
      </c>
      <c r="AA49" s="0" t="n"/>
      <c r="AB49" s="0" t="n"/>
      <c r="AC49" s="0" t="n"/>
      <c r="AD49" s="0" t="n"/>
      <c r="AE49" s="0" t="n"/>
    </row>
    <row r="50" ht="16" customHeight="1" s="162">
      <c r="A50" s="206" t="n">
        <v>2601</v>
      </c>
      <c r="B50" s="164" t="n">
        <v>46031</v>
      </c>
      <c r="C50" s="150" t="inlineStr">
        <is>
          <t>하이젠540</t>
        </is>
      </c>
      <c r="D50" s="3" t="inlineStr">
        <is>
          <t>안국섬유</t>
        </is>
      </c>
      <c r="E50" s="4" t="inlineStr">
        <is>
          <t>동우섬유</t>
        </is>
      </c>
      <c r="F50" s="5" t="inlineStr">
        <is>
          <t>cleaner</t>
        </is>
      </c>
      <c r="G50" s="4" t="inlineStr">
        <is>
          <t>티에이케이</t>
        </is>
      </c>
      <c r="H50" s="66" t="inlineStr">
        <is>
          <t>NP 150/3</t>
        </is>
      </c>
      <c r="I50" s="66" t="n"/>
      <c r="J50" s="66" t="n"/>
      <c r="K50" s="67" t="n"/>
      <c r="L50" s="166" t="n">
        <v>2</v>
      </c>
      <c r="M50" s="167" t="n">
        <v>875</v>
      </c>
      <c r="N50" s="168" t="n"/>
      <c r="O50" s="169" t="n"/>
      <c r="P50" s="170" t="n"/>
      <c r="Q50" s="171" t="n"/>
      <c r="R50" s="172" t="n">
        <v>1050</v>
      </c>
      <c r="S50" s="172">
        <f>M50*R50</f>
        <v/>
      </c>
      <c r="T50" s="173" t="n"/>
      <c r="U50" s="174" t="n"/>
      <c r="V50" s="175" t="n"/>
      <c r="W50" s="176" t="n"/>
      <c r="X50" s="172" t="n"/>
      <c r="Y50" s="22" t="inlineStr">
        <is>
          <t>연사</t>
        </is>
      </c>
      <c r="Z50" s="220">
        <f>W50-S50-Q50</f>
        <v/>
      </c>
    </row>
    <row r="51" ht="16" customHeight="1" s="162">
      <c r="A51" s="206" t="n">
        <v>2601</v>
      </c>
      <c r="B51" s="164" t="n">
        <v>46031</v>
      </c>
      <c r="C51" s="150" t="inlineStr">
        <is>
          <t>하이젠540</t>
        </is>
      </c>
      <c r="D51" s="3" t="inlineStr">
        <is>
          <t>안국섬유</t>
        </is>
      </c>
      <c r="E51" s="4" t="inlineStr">
        <is>
          <t>동우섬유</t>
        </is>
      </c>
      <c r="F51" s="5" t="inlineStr">
        <is>
          <t>cleaner</t>
        </is>
      </c>
      <c r="G51" s="4" t="inlineStr">
        <is>
          <t>티에이케이</t>
        </is>
      </c>
      <c r="H51" s="66" t="inlineStr">
        <is>
          <t>PP 450/1</t>
        </is>
      </c>
      <c r="I51" s="66" t="n"/>
      <c r="J51" s="66" t="n"/>
      <c r="K51" s="67" t="n"/>
      <c r="L51" s="166" t="n">
        <v>2</v>
      </c>
      <c r="M51" s="167" t="n">
        <v>703.5</v>
      </c>
      <c r="N51" s="168" t="n"/>
      <c r="O51" s="169" t="n"/>
      <c r="P51" s="170" t="n"/>
      <c r="Q51" s="171" t="n"/>
      <c r="R51" s="172" t="n">
        <v>1050</v>
      </c>
      <c r="S51" s="172">
        <f>M51*R51</f>
        <v/>
      </c>
      <c r="T51" s="173" t="n"/>
      <c r="U51" s="174" t="n"/>
      <c r="V51" s="175" t="n"/>
      <c r="W51" s="176" t="n"/>
      <c r="X51" s="172" t="n"/>
      <c r="Y51" s="22" t="inlineStr">
        <is>
          <t>연사</t>
        </is>
      </c>
      <c r="Z51" s="220">
        <f>W51-S51-Q51</f>
        <v/>
      </c>
    </row>
    <row r="52" ht="16" customHeight="1" s="162">
      <c r="A52" s="206" t="n">
        <v>2601</v>
      </c>
      <c r="B52" s="164" t="n">
        <v>46042</v>
      </c>
      <c r="C52" s="150" t="inlineStr">
        <is>
          <t>하이젠540</t>
        </is>
      </c>
      <c r="D52" s="3" t="inlineStr">
        <is>
          <t>안국섬유</t>
        </is>
      </c>
      <c r="E52" s="4" t="inlineStr">
        <is>
          <t>동우섬유</t>
        </is>
      </c>
      <c r="F52" s="5" t="inlineStr">
        <is>
          <t>cleaner</t>
        </is>
      </c>
      <c r="G52" s="4" t="inlineStr">
        <is>
          <t>티에이케이</t>
        </is>
      </c>
      <c r="H52" s="66" t="inlineStr">
        <is>
          <t>NP 150/3합</t>
        </is>
      </c>
      <c r="I52" s="66" t="n"/>
      <c r="J52" s="66" t="n"/>
      <c r="K52" s="67" t="n"/>
      <c r="L52" s="166" t="n">
        <v>3</v>
      </c>
      <c r="M52" s="167" t="n">
        <v>1312.5</v>
      </c>
      <c r="N52" s="168" t="n"/>
      <c r="O52" s="169" t="n"/>
      <c r="P52" s="170" t="n"/>
      <c r="Q52" s="171" t="n"/>
      <c r="R52" s="172" t="n">
        <v>1050</v>
      </c>
      <c r="S52" s="172">
        <f>M52*R52</f>
        <v/>
      </c>
      <c r="T52" s="173" t="n"/>
      <c r="U52" s="174" t="n"/>
      <c r="V52" s="175" t="n"/>
      <c r="W52" s="176" t="n"/>
      <c r="X52" s="172" t="n"/>
      <c r="Y52" s="22" t="inlineStr">
        <is>
          <t>연사</t>
        </is>
      </c>
      <c r="Z52" s="220">
        <f>W52-S52-Q52</f>
        <v/>
      </c>
    </row>
    <row r="53" ht="16" customHeight="1" s="162">
      <c r="A53" s="206" t="n">
        <v>2601</v>
      </c>
      <c r="B53" s="164" t="n">
        <v>46042</v>
      </c>
      <c r="C53" s="150" t="inlineStr">
        <is>
          <t>하이젠540</t>
        </is>
      </c>
      <c r="D53" s="3" t="inlineStr">
        <is>
          <t>안국섬유</t>
        </is>
      </c>
      <c r="E53" s="4" t="inlineStr">
        <is>
          <t>동우섬유</t>
        </is>
      </c>
      <c r="F53" s="5" t="inlineStr">
        <is>
          <t>cleaner</t>
        </is>
      </c>
      <c r="G53" s="4" t="inlineStr">
        <is>
          <t>티에이케이</t>
        </is>
      </c>
      <c r="H53" s="66" t="inlineStr">
        <is>
          <t>P150/3합</t>
        </is>
      </c>
      <c r="I53" s="66" t="n"/>
      <c r="J53" s="66" t="n"/>
      <c r="K53" s="67" t="n"/>
      <c r="L53" s="166" t="n">
        <v>2</v>
      </c>
      <c r="M53" s="167" t="n">
        <v>875</v>
      </c>
      <c r="N53" s="168" t="n"/>
      <c r="O53" s="169" t="n"/>
      <c r="P53" s="170" t="n"/>
      <c r="Q53" s="171" t="n"/>
      <c r="R53" s="172" t="n">
        <v>1050</v>
      </c>
      <c r="S53" s="172">
        <f>M53*R53</f>
        <v/>
      </c>
      <c r="T53" s="173" t="n"/>
      <c r="U53" s="174" t="n"/>
      <c r="V53" s="175" t="n"/>
      <c r="W53" s="176" t="n"/>
      <c r="X53" s="172" t="n"/>
      <c r="Y53" s="22" t="inlineStr">
        <is>
          <t>연사</t>
        </is>
      </c>
      <c r="Z53" s="220">
        <f>W53-S53-Q53</f>
        <v/>
      </c>
    </row>
    <row r="54" ht="16" customHeight="1" s="162">
      <c r="A54" s="206" t="n">
        <v>2601</v>
      </c>
      <c r="B54" s="207" t="n">
        <v>46029</v>
      </c>
      <c r="C54" s="150" t="inlineStr">
        <is>
          <t>원사판매</t>
        </is>
      </c>
      <c r="D54" s="71" t="inlineStr">
        <is>
          <t>안국섬유</t>
        </is>
      </c>
      <c r="E54" s="72" t="inlineStr">
        <is>
          <t>메타빈(동우)</t>
        </is>
      </c>
      <c r="F54" s="73" t="inlineStr">
        <is>
          <t>cleaner</t>
        </is>
      </c>
      <c r="G54" s="72" t="inlineStr">
        <is>
          <t>메타빈</t>
        </is>
      </c>
      <c r="H54" s="74" t="inlineStr">
        <is>
          <t>NP 150/2</t>
        </is>
      </c>
      <c r="I54" s="74" t="n"/>
      <c r="J54" s="74" t="n"/>
      <c r="K54" s="75" t="n"/>
      <c r="L54" s="208" t="n"/>
      <c r="M54" s="209" t="n">
        <v>437.5</v>
      </c>
      <c r="N54" s="210" t="n"/>
      <c r="O54" s="211" t="n"/>
      <c r="P54" s="212" t="n"/>
      <c r="Q54" s="213" t="n"/>
      <c r="R54" s="215" t="n">
        <v>1250</v>
      </c>
      <c r="S54" s="215">
        <f>M54*R54</f>
        <v/>
      </c>
      <c r="T54" s="216" t="n"/>
      <c r="U54" s="217" t="n"/>
      <c r="V54" s="218" t="n">
        <v>4350</v>
      </c>
      <c r="W54" s="219">
        <f>V54*M54</f>
        <v/>
      </c>
      <c r="X54" s="215" t="n"/>
      <c r="Y54" s="134" t="inlineStr">
        <is>
          <t>연사</t>
        </is>
      </c>
      <c r="Z54" s="220">
        <f>W54-S54-Q54</f>
        <v/>
      </c>
      <c r="AA54" s="68" t="n"/>
      <c r="AB54" s="68" t="n"/>
      <c r="AC54" s="68" t="n"/>
      <c r="AD54" s="68" t="n"/>
      <c r="AE54" s="68" t="n"/>
    </row>
    <row r="55" ht="16" customHeight="1" s="162">
      <c r="A55" s="206" t="n">
        <v>2601</v>
      </c>
      <c r="B55" s="207" t="n">
        <v>46042</v>
      </c>
      <c r="C55" s="150" t="inlineStr">
        <is>
          <t>원사판매</t>
        </is>
      </c>
      <c r="D55" s="71" t="inlineStr">
        <is>
          <t>안국섬유</t>
        </is>
      </c>
      <c r="E55" s="72" t="inlineStr">
        <is>
          <t>메타빈(동우섬유)</t>
        </is>
      </c>
      <c r="F55" s="73" t="inlineStr">
        <is>
          <t>cleaner</t>
        </is>
      </c>
      <c r="G55" s="72" t="inlineStr">
        <is>
          <t>메타빈</t>
        </is>
      </c>
      <c r="H55" s="74" t="inlineStr">
        <is>
          <t>NP 150/2</t>
        </is>
      </c>
      <c r="I55" s="74" t="n"/>
      <c r="J55" s="74" t="n"/>
      <c r="K55" s="75" t="n"/>
      <c r="L55" s="208" t="n"/>
      <c r="M55" s="209" t="n">
        <v>395</v>
      </c>
      <c r="N55" s="210" t="n"/>
      <c r="O55" s="211" t="n"/>
      <c r="P55" s="212" t="n"/>
      <c r="Q55" s="213" t="n"/>
      <c r="R55" s="215" t="n">
        <v>1250</v>
      </c>
      <c r="S55" s="215">
        <f>M55*R55</f>
        <v/>
      </c>
      <c r="T55" s="216" t="n"/>
      <c r="U55" s="217" t="n"/>
      <c r="V55" s="218" t="n">
        <v>4350</v>
      </c>
      <c r="W55" s="219">
        <f>M55*V55</f>
        <v/>
      </c>
      <c r="X55" s="215" t="n"/>
      <c r="Y55" s="134" t="inlineStr">
        <is>
          <t>연사</t>
        </is>
      </c>
      <c r="Z55" s="220">
        <f>W55-S55-Q55</f>
        <v/>
      </c>
      <c r="AA55" s="68" t="n"/>
      <c r="AB55" s="68" t="n"/>
      <c r="AC55" s="68" t="n"/>
      <c r="AD55" s="68" t="n"/>
      <c r="AE55" s="68" t="n"/>
    </row>
    <row r="56" ht="16" customHeight="1" s="162">
      <c r="A56" s="206" t="n">
        <v>2601</v>
      </c>
      <c r="B56" s="164" t="n">
        <v>46052</v>
      </c>
      <c r="C56" s="150" t="inlineStr">
        <is>
          <t>Q851</t>
        </is>
      </c>
      <c r="D56" s="3" t="inlineStr">
        <is>
          <t>에스얀</t>
        </is>
      </c>
      <c r="E56" s="4" t="inlineStr">
        <is>
          <t>동우섬유</t>
        </is>
      </c>
      <c r="F56" s="5" t="inlineStr">
        <is>
          <t>cleaner</t>
        </is>
      </c>
      <c r="G56" s="4" t="inlineStr">
        <is>
          <t>티에이케이</t>
        </is>
      </c>
      <c r="H56" s="66" t="inlineStr">
        <is>
          <t>분할사 DTY 480</t>
        </is>
      </c>
      <c r="I56" s="66" t="n"/>
      <c r="J56" s="66" t="n"/>
      <c r="K56" s="67" t="n"/>
      <c r="L56" s="166" t="n"/>
      <c r="M56" s="167" t="n">
        <v>2188</v>
      </c>
      <c r="N56" s="168" t="n"/>
      <c r="O56" s="169" t="n"/>
      <c r="P56" s="170" t="n">
        <v>4800</v>
      </c>
      <c r="Q56" s="171">
        <f>M56*P56</f>
        <v/>
      </c>
      <c r="R56" s="172" t="n"/>
      <c r="S56" s="172" t="n"/>
      <c r="T56" s="173" t="n"/>
      <c r="U56" s="174" t="n"/>
      <c r="V56" s="175" t="n"/>
      <c r="W56" s="176" t="n"/>
      <c r="X56" s="172" t="n"/>
      <c r="Y56" s="22" t="inlineStr">
        <is>
          <t>원료</t>
        </is>
      </c>
      <c r="Z56" s="220">
        <f>W56-S56-Q56</f>
        <v/>
      </c>
    </row>
    <row r="57" ht="16" customHeight="1" s="162">
      <c r="A57" s="206" t="n">
        <v>2601</v>
      </c>
      <c r="B57" s="207" t="n">
        <v>46053</v>
      </c>
      <c r="C57" s="150" t="inlineStr">
        <is>
          <t>품질비용</t>
        </is>
      </c>
      <c r="D57" s="71" t="inlineStr">
        <is>
          <t>에스티</t>
        </is>
      </c>
      <c r="E57" s="72" t="inlineStr">
        <is>
          <t>한국윈텍</t>
        </is>
      </c>
      <c r="F57" s="73" t="inlineStr">
        <is>
          <t>blind</t>
        </is>
      </c>
      <c r="G57" s="72" t="inlineStr">
        <is>
          <t>한국윈텍</t>
        </is>
      </c>
      <c r="H57" s="74" t="inlineStr">
        <is>
          <t>CLAIM</t>
        </is>
      </c>
      <c r="I57" s="74" t="n"/>
      <c r="J57" s="74" t="n"/>
      <c r="K57" s="75" t="n"/>
      <c r="L57" s="208" t="n"/>
      <c r="M57" s="209" t="n"/>
      <c r="N57" s="210" t="n"/>
      <c r="O57" s="211" t="n"/>
      <c r="P57" s="212" t="n"/>
      <c r="Q57" s="213" t="n"/>
      <c r="R57" s="215" t="n"/>
      <c r="S57" s="215" t="n"/>
      <c r="T57" s="216" t="n"/>
      <c r="U57" s="217" t="n"/>
      <c r="V57" s="218" t="n"/>
      <c r="W57" s="219" t="n">
        <v>-1901150</v>
      </c>
      <c r="X57" s="215" t="n"/>
      <c r="Y57" s="134" t="inlineStr">
        <is>
          <t>제직</t>
        </is>
      </c>
      <c r="Z57" s="220">
        <f>W57-S57-Q57</f>
        <v/>
      </c>
      <c r="AA57" s="68" t="n"/>
      <c r="AB57" s="68" t="n"/>
      <c r="AC57" s="68" t="n"/>
      <c r="AD57" s="68" t="n"/>
      <c r="AE57" s="68" t="n"/>
    </row>
    <row r="58" ht="16" customHeight="1" s="162">
      <c r="A58" s="206" t="n">
        <v>2601</v>
      </c>
      <c r="B58" s="207" t="n">
        <v>46049</v>
      </c>
      <c r="C58" s="150" t="inlineStr">
        <is>
          <t xml:space="preserve">뷰티 xo </t>
        </is>
      </c>
      <c r="D58" s="71" t="inlineStr">
        <is>
          <t>에스티</t>
        </is>
      </c>
      <c r="E58" s="72" t="inlineStr">
        <is>
          <t>한국윈텍</t>
        </is>
      </c>
      <c r="F58" s="73" t="inlineStr">
        <is>
          <t>blind</t>
        </is>
      </c>
      <c r="G58" s="72" t="inlineStr">
        <is>
          <t>한국윈텍</t>
        </is>
      </c>
      <c r="H58" s="74" t="inlineStr">
        <is>
          <t>HPV3-XO</t>
        </is>
      </c>
      <c r="I58" s="74" t="n"/>
      <c r="J58" s="74" t="n"/>
      <c r="K58" s="75" t="n"/>
      <c r="L58" s="208" t="n">
        <v>8</v>
      </c>
      <c r="M58" s="209" t="n"/>
      <c r="N58" s="210" t="n"/>
      <c r="O58" s="211" t="n">
        <v>5600</v>
      </c>
      <c r="P58" s="212" t="n"/>
      <c r="Q58" s="213" t="n"/>
      <c r="R58" s="215" t="n">
        <v>1470</v>
      </c>
      <c r="S58" s="215">
        <f>O58*R58</f>
        <v/>
      </c>
      <c r="T58" s="216" t="n"/>
      <c r="U58" s="217" t="n"/>
      <c r="V58" s="218" t="n">
        <v>2450</v>
      </c>
      <c r="W58" s="219">
        <f>O58*V58</f>
        <v/>
      </c>
      <c r="X58" s="215" t="n"/>
      <c r="Y58" s="134" t="inlineStr">
        <is>
          <t>제직</t>
        </is>
      </c>
      <c r="Z58" s="220">
        <f>W58-S58-Q58</f>
        <v/>
      </c>
      <c r="AA58" s="68" t="n"/>
      <c r="AB58" s="68" t="n"/>
      <c r="AC58" s="68" t="n"/>
      <c r="AD58" s="68" t="n"/>
      <c r="AE58" s="68" t="n"/>
    </row>
    <row r="59" ht="16" customHeight="1" s="162">
      <c r="A59" s="206" t="n">
        <v>2601</v>
      </c>
      <c r="B59" s="207" t="n">
        <v>46049</v>
      </c>
      <c r="C59" s="150" t="inlineStr">
        <is>
          <t>뷰티 600</t>
        </is>
      </c>
      <c r="D59" s="71" t="inlineStr">
        <is>
          <t>에스티</t>
        </is>
      </c>
      <c r="E59" s="72" t="inlineStr">
        <is>
          <t>한국윈텍</t>
        </is>
      </c>
      <c r="F59" s="73" t="inlineStr">
        <is>
          <t>blind</t>
        </is>
      </c>
      <c r="G59" s="72" t="inlineStr">
        <is>
          <t>한국윈텍</t>
        </is>
      </c>
      <c r="H59" s="74" t="inlineStr">
        <is>
          <t>VIEWTY 600</t>
        </is>
      </c>
      <c r="I59" s="74" t="n"/>
      <c r="J59" s="74" t="n"/>
      <c r="K59" s="75" t="n"/>
      <c r="L59" s="208" t="n">
        <v>4</v>
      </c>
      <c r="M59" s="209" t="n"/>
      <c r="N59" s="210" t="n"/>
      <c r="O59" s="211" t="n">
        <v>4000</v>
      </c>
      <c r="P59" s="212" t="n"/>
      <c r="Q59" s="213" t="n"/>
      <c r="R59" s="215" t="n">
        <v>1230</v>
      </c>
      <c r="S59" s="215">
        <f>O59*R59</f>
        <v/>
      </c>
      <c r="T59" s="216" t="n"/>
      <c r="U59" s="217" t="n"/>
      <c r="V59" s="218" t="n">
        <v>1380</v>
      </c>
      <c r="W59" s="219">
        <f>O59*V59</f>
        <v/>
      </c>
      <c r="X59" s="215" t="n"/>
      <c r="Y59" s="134" t="inlineStr">
        <is>
          <t>제직</t>
        </is>
      </c>
      <c r="Z59" s="220">
        <f>W59-S59-Q59</f>
        <v/>
      </c>
      <c r="AA59" s="68" t="n"/>
      <c r="AB59" s="68" t="n"/>
      <c r="AC59" s="68" t="n"/>
      <c r="AD59" s="68" t="n"/>
      <c r="AE59" s="68" t="n"/>
    </row>
    <row r="60" ht="16" customHeight="1" s="162">
      <c r="A60" s="206" t="n">
        <v>2601</v>
      </c>
      <c r="B60" s="164" t="n">
        <v>46027</v>
      </c>
      <c r="C60" s="150" t="inlineStr">
        <is>
          <t>하이젠540</t>
        </is>
      </c>
      <c r="D60" s="3" t="inlineStr">
        <is>
          <t>에프에스</t>
        </is>
      </c>
      <c r="E60" s="4" t="inlineStr">
        <is>
          <t>은호섬유</t>
        </is>
      </c>
      <c r="F60" s="5" t="inlineStr">
        <is>
          <t>cleaner</t>
        </is>
      </c>
      <c r="G60" s="4" t="inlineStr">
        <is>
          <t>티에이케이</t>
        </is>
      </c>
      <c r="H60" s="66" t="inlineStr">
        <is>
          <t>ZIG MOP</t>
        </is>
      </c>
      <c r="I60" s="66" t="n"/>
      <c r="J60" s="66" t="n"/>
      <c r="K60" s="67" t="n"/>
      <c r="L60" s="166" t="n">
        <v>88</v>
      </c>
      <c r="M60" s="167" t="n">
        <v>1540</v>
      </c>
      <c r="N60" s="168" t="n"/>
      <c r="O60" s="169" t="n"/>
      <c r="P60" s="170" t="n"/>
      <c r="Q60" s="171" t="n"/>
      <c r="R60" s="172" t="n">
        <v>2000</v>
      </c>
      <c r="S60" s="172">
        <f>M60*R60</f>
        <v/>
      </c>
      <c r="T60" s="173" t="n"/>
      <c r="U60" s="174" t="n"/>
      <c r="V60" s="175" t="n"/>
      <c r="W60" s="176" t="n"/>
      <c r="X60" s="172" t="n"/>
      <c r="Y60" s="22" t="inlineStr">
        <is>
          <t>편직</t>
        </is>
      </c>
      <c r="Z60" s="220">
        <f>W60-S60-Q60</f>
        <v/>
      </c>
    </row>
    <row r="61" ht="16" customHeight="1" s="162">
      <c r="A61" s="206" t="n">
        <v>2601</v>
      </c>
      <c r="B61" s="164" t="n">
        <v>46036</v>
      </c>
      <c r="C61" s="150" t="inlineStr">
        <is>
          <t>하이젠540</t>
        </is>
      </c>
      <c r="D61" s="3" t="inlineStr">
        <is>
          <t>에프에스</t>
        </is>
      </c>
      <c r="E61" s="4" t="inlineStr">
        <is>
          <t>은호섬유</t>
        </is>
      </c>
      <c r="F61" s="5" t="inlineStr">
        <is>
          <t>cleaner</t>
        </is>
      </c>
      <c r="G61" s="4" t="inlineStr">
        <is>
          <t>티에이케이</t>
        </is>
      </c>
      <c r="H61" s="66" t="inlineStr">
        <is>
          <t>ZIG MOP</t>
        </is>
      </c>
      <c r="I61" s="66" t="n"/>
      <c r="J61" s="66" t="n"/>
      <c r="K61" s="67" t="n"/>
      <c r="L61" s="166" t="n">
        <v>28</v>
      </c>
      <c r="M61" s="167" t="n">
        <v>480</v>
      </c>
      <c r="N61" s="168" t="n"/>
      <c r="O61" s="169" t="n"/>
      <c r="P61" s="170" t="n"/>
      <c r="Q61" s="171" t="n"/>
      <c r="R61" s="172" t="n">
        <v>2000</v>
      </c>
      <c r="S61" s="172">
        <f>M61*R61</f>
        <v/>
      </c>
      <c r="T61" s="173" t="n"/>
      <c r="U61" s="174" t="n"/>
      <c r="V61" s="175" t="n"/>
      <c r="W61" s="176" t="n"/>
      <c r="X61" s="172" t="n"/>
      <c r="Y61" s="22" t="inlineStr">
        <is>
          <t>편직</t>
        </is>
      </c>
      <c r="Z61" s="221">
        <f>W61-S61-Q61</f>
        <v/>
      </c>
    </row>
    <row r="62" ht="16" customHeight="1" s="162">
      <c r="A62" s="206" t="n">
        <v>2601</v>
      </c>
      <c r="B62" s="164" t="n">
        <v>46036</v>
      </c>
      <c r="C62" s="150" t="inlineStr">
        <is>
          <t>하이젠540</t>
        </is>
      </c>
      <c r="D62" s="3" t="inlineStr">
        <is>
          <t>에프에스</t>
        </is>
      </c>
      <c r="E62" s="4" t="inlineStr">
        <is>
          <t>은호섬유</t>
        </is>
      </c>
      <c r="F62" s="5" t="inlineStr">
        <is>
          <t>cleaner</t>
        </is>
      </c>
      <c r="G62" s="4" t="inlineStr">
        <is>
          <t>티에이케이</t>
        </is>
      </c>
      <c r="H62" s="66" t="inlineStr">
        <is>
          <t>ZIG MOP</t>
        </is>
      </c>
      <c r="I62" s="66" t="n"/>
      <c r="J62" s="66" t="n"/>
      <c r="K62" s="67" t="n"/>
      <c r="L62" s="166" t="n">
        <v>56</v>
      </c>
      <c r="M62" s="167" t="n">
        <v>980</v>
      </c>
      <c r="N62" s="168" t="n"/>
      <c r="O62" s="169" t="n"/>
      <c r="P62" s="170" t="n"/>
      <c r="Q62" s="171" t="n"/>
      <c r="R62" s="172" t="n">
        <v>2000</v>
      </c>
      <c r="S62" s="172">
        <f>M62*R62</f>
        <v/>
      </c>
      <c r="T62" s="173" t="n"/>
      <c r="U62" s="174" t="n"/>
      <c r="V62" s="175" t="n"/>
      <c r="W62" s="176" t="n"/>
      <c r="X62" s="172" t="n"/>
      <c r="Y62" s="22" t="inlineStr">
        <is>
          <t>편직</t>
        </is>
      </c>
      <c r="Z62" s="221">
        <f>W62-S62-Q62</f>
        <v/>
      </c>
    </row>
    <row r="63" ht="16" customHeight="1" s="162">
      <c r="A63" s="206" t="n">
        <v>2601</v>
      </c>
      <c r="B63" s="164" t="n">
        <v>46053</v>
      </c>
      <c r="C63" s="150" t="inlineStr">
        <is>
          <t>하이젠540</t>
        </is>
      </c>
      <c r="D63" s="3" t="inlineStr">
        <is>
          <t>에프에스</t>
        </is>
      </c>
      <c r="E63" s="145" t="inlineStr">
        <is>
          <t>에프에스</t>
        </is>
      </c>
      <c r="F63" s="5" t="inlineStr">
        <is>
          <t>cleaner</t>
        </is>
      </c>
      <c r="G63" s="4" t="inlineStr">
        <is>
          <t>티에이케이</t>
        </is>
      </c>
      <c r="H63" s="66" t="inlineStr">
        <is>
          <t>poly NSY</t>
        </is>
      </c>
      <c r="I63" s="66" t="n"/>
      <c r="J63" s="66" t="n"/>
      <c r="K63" s="67" t="n"/>
      <c r="L63" s="166" t="n"/>
      <c r="M63" s="167" t="n">
        <v>630</v>
      </c>
      <c r="N63" s="168" t="n"/>
      <c r="O63" s="169" t="n"/>
      <c r="P63" s="170" t="n">
        <v>2390</v>
      </c>
      <c r="Q63" s="171">
        <f>M63*P63</f>
        <v/>
      </c>
      <c r="R63" s="172" t="n"/>
      <c r="S63" s="172" t="n"/>
      <c r="T63" s="173" t="n"/>
      <c r="U63" s="174" t="n"/>
      <c r="V63" s="175" t="n"/>
      <c r="W63" s="176" t="n"/>
      <c r="X63" s="172" t="n"/>
      <c r="Y63" s="22" t="inlineStr">
        <is>
          <t>원료</t>
        </is>
      </c>
      <c r="Z63" s="220">
        <f>W63-S63-Q63</f>
        <v/>
      </c>
    </row>
    <row r="64" ht="16" customHeight="1" s="162">
      <c r="A64" s="206" t="n">
        <v>2601</v>
      </c>
      <c r="B64" s="164" t="n">
        <v>46027</v>
      </c>
      <c r="C64" s="150" t="inlineStr">
        <is>
          <t>20D PTR</t>
        </is>
      </c>
      <c r="D64" s="3" t="inlineStr">
        <is>
          <t>유진트레이딩</t>
        </is>
      </c>
      <c r="E64" s="4" t="inlineStr">
        <is>
          <t>디케이티앤씨</t>
        </is>
      </c>
      <c r="F64" s="5" t="inlineStr">
        <is>
          <t>tape</t>
        </is>
      </c>
      <c r="G64" s="4" t="inlineStr">
        <is>
          <t>하이멜</t>
        </is>
      </c>
      <c r="H64" s="66" t="inlineStr">
        <is>
          <t>20D PTR</t>
        </is>
      </c>
      <c r="I64" s="66" t="inlineStr">
        <is>
          <t>GREY</t>
        </is>
      </c>
      <c r="J64" s="66" t="n"/>
      <c r="K64" s="67" t="n"/>
      <c r="L64" s="166" t="n">
        <v>9</v>
      </c>
      <c r="M64" s="167" t="n">
        <v>229.4</v>
      </c>
      <c r="N64" s="168" t="n">
        <v>4500</v>
      </c>
      <c r="O64" s="169" t="n"/>
      <c r="P64" s="170" t="n"/>
      <c r="Q64" s="171" t="n"/>
      <c r="R64" s="172" t="n">
        <v>970</v>
      </c>
      <c r="S64" s="172">
        <f>N64*R64</f>
        <v/>
      </c>
      <c r="T64" s="173" t="n"/>
      <c r="U64" s="174" t="n"/>
      <c r="V64" s="175" t="n"/>
      <c r="W64" s="176" t="n"/>
      <c r="X64" s="172" t="n"/>
      <c r="Y64" s="22" t="inlineStr">
        <is>
          <t>원료</t>
        </is>
      </c>
      <c r="Z64" s="220">
        <f>W64-S64-Q64</f>
        <v/>
      </c>
    </row>
    <row r="65" ht="16" customHeight="1" s="162">
      <c r="A65" s="206" t="n">
        <v>2601</v>
      </c>
      <c r="B65" s="164" t="n">
        <v>46027</v>
      </c>
      <c r="C65" s="150" t="inlineStr">
        <is>
          <t>20D PTR</t>
        </is>
      </c>
      <c r="D65" s="3" t="inlineStr">
        <is>
          <t>유진트레이딩</t>
        </is>
      </c>
      <c r="E65" s="4" t="inlineStr">
        <is>
          <t>디케이티앤씨</t>
        </is>
      </c>
      <c r="F65" s="5" t="inlineStr">
        <is>
          <t>tape</t>
        </is>
      </c>
      <c r="G65" s="4" t="inlineStr">
        <is>
          <t>하이멜</t>
        </is>
      </c>
      <c r="H65" s="66" t="inlineStr">
        <is>
          <t>20D PTR</t>
        </is>
      </c>
      <c r="I65" s="66" t="inlineStr">
        <is>
          <t>GREY</t>
        </is>
      </c>
      <c r="J65" s="66" t="n"/>
      <c r="K65" s="67" t="n"/>
      <c r="L65" s="166" t="n"/>
      <c r="M65" s="167" t="n"/>
      <c r="N65" s="168" t="n">
        <v>-500</v>
      </c>
      <c r="O65" s="169" t="n"/>
      <c r="P65" s="170" t="n"/>
      <c r="Q65" s="171" t="n"/>
      <c r="R65" s="172" t="n">
        <v>970</v>
      </c>
      <c r="S65" s="172">
        <f>N65*R65</f>
        <v/>
      </c>
      <c r="T65" s="173" t="n"/>
      <c r="U65" s="174" t="n"/>
      <c r="V65" s="175" t="n"/>
      <c r="W65" s="176" t="n"/>
      <c r="X65" s="172" t="n"/>
      <c r="Y65" s="22" t="inlineStr">
        <is>
          <t>원료</t>
        </is>
      </c>
      <c r="Z65" s="220">
        <f>W65-S65-Q65</f>
        <v/>
      </c>
    </row>
    <row r="66" ht="16" customHeight="1" s="162">
      <c r="A66" s="206" t="n">
        <v>2601</v>
      </c>
      <c r="B66" s="164" t="n">
        <v>46050</v>
      </c>
      <c r="C66" s="150" t="inlineStr">
        <is>
          <t>20D PTR</t>
        </is>
      </c>
      <c r="D66" s="3" t="inlineStr">
        <is>
          <t>유진트레이딩</t>
        </is>
      </c>
      <c r="E66" s="4" t="inlineStr">
        <is>
          <t>디케이티앤씨</t>
        </is>
      </c>
      <c r="F66" s="5" t="inlineStr">
        <is>
          <t>tape</t>
        </is>
      </c>
      <c r="G66" s="4" t="inlineStr">
        <is>
          <t>하이멜</t>
        </is>
      </c>
      <c r="H66" s="66" t="inlineStr">
        <is>
          <t>20D PTR</t>
        </is>
      </c>
      <c r="I66" s="66" t="inlineStr">
        <is>
          <t>BLACK</t>
        </is>
      </c>
      <c r="J66" s="66" t="n"/>
      <c r="K66" s="67" t="inlineStr">
        <is>
          <t>1.  2.</t>
        </is>
      </c>
      <c r="L66" s="166" t="n">
        <v>14</v>
      </c>
      <c r="M66" s="167" t="n">
        <v>326.5</v>
      </c>
      <c r="N66" s="168" t="n">
        <v>6399</v>
      </c>
      <c r="O66" s="169" t="n"/>
      <c r="P66" s="170" t="n"/>
      <c r="Q66" s="171" t="n"/>
      <c r="R66" s="172" t="n">
        <v>970</v>
      </c>
      <c r="S66" s="172">
        <f>N66*R66</f>
        <v/>
      </c>
      <c r="T66" s="173" t="n"/>
      <c r="U66" s="174" t="n"/>
      <c r="V66" s="175" t="n"/>
      <c r="W66" s="176" t="n"/>
      <c r="X66" s="172" t="n"/>
      <c r="Y66" s="22" t="inlineStr">
        <is>
          <t>원료</t>
        </is>
      </c>
      <c r="Z66" s="220">
        <f>W66-S66-Q66</f>
        <v/>
      </c>
    </row>
    <row r="67" ht="16" customHeight="1" s="162">
      <c r="A67" s="206" t="n">
        <v>2601</v>
      </c>
      <c r="B67" s="207" t="n">
        <v>46044</v>
      </c>
      <c r="C67" s="150" t="inlineStr">
        <is>
          <t>20D PTR</t>
        </is>
      </c>
      <c r="D67" s="71" t="inlineStr">
        <is>
          <t>유진트레이딩</t>
        </is>
      </c>
      <c r="E67" s="72" t="inlineStr">
        <is>
          <t>롸잇루트</t>
        </is>
      </c>
      <c r="F67" s="73" t="inlineStr">
        <is>
          <t>tape</t>
        </is>
      </c>
      <c r="G67" s="72" t="inlineStr">
        <is>
          <t>롸잇루트</t>
        </is>
      </c>
      <c r="H67" s="74" t="inlineStr">
        <is>
          <t>20D PTR</t>
        </is>
      </c>
      <c r="I67" s="74" t="inlineStr">
        <is>
          <t>BLACK</t>
        </is>
      </c>
      <c r="J67" s="74" t="n"/>
      <c r="K67" s="75" t="n"/>
      <c r="L67" s="208" t="n"/>
      <c r="M67" s="209" t="n"/>
      <c r="N67" s="210" t="n">
        <v>40</v>
      </c>
      <c r="O67" s="211" t="n"/>
      <c r="P67" s="212" t="n"/>
      <c r="Q67" s="213" t="n"/>
      <c r="R67" s="215" t="n"/>
      <c r="S67" s="215" t="n"/>
      <c r="T67" s="216" t="n"/>
      <c r="U67" s="217" t="n"/>
      <c r="V67" s="218" t="n">
        <v>1150</v>
      </c>
      <c r="W67" s="219">
        <f>N67*V67</f>
        <v/>
      </c>
      <c r="X67" s="215" t="n"/>
      <c r="Y67" s="134" t="inlineStr">
        <is>
          <t>상품</t>
        </is>
      </c>
      <c r="Z67" s="220">
        <f>W67-S67-Q67</f>
        <v/>
      </c>
      <c r="AA67" s="68" t="n"/>
      <c r="AB67" s="68" t="n"/>
      <c r="AC67" s="68" t="n"/>
      <c r="AD67" s="68" t="n"/>
      <c r="AE67" s="68" t="n"/>
    </row>
    <row r="68" ht="16" customHeight="1" s="162">
      <c r="A68" s="206" t="n">
        <v>2601</v>
      </c>
      <c r="B68" s="207" t="n">
        <v>46031</v>
      </c>
      <c r="C68" s="150" t="inlineStr">
        <is>
          <t>하이젠540</t>
        </is>
      </c>
      <c r="D68" s="71" t="inlineStr">
        <is>
          <t>은호섬유</t>
        </is>
      </c>
      <c r="E68" s="72" t="inlineStr">
        <is>
          <t>메타빈</t>
        </is>
      </c>
      <c r="F68" s="73" t="inlineStr">
        <is>
          <t>cleaner</t>
        </is>
      </c>
      <c r="G68" s="72" t="inlineStr">
        <is>
          <t>메타빈</t>
        </is>
      </c>
      <c r="H68" s="74" t="inlineStr">
        <is>
          <t>하이젠</t>
        </is>
      </c>
      <c r="I68" s="74" t="inlineStr">
        <is>
          <t>메타빈</t>
        </is>
      </c>
      <c r="J68" s="74" t="n"/>
      <c r="K68" s="75" t="n"/>
      <c r="L68" s="208" t="n"/>
      <c r="M68" s="209" t="n">
        <v>443.7</v>
      </c>
      <c r="N68" s="210" t="n">
        <v>758</v>
      </c>
      <c r="O68" s="211" t="n"/>
      <c r="P68" s="212" t="n"/>
      <c r="Q68" s="213" t="n"/>
      <c r="R68" s="215" t="n"/>
      <c r="S68" s="215" t="n"/>
      <c r="T68" s="216" t="n"/>
      <c r="U68" s="217" t="n"/>
      <c r="V68" s="218" t="n">
        <v>3000</v>
      </c>
      <c r="W68" s="219">
        <f>N68*V68</f>
        <v/>
      </c>
      <c r="X68" s="215" t="n"/>
      <c r="Y68" s="134" t="inlineStr">
        <is>
          <t>염색</t>
        </is>
      </c>
      <c r="Z68" s="220">
        <f>W68-S68-Q68</f>
        <v/>
      </c>
      <c r="AA68" s="68" t="n"/>
      <c r="AB68" s="68" t="n"/>
      <c r="AC68" s="68" t="n"/>
      <c r="AD68" s="68" t="n"/>
      <c r="AE68" s="68" t="n"/>
    </row>
    <row r="69" ht="16" customHeight="1" s="162">
      <c r="A69" s="206" t="n">
        <v>2601</v>
      </c>
      <c r="B69" s="207" t="n">
        <v>46028</v>
      </c>
      <c r="C69" s="150" t="inlineStr">
        <is>
          <t>하이젠540</t>
        </is>
      </c>
      <c r="D69" s="71" t="inlineStr">
        <is>
          <t>은호섬유</t>
        </is>
      </c>
      <c r="E69" s="72" t="inlineStr">
        <is>
          <t>티에이케이</t>
        </is>
      </c>
      <c r="F69" s="73" t="inlineStr">
        <is>
          <t>cleaner</t>
        </is>
      </c>
      <c r="G69" s="72" t="inlineStr">
        <is>
          <t>티에이케이</t>
        </is>
      </c>
      <c r="H69" s="74" t="inlineStr">
        <is>
          <t>HYGEN TWIST 540</t>
        </is>
      </c>
      <c r="I69" s="74" t="inlineStr">
        <is>
          <t>BLUE</t>
        </is>
      </c>
      <c r="J69" s="74" t="n"/>
      <c r="K69" s="85" t="inlineStr">
        <is>
          <t>003</t>
        </is>
      </c>
      <c r="L69" s="208" t="n">
        <v>32</v>
      </c>
      <c r="M69" s="209" t="n">
        <v>468.2</v>
      </c>
      <c r="N69" s="210" t="n"/>
      <c r="O69" s="211" t="n">
        <v>738</v>
      </c>
      <c r="P69" s="212" t="n"/>
      <c r="Q69" s="213" t="n"/>
      <c r="R69" s="215" t="n">
        <v>2500</v>
      </c>
      <c r="S69" s="215">
        <f>M69*R69</f>
        <v/>
      </c>
      <c r="T69" s="216" t="n"/>
      <c r="U69" s="217" t="n"/>
      <c r="V69" s="218" t="n">
        <v>6566</v>
      </c>
      <c r="W69" s="219">
        <f>O69*V69</f>
        <v/>
      </c>
      <c r="X69" s="215" t="n"/>
      <c r="Y69" s="134" t="inlineStr">
        <is>
          <t>염색</t>
        </is>
      </c>
      <c r="Z69" s="220">
        <f>W69-S69-Q69</f>
        <v/>
      </c>
      <c r="AA69" s="68" t="n"/>
      <c r="AB69" s="68" t="n"/>
      <c r="AC69" s="68" t="n"/>
      <c r="AD69" s="68" t="n"/>
      <c r="AE69" s="68" t="n"/>
    </row>
    <row r="70" ht="16" customFormat="1" customHeight="1" s="68">
      <c r="A70" s="206" t="n">
        <v>2601</v>
      </c>
      <c r="B70" s="207" t="n">
        <v>46028</v>
      </c>
      <c r="C70" s="150" t="inlineStr">
        <is>
          <t>하이젠540</t>
        </is>
      </c>
      <c r="D70" s="71" t="inlineStr">
        <is>
          <t>은호섬유</t>
        </is>
      </c>
      <c r="E70" s="72" t="inlineStr">
        <is>
          <t>티에이케이</t>
        </is>
      </c>
      <c r="F70" s="73" t="inlineStr">
        <is>
          <t>cleaner</t>
        </is>
      </c>
      <c r="G70" s="72" t="inlineStr">
        <is>
          <t>티에이케이</t>
        </is>
      </c>
      <c r="H70" s="74" t="inlineStr">
        <is>
          <t>HYGEN TWIST 540</t>
        </is>
      </c>
      <c r="I70" s="74" t="inlineStr">
        <is>
          <t>BLUE</t>
        </is>
      </c>
      <c r="J70" s="74" t="n"/>
      <c r="K70" s="85" t="inlineStr">
        <is>
          <t>004</t>
        </is>
      </c>
      <c r="L70" s="208" t="n">
        <v>29</v>
      </c>
      <c r="M70" s="209" t="n">
        <v>443.8</v>
      </c>
      <c r="N70" s="210" t="n"/>
      <c r="O70" s="211" t="n">
        <v>703</v>
      </c>
      <c r="P70" s="212" t="n"/>
      <c r="Q70" s="213" t="n"/>
      <c r="R70" s="215" t="n">
        <v>2500</v>
      </c>
      <c r="S70" s="215">
        <f>M70*R70</f>
        <v/>
      </c>
      <c r="T70" s="216" t="n"/>
      <c r="U70" s="217" t="n"/>
      <c r="V70" s="218" t="n">
        <v>6566</v>
      </c>
      <c r="W70" s="219">
        <f>O70*V70</f>
        <v/>
      </c>
      <c r="X70" s="215" t="n"/>
      <c r="Y70" s="134" t="inlineStr">
        <is>
          <t>염색</t>
        </is>
      </c>
      <c r="Z70" s="220">
        <f>W70-S70-Q70</f>
        <v/>
      </c>
    </row>
    <row r="71" ht="16" customHeight="1" s="162">
      <c r="A71" s="206" t="n">
        <v>2601</v>
      </c>
      <c r="B71" s="207" t="n">
        <v>46028</v>
      </c>
      <c r="C71" s="150" t="inlineStr">
        <is>
          <t>하이젠540</t>
        </is>
      </c>
      <c r="D71" s="71" t="inlineStr">
        <is>
          <t>은호섬유</t>
        </is>
      </c>
      <c r="E71" s="72" t="inlineStr">
        <is>
          <t>티에이케이</t>
        </is>
      </c>
      <c r="F71" s="73" t="inlineStr">
        <is>
          <t>cleaner</t>
        </is>
      </c>
      <c r="G71" s="72" t="inlineStr">
        <is>
          <t>티에이케이</t>
        </is>
      </c>
      <c r="H71" s="74" t="inlineStr">
        <is>
          <t>HYGEN TWIST 540</t>
        </is>
      </c>
      <c r="I71" s="74" t="inlineStr">
        <is>
          <t>BLUE</t>
        </is>
      </c>
      <c r="J71" s="74" t="n"/>
      <c r="K71" s="85" t="inlineStr">
        <is>
          <t>008</t>
        </is>
      </c>
      <c r="L71" s="208" t="n">
        <v>32</v>
      </c>
      <c r="M71" s="209" t="n">
        <v>468.1</v>
      </c>
      <c r="N71" s="210" t="n"/>
      <c r="O71" s="211" t="n">
        <v>755</v>
      </c>
      <c r="P71" s="212" t="n"/>
      <c r="Q71" s="213" t="n"/>
      <c r="R71" s="215" t="n">
        <v>2500</v>
      </c>
      <c r="S71" s="215">
        <f>M71*R71</f>
        <v/>
      </c>
      <c r="T71" s="216" t="n"/>
      <c r="U71" s="217" t="n"/>
      <c r="V71" s="218" t="n">
        <v>6566</v>
      </c>
      <c r="W71" s="219">
        <f>O71*V71</f>
        <v/>
      </c>
      <c r="X71" s="215" t="n"/>
      <c r="Y71" s="134" t="inlineStr">
        <is>
          <t>염색</t>
        </is>
      </c>
      <c r="Z71" s="220">
        <f>W71-S71-Q71</f>
        <v/>
      </c>
      <c r="AA71" s="68" t="n"/>
      <c r="AB71" s="68" t="n"/>
      <c r="AC71" s="68" t="n"/>
      <c r="AD71" s="68" t="n"/>
      <c r="AE71" s="68" t="n"/>
    </row>
    <row r="72" ht="16" customHeight="1" s="162">
      <c r="A72" s="206" t="n">
        <v>2601</v>
      </c>
      <c r="B72" s="207" t="n">
        <v>46028</v>
      </c>
      <c r="C72" s="150" t="inlineStr">
        <is>
          <t>하이젠540</t>
        </is>
      </c>
      <c r="D72" s="71" t="inlineStr">
        <is>
          <t>은호섬유</t>
        </is>
      </c>
      <c r="E72" s="72" t="inlineStr">
        <is>
          <t>티에이케이</t>
        </is>
      </c>
      <c r="F72" s="73" t="inlineStr">
        <is>
          <t>cleaner</t>
        </is>
      </c>
      <c r="G72" s="72" t="inlineStr">
        <is>
          <t>티에이케이</t>
        </is>
      </c>
      <c r="H72" s="74" t="inlineStr">
        <is>
          <t>HYGEN TWIST 540</t>
        </is>
      </c>
      <c r="I72" s="74" t="inlineStr">
        <is>
          <t>BLUE</t>
        </is>
      </c>
      <c r="J72" s="74" t="n"/>
      <c r="K72" s="85" t="inlineStr">
        <is>
          <t>008</t>
        </is>
      </c>
      <c r="L72" s="208" t="n">
        <v>24</v>
      </c>
      <c r="M72" s="209" t="n">
        <v>453.9</v>
      </c>
      <c r="N72" s="210" t="n"/>
      <c r="O72" s="211" t="n">
        <v>710</v>
      </c>
      <c r="P72" s="212" t="n"/>
      <c r="Q72" s="213" t="n"/>
      <c r="R72" s="215" t="n">
        <v>2500</v>
      </c>
      <c r="S72" s="215">
        <f>M72*R72</f>
        <v/>
      </c>
      <c r="T72" s="216" t="n"/>
      <c r="U72" s="217" t="n"/>
      <c r="V72" s="218" t="n">
        <v>6566</v>
      </c>
      <c r="W72" s="219">
        <f>O72*V72</f>
        <v/>
      </c>
      <c r="X72" s="215" t="n"/>
      <c r="Y72" s="134" t="inlineStr">
        <is>
          <t>염색</t>
        </is>
      </c>
      <c r="Z72" s="220">
        <f>W72-S72-Q72</f>
        <v/>
      </c>
      <c r="AA72" s="68" t="n"/>
      <c r="AB72" s="68" t="n"/>
      <c r="AC72" s="68" t="n"/>
      <c r="AD72" s="68" t="n"/>
      <c r="AE72" s="68" t="n"/>
    </row>
    <row r="73" ht="16" customFormat="1" customHeight="1" s="68">
      <c r="A73" s="206" t="n">
        <v>2601</v>
      </c>
      <c r="B73" s="207" t="n">
        <v>46028</v>
      </c>
      <c r="C73" s="150" t="inlineStr">
        <is>
          <t>하이젠540</t>
        </is>
      </c>
      <c r="D73" s="71" t="inlineStr">
        <is>
          <t>은호섬유</t>
        </is>
      </c>
      <c r="E73" s="72" t="inlineStr">
        <is>
          <t>티에이케이</t>
        </is>
      </c>
      <c r="F73" s="73" t="inlineStr">
        <is>
          <t>cleaner</t>
        </is>
      </c>
      <c r="G73" s="72" t="inlineStr">
        <is>
          <t>티에이케이</t>
        </is>
      </c>
      <c r="H73" s="74" t="inlineStr">
        <is>
          <t>HYGEN TWIST 540</t>
        </is>
      </c>
      <c r="I73" s="74" t="inlineStr">
        <is>
          <t>BLUE</t>
        </is>
      </c>
      <c r="J73" s="74" t="n"/>
      <c r="K73" s="85" t="inlineStr">
        <is>
          <t>009</t>
        </is>
      </c>
      <c r="L73" s="208" t="n">
        <v>19</v>
      </c>
      <c r="M73" s="209" t="n">
        <v>282.3</v>
      </c>
      <c r="N73" s="210" t="n"/>
      <c r="O73" s="211" t="n">
        <v>451</v>
      </c>
      <c r="P73" s="212" t="n"/>
      <c r="Q73" s="213" t="n"/>
      <c r="R73" s="215" t="n">
        <v>2500</v>
      </c>
      <c r="S73" s="215">
        <f>M73*R73</f>
        <v/>
      </c>
      <c r="T73" s="216" t="n"/>
      <c r="U73" s="217" t="n"/>
      <c r="V73" s="218" t="n">
        <v>6566</v>
      </c>
      <c r="W73" s="219">
        <f>O73*V73</f>
        <v/>
      </c>
      <c r="X73" s="215" t="n"/>
      <c r="Y73" s="134" t="inlineStr">
        <is>
          <t>염색</t>
        </is>
      </c>
      <c r="Z73" s="220">
        <f>W73-S73-Q73</f>
        <v/>
      </c>
    </row>
    <row r="74" ht="16" customHeight="1" s="162">
      <c r="A74" s="206" t="n">
        <v>2601</v>
      </c>
      <c r="B74" s="207" t="n">
        <v>46028</v>
      </c>
      <c r="C74" s="150" t="inlineStr">
        <is>
          <t>하이젠540</t>
        </is>
      </c>
      <c r="D74" s="71" t="inlineStr">
        <is>
          <t>은호섬유</t>
        </is>
      </c>
      <c r="E74" s="72" t="inlineStr">
        <is>
          <t>티에이케이</t>
        </is>
      </c>
      <c r="F74" s="73" t="inlineStr">
        <is>
          <t>cleaner</t>
        </is>
      </c>
      <c r="G74" s="72" t="inlineStr">
        <is>
          <t>티에이케이</t>
        </is>
      </c>
      <c r="H74" s="74" t="inlineStr">
        <is>
          <t>HYGEN TWIST 540</t>
        </is>
      </c>
      <c r="I74" s="74" t="inlineStr">
        <is>
          <t>BLUE</t>
        </is>
      </c>
      <c r="J74" s="74" t="n"/>
      <c r="K74" s="85" t="inlineStr">
        <is>
          <t>009</t>
        </is>
      </c>
      <c r="L74" s="208" t="n">
        <v>24</v>
      </c>
      <c r="M74" s="209" t="n">
        <v>456.5</v>
      </c>
      <c r="N74" s="210" t="n"/>
      <c r="O74" s="211" t="n">
        <v>707</v>
      </c>
      <c r="P74" s="212" t="n"/>
      <c r="Q74" s="213" t="n"/>
      <c r="R74" s="215" t="n">
        <v>2500</v>
      </c>
      <c r="S74" s="215">
        <f>M74*R74</f>
        <v/>
      </c>
      <c r="T74" s="216" t="n"/>
      <c r="U74" s="217" t="n"/>
      <c r="V74" s="218" t="n">
        <v>6566</v>
      </c>
      <c r="W74" s="219">
        <f>O74*V74</f>
        <v/>
      </c>
      <c r="X74" s="215" t="n"/>
      <c r="Y74" s="134" t="inlineStr">
        <is>
          <t>염색</t>
        </is>
      </c>
      <c r="Z74" s="220">
        <f>W74-S74-Q74</f>
        <v/>
      </c>
      <c r="AA74" s="68" t="n"/>
      <c r="AB74" s="68" t="n"/>
      <c r="AC74" s="68" t="n"/>
      <c r="AD74" s="68" t="n"/>
      <c r="AE74" s="68" t="n"/>
    </row>
    <row r="75" ht="16" customHeight="1" s="162">
      <c r="A75" s="206" t="n">
        <v>2601</v>
      </c>
      <c r="B75" s="207" t="n">
        <v>46028</v>
      </c>
      <c r="C75" s="150" t="inlineStr">
        <is>
          <t>하이젠540</t>
        </is>
      </c>
      <c r="D75" s="71" t="inlineStr">
        <is>
          <t>은호섬유</t>
        </is>
      </c>
      <c r="E75" s="72" t="inlineStr">
        <is>
          <t>티에이케이</t>
        </is>
      </c>
      <c r="F75" s="73" t="inlineStr">
        <is>
          <t>cleaner</t>
        </is>
      </c>
      <c r="G75" s="72" t="inlineStr">
        <is>
          <t>티에이케이</t>
        </is>
      </c>
      <c r="H75" s="74" t="inlineStr">
        <is>
          <t>HYGEN TWIST 540</t>
        </is>
      </c>
      <c r="I75" s="74" t="inlineStr">
        <is>
          <t>BLUE</t>
        </is>
      </c>
      <c r="J75" s="74" t="n"/>
      <c r="K75" s="85" t="inlineStr">
        <is>
          <t>010</t>
        </is>
      </c>
      <c r="L75" s="208" t="n">
        <v>6</v>
      </c>
      <c r="M75" s="209" t="n">
        <v>112.8</v>
      </c>
      <c r="N75" s="210" t="n"/>
      <c r="O75" s="211" t="n">
        <v>165</v>
      </c>
      <c r="P75" s="212" t="n"/>
      <c r="Q75" s="213" t="n"/>
      <c r="R75" s="215" t="n">
        <v>2500</v>
      </c>
      <c r="S75" s="215">
        <f>M75*R75</f>
        <v/>
      </c>
      <c r="T75" s="216" t="n"/>
      <c r="U75" s="217" t="n"/>
      <c r="V75" s="218" t="inlineStr">
        <is>
          <t>선적누락분</t>
        </is>
      </c>
      <c r="W75" s="219" t="n">
        <v>0</v>
      </c>
      <c r="X75" s="215" t="n"/>
      <c r="Y75" s="134" t="inlineStr">
        <is>
          <t>염색</t>
        </is>
      </c>
      <c r="Z75" s="220">
        <f>W75-S75-Q75</f>
        <v/>
      </c>
      <c r="AA75" s="68" t="n"/>
      <c r="AB75" s="68" t="n"/>
      <c r="AC75" s="68" t="n"/>
      <c r="AD75" s="68" t="n"/>
      <c r="AE75" s="68" t="n"/>
    </row>
    <row r="76" ht="16" customHeight="1" s="162">
      <c r="A76" s="206" t="n">
        <v>2601</v>
      </c>
      <c r="B76" s="207" t="n">
        <v>46028</v>
      </c>
      <c r="C76" s="150" t="inlineStr">
        <is>
          <t>하이젠540</t>
        </is>
      </c>
      <c r="D76" s="71" t="inlineStr">
        <is>
          <t>은호섬유</t>
        </is>
      </c>
      <c r="E76" s="72" t="inlineStr">
        <is>
          <t>티에이케이</t>
        </is>
      </c>
      <c r="F76" s="73" t="inlineStr">
        <is>
          <t>cleaner</t>
        </is>
      </c>
      <c r="G76" s="72" t="inlineStr">
        <is>
          <t>티에이케이</t>
        </is>
      </c>
      <c r="H76" s="74" t="inlineStr">
        <is>
          <t>HYGEN TWIST 540</t>
        </is>
      </c>
      <c r="I76" s="74" t="inlineStr">
        <is>
          <t>BLUE</t>
        </is>
      </c>
      <c r="J76" s="74" t="n"/>
      <c r="K76" s="85" t="inlineStr">
        <is>
          <t>012</t>
        </is>
      </c>
      <c r="L76" s="208" t="n">
        <v>4</v>
      </c>
      <c r="M76" s="209" t="n">
        <v>60</v>
      </c>
      <c r="N76" s="210" t="n"/>
      <c r="O76" s="211" t="n">
        <v>93</v>
      </c>
      <c r="P76" s="212" t="n"/>
      <c r="Q76" s="213" t="n"/>
      <c r="R76" s="215" t="n">
        <v>2500</v>
      </c>
      <c r="S76" s="215">
        <f>M76*R76</f>
        <v/>
      </c>
      <c r="T76" s="216" t="n"/>
      <c r="U76" s="217" t="n"/>
      <c r="V76" s="218" t="n">
        <v>6566</v>
      </c>
      <c r="W76" s="219">
        <f>O76*V76</f>
        <v/>
      </c>
      <c r="X76" s="215" t="n"/>
      <c r="Y76" s="134" t="inlineStr">
        <is>
          <t>염색</t>
        </is>
      </c>
      <c r="Z76" s="220">
        <f>W76-S76-Q76</f>
        <v/>
      </c>
      <c r="AA76" s="68" t="n"/>
      <c r="AB76" s="68" t="n"/>
      <c r="AC76" s="68" t="n"/>
      <c r="AD76" s="68" t="n"/>
      <c r="AE76" s="68" t="n"/>
    </row>
    <row r="77" ht="16" customHeight="1" s="162">
      <c r="A77" s="206" t="n">
        <v>2601</v>
      </c>
      <c r="B77" s="207" t="n">
        <v>46028</v>
      </c>
      <c r="C77" s="150" t="inlineStr">
        <is>
          <t>하이젠540</t>
        </is>
      </c>
      <c r="D77" s="71" t="inlineStr">
        <is>
          <t>은호섬유</t>
        </is>
      </c>
      <c r="E77" s="72" t="inlineStr">
        <is>
          <t>티에이케이</t>
        </is>
      </c>
      <c r="F77" s="73" t="inlineStr">
        <is>
          <t>cleaner</t>
        </is>
      </c>
      <c r="G77" s="72" t="inlineStr">
        <is>
          <t>티에이케이</t>
        </is>
      </c>
      <c r="H77" s="74" t="inlineStr">
        <is>
          <t>HYGEN TWIST 540</t>
        </is>
      </c>
      <c r="I77" s="74" t="inlineStr">
        <is>
          <t>BLUE</t>
        </is>
      </c>
      <c r="J77" s="74" t="n"/>
      <c r="K77" s="85" t="inlineStr">
        <is>
          <t>013</t>
        </is>
      </c>
      <c r="L77" s="208" t="n">
        <v>24</v>
      </c>
      <c r="M77" s="209" t="n">
        <v>360</v>
      </c>
      <c r="N77" s="210" t="n"/>
      <c r="O77" s="211" t="n">
        <v>557</v>
      </c>
      <c r="P77" s="212" t="n"/>
      <c r="Q77" s="213" t="n"/>
      <c r="R77" s="215" t="n">
        <v>2500</v>
      </c>
      <c r="S77" s="215">
        <f>M77*R77</f>
        <v/>
      </c>
      <c r="T77" s="216" t="n"/>
      <c r="U77" s="217" t="n"/>
      <c r="V77" s="218" t="n">
        <v>6566</v>
      </c>
      <c r="W77" s="219">
        <f>O77*V77</f>
        <v/>
      </c>
      <c r="X77" s="215" t="n"/>
      <c r="Y77" s="134" t="inlineStr">
        <is>
          <t>염색</t>
        </is>
      </c>
      <c r="Z77" s="220">
        <f>W77-S77-Q77</f>
        <v/>
      </c>
      <c r="AA77" s="68" t="n"/>
      <c r="AB77" s="68" t="n"/>
      <c r="AC77" s="68" t="n"/>
      <c r="AD77" s="68" t="n"/>
      <c r="AE77" s="68" t="n"/>
    </row>
    <row r="78" ht="16" customHeight="1" s="162">
      <c r="A78" s="206" t="n">
        <v>2601</v>
      </c>
      <c r="B78" s="207" t="n">
        <v>46037</v>
      </c>
      <c r="C78" s="150" t="inlineStr">
        <is>
          <t>하이젠540</t>
        </is>
      </c>
      <c r="D78" s="71" t="inlineStr">
        <is>
          <t>은호섬유</t>
        </is>
      </c>
      <c r="E78" s="72" t="inlineStr">
        <is>
          <t>티에이케이</t>
        </is>
      </c>
      <c r="F78" s="73" t="inlineStr">
        <is>
          <t>cleaner</t>
        </is>
      </c>
      <c r="G78" s="72" t="inlineStr">
        <is>
          <t>티에이케이</t>
        </is>
      </c>
      <c r="H78" s="74" t="inlineStr">
        <is>
          <t>HYGEN TWIST 540</t>
        </is>
      </c>
      <c r="I78" s="74" t="inlineStr">
        <is>
          <t>BLUE</t>
        </is>
      </c>
      <c r="J78" s="74" t="n"/>
      <c r="K78" s="85" t="inlineStr">
        <is>
          <t>011</t>
        </is>
      </c>
      <c r="L78" s="208" t="n">
        <v>32</v>
      </c>
      <c r="M78" s="209" t="n">
        <v>478.6</v>
      </c>
      <c r="N78" s="210" t="n"/>
      <c r="O78" s="211" t="n">
        <v>740</v>
      </c>
      <c r="P78" s="212" t="n"/>
      <c r="Q78" s="213" t="n"/>
      <c r="R78" s="215" t="n">
        <v>2500</v>
      </c>
      <c r="S78" s="215">
        <f>M78*R78</f>
        <v/>
      </c>
      <c r="T78" s="216" t="n"/>
      <c r="U78" s="217" t="n"/>
      <c r="V78" s="218" t="n">
        <v>6566</v>
      </c>
      <c r="W78" s="219">
        <f>O79*V78</f>
        <v/>
      </c>
      <c r="X78" s="215" t="n"/>
      <c r="Y78" s="134" t="inlineStr">
        <is>
          <t>염색</t>
        </is>
      </c>
      <c r="Z78" s="221">
        <f>W78-S78-Q78</f>
        <v/>
      </c>
      <c r="AA78" s="68" t="n"/>
      <c r="AB78" s="68" t="n"/>
      <c r="AC78" s="68" t="n"/>
      <c r="AD78" s="68" t="n"/>
      <c r="AE78" s="68" t="n"/>
    </row>
    <row r="79" ht="16" customHeight="1" s="162">
      <c r="A79" s="206" t="n">
        <v>2601</v>
      </c>
      <c r="B79" s="207" t="n">
        <v>46037</v>
      </c>
      <c r="C79" s="150" t="inlineStr">
        <is>
          <t>하이젠540</t>
        </is>
      </c>
      <c r="D79" s="71" t="inlineStr">
        <is>
          <t>은호섬유</t>
        </is>
      </c>
      <c r="E79" s="72" t="inlineStr">
        <is>
          <t>티에이케이</t>
        </is>
      </c>
      <c r="F79" s="73" t="inlineStr">
        <is>
          <t>cleaner</t>
        </is>
      </c>
      <c r="G79" s="72" t="inlineStr">
        <is>
          <t>티에이케이</t>
        </is>
      </c>
      <c r="H79" s="74" t="inlineStr">
        <is>
          <t>HYGEN TWIST 540</t>
        </is>
      </c>
      <c r="I79" s="74" t="inlineStr">
        <is>
          <t>BLUE</t>
        </is>
      </c>
      <c r="J79" s="74" t="n"/>
      <c r="K79" s="85" t="inlineStr">
        <is>
          <t>012</t>
        </is>
      </c>
      <c r="L79" s="208" t="n">
        <v>28</v>
      </c>
      <c r="M79" s="209" t="n">
        <v>411.3</v>
      </c>
      <c r="N79" s="210" t="n"/>
      <c r="O79" s="211" t="n">
        <v>635</v>
      </c>
      <c r="P79" s="212" t="n"/>
      <c r="Q79" s="213" t="n"/>
      <c r="R79" s="215" t="n">
        <v>2500</v>
      </c>
      <c r="S79" s="215">
        <f>M79*R79</f>
        <v/>
      </c>
      <c r="T79" s="216" t="n"/>
      <c r="U79" s="217" t="n"/>
      <c r="V79" s="218" t="n">
        <v>6566</v>
      </c>
      <c r="W79" s="219">
        <f>O80*V79</f>
        <v/>
      </c>
      <c r="X79" s="215" t="n"/>
      <c r="Y79" s="134" t="inlineStr">
        <is>
          <t>염색</t>
        </is>
      </c>
      <c r="Z79" s="221">
        <f>W79-S79-Q79</f>
        <v/>
      </c>
      <c r="AA79" s="68" t="n"/>
      <c r="AB79" s="68" t="n"/>
      <c r="AC79" s="68" t="n"/>
      <c r="AD79" s="68" t="n"/>
      <c r="AE79" s="68" t="n"/>
    </row>
    <row r="80" ht="16" customHeight="1" s="162">
      <c r="A80" s="206" t="n">
        <v>2601</v>
      </c>
      <c r="B80" s="207" t="n">
        <v>46037</v>
      </c>
      <c r="C80" s="150" t="inlineStr">
        <is>
          <t>하이젠540</t>
        </is>
      </c>
      <c r="D80" s="71" t="inlineStr">
        <is>
          <t>은호섬유</t>
        </is>
      </c>
      <c r="E80" s="72" t="inlineStr">
        <is>
          <t>티에이케이</t>
        </is>
      </c>
      <c r="F80" s="73" t="inlineStr">
        <is>
          <t>cleaner</t>
        </is>
      </c>
      <c r="G80" s="72" t="inlineStr">
        <is>
          <t>티에이케이</t>
        </is>
      </c>
      <c r="H80" s="74" t="inlineStr">
        <is>
          <t>HYGEN TWIST 540</t>
        </is>
      </c>
      <c r="I80" s="74" t="inlineStr">
        <is>
          <t>BLUE</t>
        </is>
      </c>
      <c r="J80" s="74" t="n"/>
      <c r="K80" s="85" t="inlineStr">
        <is>
          <t>001</t>
        </is>
      </c>
      <c r="L80" s="208" t="n">
        <v>22</v>
      </c>
      <c r="M80" s="209" t="n">
        <v>422</v>
      </c>
      <c r="N80" s="210" t="n"/>
      <c r="O80" s="211" t="n">
        <v>664</v>
      </c>
      <c r="P80" s="212" t="n"/>
      <c r="Q80" s="213" t="n"/>
      <c r="R80" s="215" t="n">
        <v>2500</v>
      </c>
      <c r="S80" s="215">
        <f>M80*R80</f>
        <v/>
      </c>
      <c r="T80" s="216" t="n"/>
      <c r="U80" s="217" t="n"/>
      <c r="V80" s="218" t="n">
        <v>6566</v>
      </c>
      <c r="W80" s="219">
        <f>O81*V80</f>
        <v/>
      </c>
      <c r="X80" s="215" t="n"/>
      <c r="Y80" s="134" t="inlineStr">
        <is>
          <t>염색</t>
        </is>
      </c>
      <c r="Z80" s="221">
        <f>W80-S80-Q80</f>
        <v/>
      </c>
      <c r="AA80" s="68" t="n"/>
      <c r="AB80" s="68" t="n"/>
      <c r="AC80" s="68" t="n"/>
      <c r="AD80" s="68" t="n"/>
      <c r="AE80" s="68" t="n"/>
    </row>
    <row r="81" ht="16" customHeight="1" s="162">
      <c r="A81" s="206" t="n">
        <v>2601</v>
      </c>
      <c r="B81" s="207" t="n">
        <v>46037</v>
      </c>
      <c r="C81" s="150" t="inlineStr">
        <is>
          <t>하이젠540</t>
        </is>
      </c>
      <c r="D81" s="71" t="inlineStr">
        <is>
          <t>은호섬유</t>
        </is>
      </c>
      <c r="E81" s="72" t="inlineStr">
        <is>
          <t>티에이케이</t>
        </is>
      </c>
      <c r="F81" s="73" t="inlineStr">
        <is>
          <t>cleaner</t>
        </is>
      </c>
      <c r="G81" s="72" t="inlineStr">
        <is>
          <t>티에이케이</t>
        </is>
      </c>
      <c r="H81" s="74" t="inlineStr">
        <is>
          <t>HYGEN TWIST 540</t>
        </is>
      </c>
      <c r="I81" s="74" t="inlineStr">
        <is>
          <t>BLUE</t>
        </is>
      </c>
      <c r="J81" s="74" t="n"/>
      <c r="K81" s="85" t="inlineStr">
        <is>
          <t>002</t>
        </is>
      </c>
      <c r="L81" s="208" t="n">
        <v>22</v>
      </c>
      <c r="M81" s="209" t="n">
        <v>420</v>
      </c>
      <c r="N81" s="210" t="n"/>
      <c r="O81" s="211" t="n">
        <v>645</v>
      </c>
      <c r="P81" s="212" t="n"/>
      <c r="Q81" s="213" t="n"/>
      <c r="R81" s="215" t="n">
        <v>2500</v>
      </c>
      <c r="S81" s="215">
        <f>M81*R81</f>
        <v/>
      </c>
      <c r="T81" s="216" t="n"/>
      <c r="U81" s="217" t="n"/>
      <c r="V81" s="218" t="n">
        <v>6566</v>
      </c>
      <c r="W81" s="219">
        <f>O82*V81</f>
        <v/>
      </c>
      <c r="X81" s="215" t="n"/>
      <c r="Y81" s="134" t="inlineStr">
        <is>
          <t>염색</t>
        </is>
      </c>
      <c r="Z81" s="221">
        <f>W81-S81-Q81</f>
        <v/>
      </c>
      <c r="AA81" s="68" t="n"/>
      <c r="AB81" s="68" t="n"/>
      <c r="AC81" s="68" t="n"/>
      <c r="AD81" s="68" t="n"/>
      <c r="AE81" s="68" t="n"/>
    </row>
    <row r="82" ht="16" customFormat="1" customHeight="1" s="68">
      <c r="A82" s="206" t="n">
        <v>2601</v>
      </c>
      <c r="B82" s="207" t="n">
        <v>46037</v>
      </c>
      <c r="C82" s="150" t="inlineStr">
        <is>
          <t>하이젠540</t>
        </is>
      </c>
      <c r="D82" s="71" t="inlineStr">
        <is>
          <t>은호섬유</t>
        </is>
      </c>
      <c r="E82" s="72" t="inlineStr">
        <is>
          <t>티에이케이</t>
        </is>
      </c>
      <c r="F82" s="73" t="inlineStr">
        <is>
          <t>cleaner</t>
        </is>
      </c>
      <c r="G82" s="72" t="inlineStr">
        <is>
          <t>티에이케이</t>
        </is>
      </c>
      <c r="H82" s="74" t="inlineStr">
        <is>
          <t>HYGEN TWIST 540</t>
        </is>
      </c>
      <c r="I82" s="74" t="inlineStr">
        <is>
          <t>BLUE</t>
        </is>
      </c>
      <c r="J82" s="74" t="n"/>
      <c r="K82" s="85" t="inlineStr">
        <is>
          <t>003</t>
        </is>
      </c>
      <c r="L82" s="208" t="n">
        <v>22</v>
      </c>
      <c r="M82" s="209" t="n">
        <v>419.7</v>
      </c>
      <c r="N82" s="210" t="n"/>
      <c r="O82" s="211" t="n">
        <v>653</v>
      </c>
      <c r="P82" s="212" t="n"/>
      <c r="Q82" s="213" t="n"/>
      <c r="R82" s="215" t="n">
        <v>2500</v>
      </c>
      <c r="S82" s="215">
        <f>M82*R82</f>
        <v/>
      </c>
      <c r="T82" s="216" t="n"/>
      <c r="U82" s="217" t="n"/>
      <c r="V82" s="218" t="n">
        <v>6566</v>
      </c>
      <c r="W82" s="219">
        <f>O83*V82</f>
        <v/>
      </c>
      <c r="X82" s="215" t="n"/>
      <c r="Y82" s="134" t="inlineStr">
        <is>
          <t>염색</t>
        </is>
      </c>
      <c r="Z82" s="221">
        <f>W82-S82-Q82</f>
        <v/>
      </c>
    </row>
    <row r="83" ht="16" customFormat="1" customHeight="1" s="68">
      <c r="A83" s="206" t="n">
        <v>2601</v>
      </c>
      <c r="B83" s="207" t="n">
        <v>46037</v>
      </c>
      <c r="C83" s="150" t="inlineStr">
        <is>
          <t>하이젠540</t>
        </is>
      </c>
      <c r="D83" s="71" t="inlineStr">
        <is>
          <t>은호섬유</t>
        </is>
      </c>
      <c r="E83" s="72" t="inlineStr">
        <is>
          <t>티에이케이</t>
        </is>
      </c>
      <c r="F83" s="73" t="inlineStr">
        <is>
          <t>cleaner</t>
        </is>
      </c>
      <c r="G83" s="72" t="inlineStr">
        <is>
          <t>티에이케이</t>
        </is>
      </c>
      <c r="H83" s="74" t="inlineStr">
        <is>
          <t>HYGEN TWIST 540</t>
        </is>
      </c>
      <c r="I83" s="74" t="inlineStr">
        <is>
          <t>BLUE</t>
        </is>
      </c>
      <c r="J83" s="74" t="n"/>
      <c r="K83" s="85" t="inlineStr">
        <is>
          <t>004</t>
        </is>
      </c>
      <c r="L83" s="208" t="n">
        <v>24</v>
      </c>
      <c r="M83" s="209" t="n">
        <v>457.3</v>
      </c>
      <c r="N83" s="210" t="n"/>
      <c r="O83" s="211" t="n">
        <v>706</v>
      </c>
      <c r="P83" s="212" t="n"/>
      <c r="Q83" s="213" t="n"/>
      <c r="R83" s="215" t="n">
        <v>2500</v>
      </c>
      <c r="S83" s="215">
        <f>M83*R83</f>
        <v/>
      </c>
      <c r="T83" s="216" t="n"/>
      <c r="U83" s="217" t="n"/>
      <c r="V83" s="218" t="n">
        <v>6566</v>
      </c>
      <c r="W83" s="219">
        <f>O84*V83</f>
        <v/>
      </c>
      <c r="X83" s="215" t="n"/>
      <c r="Y83" s="134" t="inlineStr">
        <is>
          <t>염색</t>
        </is>
      </c>
      <c r="Z83" s="221">
        <f>W83-S83-Q83</f>
        <v/>
      </c>
    </row>
    <row r="84" ht="16" customHeight="1" s="162">
      <c r="A84" s="206" t="n">
        <v>2601</v>
      </c>
      <c r="B84" s="207" t="n">
        <v>46037</v>
      </c>
      <c r="C84" s="150" t="inlineStr">
        <is>
          <t>하이젠540</t>
        </is>
      </c>
      <c r="D84" s="71" t="inlineStr">
        <is>
          <t>은호섬유</t>
        </is>
      </c>
      <c r="E84" s="72" t="inlineStr">
        <is>
          <t>티에이케이</t>
        </is>
      </c>
      <c r="F84" s="73" t="inlineStr">
        <is>
          <t>cleaner</t>
        </is>
      </c>
      <c r="G84" s="72" t="inlineStr">
        <is>
          <t>티에이케이</t>
        </is>
      </c>
      <c r="H84" s="74" t="inlineStr">
        <is>
          <t>HYGEN TWIST 540</t>
        </is>
      </c>
      <c r="I84" s="74" t="inlineStr">
        <is>
          <t>BLUE</t>
        </is>
      </c>
      <c r="J84" s="74" t="n"/>
      <c r="K84" s="85" t="inlineStr">
        <is>
          <t>005</t>
        </is>
      </c>
      <c r="L84" s="208" t="n">
        <v>23</v>
      </c>
      <c r="M84" s="209" t="n">
        <v>419.9</v>
      </c>
      <c r="N84" s="210" t="n"/>
      <c r="O84" s="211" t="n">
        <v>652</v>
      </c>
      <c r="P84" s="212" t="n"/>
      <c r="Q84" s="213" t="n"/>
      <c r="R84" s="215" t="n">
        <v>2500</v>
      </c>
      <c r="S84" s="215">
        <f>M84*R84</f>
        <v/>
      </c>
      <c r="T84" s="216" t="n"/>
      <c r="U84" s="217" t="n"/>
      <c r="V84" s="218" t="n">
        <v>6566</v>
      </c>
      <c r="W84" s="219">
        <f>O85*V84</f>
        <v/>
      </c>
      <c r="X84" s="215" t="n"/>
      <c r="Y84" s="134" t="inlineStr">
        <is>
          <t>염색</t>
        </is>
      </c>
      <c r="Z84" s="221">
        <f>W84-S84-Q84</f>
        <v/>
      </c>
      <c r="AA84" s="68" t="n"/>
      <c r="AB84" s="68" t="n"/>
      <c r="AC84" s="68" t="n"/>
      <c r="AD84" s="68" t="n"/>
      <c r="AE84" s="68" t="n"/>
    </row>
    <row r="85" ht="16" customHeight="1" s="162">
      <c r="A85" s="206" t="n">
        <v>2601</v>
      </c>
      <c r="B85" s="207" t="n">
        <v>46037</v>
      </c>
      <c r="C85" s="150" t="inlineStr">
        <is>
          <t>하이젠540</t>
        </is>
      </c>
      <c r="D85" s="71" t="inlineStr">
        <is>
          <t>은호섬유</t>
        </is>
      </c>
      <c r="E85" s="72" t="inlineStr">
        <is>
          <t>티에이케이</t>
        </is>
      </c>
      <c r="F85" s="73" t="inlineStr">
        <is>
          <t>cleaner</t>
        </is>
      </c>
      <c r="G85" s="72" t="inlineStr">
        <is>
          <t>티에이케이</t>
        </is>
      </c>
      <c r="H85" s="74" t="inlineStr">
        <is>
          <t>HYGEN TWIST 540</t>
        </is>
      </c>
      <c r="I85" s="74" t="inlineStr">
        <is>
          <t>BLUE</t>
        </is>
      </c>
      <c r="J85" s="74" t="n"/>
      <c r="K85" s="85" t="inlineStr">
        <is>
          <t>006</t>
        </is>
      </c>
      <c r="L85" s="208" t="n">
        <v>24</v>
      </c>
      <c r="M85" s="209" t="n">
        <v>455</v>
      </c>
      <c r="N85" s="210" t="n"/>
      <c r="O85" s="211" t="n">
        <v>698</v>
      </c>
      <c r="P85" s="212" t="n"/>
      <c r="Q85" s="213" t="n"/>
      <c r="R85" s="215" t="n">
        <v>2500</v>
      </c>
      <c r="S85" s="215">
        <f>M85*R85</f>
        <v/>
      </c>
      <c r="T85" s="216" t="n"/>
      <c r="U85" s="217" t="n"/>
      <c r="V85" s="218" t="n">
        <v>6566</v>
      </c>
      <c r="W85" s="219">
        <f>O86*V85</f>
        <v/>
      </c>
      <c r="X85" s="215" t="n"/>
      <c r="Y85" s="134" t="inlineStr">
        <is>
          <t>염색</t>
        </is>
      </c>
      <c r="Z85" s="221">
        <f>W85-S85-Q85</f>
        <v/>
      </c>
      <c r="AA85" s="68" t="n"/>
      <c r="AB85" s="68" t="n"/>
      <c r="AC85" s="68" t="n"/>
      <c r="AD85" s="68" t="n"/>
      <c r="AE85" s="68" t="n"/>
    </row>
    <row r="86" ht="16" customHeight="1" s="162">
      <c r="A86" s="206" t="n">
        <v>2601</v>
      </c>
      <c r="B86" s="207" t="n">
        <v>46037</v>
      </c>
      <c r="C86" s="150" t="inlineStr">
        <is>
          <t>하이젠540</t>
        </is>
      </c>
      <c r="D86" s="71" t="inlineStr">
        <is>
          <t>은호섬유</t>
        </is>
      </c>
      <c r="E86" s="72" t="inlineStr">
        <is>
          <t>티에이케이</t>
        </is>
      </c>
      <c r="F86" s="73" t="inlineStr">
        <is>
          <t>cleaner</t>
        </is>
      </c>
      <c r="G86" s="72" t="inlineStr">
        <is>
          <t>티에이케이</t>
        </is>
      </c>
      <c r="H86" s="74" t="inlineStr">
        <is>
          <t>HYGEN TWIST 540</t>
        </is>
      </c>
      <c r="I86" s="74" t="inlineStr">
        <is>
          <t>BLUE</t>
        </is>
      </c>
      <c r="J86" s="74" t="n"/>
      <c r="K86" s="85" t="inlineStr">
        <is>
          <t>007</t>
        </is>
      </c>
      <c r="L86" s="208" t="n">
        <v>24</v>
      </c>
      <c r="M86" s="209" t="n">
        <v>434.3</v>
      </c>
      <c r="N86" s="210" t="n"/>
      <c r="O86" s="211" t="n">
        <v>674</v>
      </c>
      <c r="P86" s="212" t="n"/>
      <c r="Q86" s="213" t="n"/>
      <c r="R86" s="215" t="n">
        <v>2500</v>
      </c>
      <c r="S86" s="215">
        <f>M86*R86</f>
        <v/>
      </c>
      <c r="T86" s="216" t="n"/>
      <c r="U86" s="217" t="n"/>
      <c r="V86" s="218" t="n">
        <v>6566</v>
      </c>
      <c r="W86" s="219">
        <f>O87*V86</f>
        <v/>
      </c>
      <c r="X86" s="215" t="n"/>
      <c r="Y86" s="134" t="inlineStr">
        <is>
          <t>염색</t>
        </is>
      </c>
      <c r="Z86" s="221">
        <f>W86-S86-Q86</f>
        <v/>
      </c>
      <c r="AA86" s="68" t="n"/>
      <c r="AB86" s="68" t="n"/>
      <c r="AC86" s="68" t="n"/>
      <c r="AD86" s="68" t="n"/>
      <c r="AE86" s="68" t="n"/>
    </row>
    <row r="87" ht="16" customFormat="1" customHeight="1" s="68">
      <c r="A87" s="206" t="n">
        <v>2601</v>
      </c>
      <c r="B87" s="207" t="n">
        <v>46037</v>
      </c>
      <c r="C87" s="150" t="inlineStr">
        <is>
          <t>하이젠540</t>
        </is>
      </c>
      <c r="D87" s="71" t="inlineStr">
        <is>
          <t>은호섬유</t>
        </is>
      </c>
      <c r="E87" s="72" t="inlineStr">
        <is>
          <t>티에이케이</t>
        </is>
      </c>
      <c r="F87" s="73" t="inlineStr">
        <is>
          <t>cleaner</t>
        </is>
      </c>
      <c r="G87" s="72" t="inlineStr">
        <is>
          <t>티에이케이</t>
        </is>
      </c>
      <c r="H87" s="74" t="inlineStr">
        <is>
          <t>HYGEN TWIST 540</t>
        </is>
      </c>
      <c r="I87" s="74" t="inlineStr">
        <is>
          <t>BLUE</t>
        </is>
      </c>
      <c r="J87" s="74" t="n"/>
      <c r="K87" s="85" t="inlineStr">
        <is>
          <t>008</t>
        </is>
      </c>
      <c r="L87" s="208" t="n">
        <v>24</v>
      </c>
      <c r="M87" s="209" t="n">
        <v>431.9</v>
      </c>
      <c r="N87" s="210" t="n"/>
      <c r="O87" s="211" t="n">
        <v>679</v>
      </c>
      <c r="P87" s="212" t="n"/>
      <c r="Q87" s="213" t="n"/>
      <c r="R87" s="215" t="n">
        <v>2500</v>
      </c>
      <c r="S87" s="215">
        <f>M87*R87</f>
        <v/>
      </c>
      <c r="T87" s="216" t="n"/>
      <c r="U87" s="217" t="n"/>
      <c r="V87" s="218" t="n">
        <v>6566</v>
      </c>
      <c r="W87" s="219">
        <f>O88*V87</f>
        <v/>
      </c>
      <c r="X87" s="215" t="n"/>
      <c r="Y87" s="134" t="inlineStr">
        <is>
          <t>염색</t>
        </is>
      </c>
      <c r="Z87" s="221">
        <f>W87-S87-Q87</f>
        <v/>
      </c>
    </row>
    <row r="88" ht="16" customFormat="1" customHeight="1" s="68">
      <c r="A88" s="206" t="n">
        <v>2601</v>
      </c>
      <c r="B88" s="207" t="n">
        <v>46037</v>
      </c>
      <c r="C88" s="150" t="inlineStr">
        <is>
          <t>하이젠540</t>
        </is>
      </c>
      <c r="D88" s="71" t="inlineStr">
        <is>
          <t>은호섬유</t>
        </is>
      </c>
      <c r="E88" s="72" t="inlineStr">
        <is>
          <t>티에이케이</t>
        </is>
      </c>
      <c r="F88" s="73" t="inlineStr">
        <is>
          <t>cleaner</t>
        </is>
      </c>
      <c r="G88" s="72" t="inlineStr">
        <is>
          <t>티에이케이</t>
        </is>
      </c>
      <c r="H88" s="74" t="inlineStr">
        <is>
          <t>HYGEN TWIST 540</t>
        </is>
      </c>
      <c r="I88" s="74" t="inlineStr">
        <is>
          <t>BLUE</t>
        </is>
      </c>
      <c r="J88" s="74" t="n"/>
      <c r="K88" s="85" t="inlineStr">
        <is>
          <t>009</t>
        </is>
      </c>
      <c r="L88" s="208" t="n">
        <v>24</v>
      </c>
      <c r="M88" s="209" t="n">
        <v>460.4</v>
      </c>
      <c r="N88" s="210" t="n"/>
      <c r="O88" s="211" t="n">
        <v>719</v>
      </c>
      <c r="P88" s="212" t="n"/>
      <c r="Q88" s="213" t="n"/>
      <c r="R88" s="215" t="n">
        <v>2500</v>
      </c>
      <c r="S88" s="215">
        <f>M88*R88</f>
        <v/>
      </c>
      <c r="T88" s="216" t="n"/>
      <c r="U88" s="217" t="n"/>
      <c r="V88" s="218" t="n">
        <v>6566</v>
      </c>
      <c r="W88" s="219">
        <f>O88*V88</f>
        <v/>
      </c>
      <c r="X88" s="215" t="n"/>
      <c r="Y88" s="134" t="inlineStr">
        <is>
          <t>염색</t>
        </is>
      </c>
      <c r="Z88" s="221">
        <f>W88-S88-Q88</f>
        <v/>
      </c>
    </row>
    <row r="89" ht="16" customHeight="1" s="162">
      <c r="A89" s="206" t="n">
        <v>2601</v>
      </c>
      <c r="B89" s="164" t="n">
        <v>46050</v>
      </c>
      <c r="C89" s="150" t="inlineStr">
        <is>
          <t>Q851</t>
        </is>
      </c>
      <c r="D89" s="3" t="inlineStr">
        <is>
          <t>은호섬유</t>
        </is>
      </c>
      <c r="E89" s="4" t="inlineStr">
        <is>
          <t>티에이케이</t>
        </is>
      </c>
      <c r="F89" s="5" t="inlineStr">
        <is>
          <t>cleaner</t>
        </is>
      </c>
      <c r="G89" s="4" t="inlineStr">
        <is>
          <t>티에이케이</t>
        </is>
      </c>
      <c r="H89" s="66" t="inlineStr">
        <is>
          <t>Q851</t>
        </is>
      </c>
      <c r="I89" s="66" t="inlineStr">
        <is>
          <t>GREEN</t>
        </is>
      </c>
      <c r="J89" s="66" t="n"/>
      <c r="K89" s="121" t="inlineStr">
        <is>
          <t>012</t>
        </is>
      </c>
      <c r="L89" s="166" t="n">
        <v>20</v>
      </c>
      <c r="M89" s="167" t="n">
        <v>342.2</v>
      </c>
      <c r="N89" s="168" t="n"/>
      <c r="O89" s="169" t="n">
        <v>623</v>
      </c>
      <c r="P89" s="170" t="n"/>
      <c r="Q89" s="171" t="n"/>
      <c r="R89" s="172" t="n">
        <v>2500</v>
      </c>
      <c r="S89" s="172">
        <f>M89*R89</f>
        <v/>
      </c>
      <c r="T89" s="232">
        <f>N89*S89</f>
        <v/>
      </c>
      <c r="U89" s="232">
        <f>O89*T89</f>
        <v/>
      </c>
      <c r="V89" s="175" t="inlineStr">
        <is>
          <t>2월 이월</t>
        </is>
      </c>
      <c r="W89" s="176" t="n"/>
      <c r="X89" s="172" t="n"/>
      <c r="Y89" s="22" t="inlineStr">
        <is>
          <t>염색</t>
        </is>
      </c>
      <c r="Z89" s="220">
        <f>W89-S89-Q89</f>
        <v/>
      </c>
    </row>
    <row r="90" ht="16" customHeight="1" s="162">
      <c r="A90" s="206" t="n">
        <v>2601</v>
      </c>
      <c r="B90" s="164" t="n">
        <v>46050</v>
      </c>
      <c r="C90" s="150" t="inlineStr">
        <is>
          <t>Q851</t>
        </is>
      </c>
      <c r="D90" s="3" t="inlineStr">
        <is>
          <t>은호섬유</t>
        </is>
      </c>
      <c r="E90" s="4" t="inlineStr">
        <is>
          <t>티에이케이</t>
        </is>
      </c>
      <c r="F90" s="5" t="inlineStr">
        <is>
          <t>cleaner</t>
        </is>
      </c>
      <c r="G90" s="4" t="inlineStr">
        <is>
          <t>티에이케이</t>
        </is>
      </c>
      <c r="H90" s="66" t="inlineStr">
        <is>
          <t>Q851</t>
        </is>
      </c>
      <c r="I90" s="66" t="inlineStr">
        <is>
          <t>GREEN</t>
        </is>
      </c>
      <c r="J90" s="66" t="n"/>
      <c r="K90" s="121" t="inlineStr">
        <is>
          <t>013</t>
        </is>
      </c>
      <c r="L90" s="166" t="n">
        <v>20</v>
      </c>
      <c r="M90" s="167" t="n">
        <v>341.9</v>
      </c>
      <c r="N90" s="168" t="n"/>
      <c r="O90" s="169" t="n">
        <v>637</v>
      </c>
      <c r="P90" s="170" t="n"/>
      <c r="Q90" s="171" t="n"/>
      <c r="R90" s="172" t="n">
        <v>2500</v>
      </c>
      <c r="S90" s="172">
        <f>M90*R90</f>
        <v/>
      </c>
      <c r="T90" s="233" t="n"/>
      <c r="U90" s="234" t="n"/>
      <c r="V90" s="175" t="inlineStr">
        <is>
          <t>2월 이월</t>
        </is>
      </c>
      <c r="W90" s="176" t="n"/>
      <c r="X90" s="172" t="n"/>
      <c r="Y90" s="22" t="inlineStr">
        <is>
          <t>염색</t>
        </is>
      </c>
      <c r="Z90" s="220">
        <f>W90-S90-Q90</f>
        <v/>
      </c>
    </row>
    <row r="91" ht="16" customHeight="1" s="162">
      <c r="A91" s="206" t="n">
        <v>2601</v>
      </c>
      <c r="B91" s="164" t="n">
        <v>46053</v>
      </c>
      <c r="C91" s="150" t="inlineStr">
        <is>
          <t>하이젠540</t>
        </is>
      </c>
      <c r="D91" s="3" t="inlineStr">
        <is>
          <t>팬시크린</t>
        </is>
      </c>
      <c r="E91" s="4" t="inlineStr">
        <is>
          <t>XXXX</t>
        </is>
      </c>
      <c r="F91" s="5" t="inlineStr">
        <is>
          <t>cleaner</t>
        </is>
      </c>
      <c r="G91" s="4" t="inlineStr">
        <is>
          <t>티에이케이</t>
        </is>
      </c>
      <c r="H91" s="66" t="inlineStr">
        <is>
          <t>Handring charge</t>
        </is>
      </c>
      <c r="I91" s="66" t="n"/>
      <c r="J91" s="66" t="n"/>
      <c r="K91" s="67" t="n"/>
      <c r="L91" s="166" t="n"/>
      <c r="M91" s="167" t="n"/>
      <c r="N91" s="168" t="n">
        <v>14878</v>
      </c>
      <c r="O91" s="169" t="n"/>
      <c r="P91" s="170" t="n"/>
      <c r="Q91" s="171" t="n"/>
      <c r="R91" s="172" t="n">
        <v>130</v>
      </c>
      <c r="S91" s="172">
        <f>N91*R91</f>
        <v/>
      </c>
      <c r="T91" s="173" t="n"/>
      <c r="U91" s="174" t="n"/>
      <c r="V91" s="175" t="n"/>
      <c r="W91" s="176" t="n"/>
      <c r="X91" s="172" t="n"/>
      <c r="Y91" s="22" t="inlineStr">
        <is>
          <t>염색</t>
        </is>
      </c>
      <c r="Z91" s="220">
        <f>W91-S91-Q91</f>
        <v/>
      </c>
    </row>
    <row r="92" ht="16" customHeight="1" s="162">
      <c r="A92" s="206" t="n">
        <v>2601</v>
      </c>
      <c r="B92" s="164" t="n">
        <v>46048</v>
      </c>
      <c r="C92" s="150" t="inlineStr">
        <is>
          <t>HPK3042-SJ</t>
        </is>
      </c>
      <c r="D92" s="3" t="inlineStr">
        <is>
          <t>풍아산업</t>
        </is>
      </c>
      <c r="E92" s="4" t="inlineStr">
        <is>
          <t>성일티앤씨</t>
        </is>
      </c>
      <c r="F92" s="5" t="inlineStr">
        <is>
          <t>tape</t>
        </is>
      </c>
      <c r="G92" s="4" t="inlineStr">
        <is>
          <t>실론</t>
        </is>
      </c>
      <c r="H92" s="66" t="inlineStr">
        <is>
          <t>HPK3042-SJ</t>
        </is>
      </c>
      <c r="I92" s="66" t="inlineStr">
        <is>
          <t>ZINC</t>
        </is>
      </c>
      <c r="J92" s="66" t="n"/>
      <c r="K92" s="67" t="n">
        <v>2</v>
      </c>
      <c r="L92" s="166" t="n">
        <v>6</v>
      </c>
      <c r="M92" s="167" t="n">
        <v>92.59999999999999</v>
      </c>
      <c r="N92" s="168" t="n">
        <v>1506</v>
      </c>
      <c r="O92" s="169" t="n"/>
      <c r="P92" s="170" t="n"/>
      <c r="Q92" s="171" t="n"/>
      <c r="R92" s="172" t="n">
        <v>500</v>
      </c>
      <c r="S92" s="172">
        <f>N92*R92</f>
        <v/>
      </c>
      <c r="T92" s="173" t="n"/>
      <c r="U92" s="174" t="n"/>
      <c r="V92" s="175" t="n"/>
      <c r="W92" s="176" t="n"/>
      <c r="X92" s="172" t="n"/>
      <c r="Y92" s="22" t="inlineStr">
        <is>
          <t>염색</t>
        </is>
      </c>
      <c r="Z92" s="220">
        <f>W92-S92-Q92</f>
        <v/>
      </c>
    </row>
    <row r="93" ht="16" customFormat="1" customHeight="1" s="68">
      <c r="A93" s="206" t="n">
        <v>2601</v>
      </c>
      <c r="B93" s="164" t="n">
        <v>46048</v>
      </c>
      <c r="C93" s="150" t="inlineStr">
        <is>
          <t>HPK3042-SJ</t>
        </is>
      </c>
      <c r="D93" s="3" t="inlineStr">
        <is>
          <t>풍아산업</t>
        </is>
      </c>
      <c r="E93" s="4" t="inlineStr">
        <is>
          <t>성일티앤씨</t>
        </is>
      </c>
      <c r="F93" s="5" t="inlineStr">
        <is>
          <t>tape</t>
        </is>
      </c>
      <c r="G93" s="4" t="inlineStr">
        <is>
          <t>실론</t>
        </is>
      </c>
      <c r="H93" s="66" t="inlineStr">
        <is>
          <t>HPK3042-SJ</t>
        </is>
      </c>
      <c r="I93" s="66" t="inlineStr">
        <is>
          <t>GRAPHITE</t>
        </is>
      </c>
      <c r="J93" s="66" t="n"/>
      <c r="K93" s="67" t="n">
        <v>9</v>
      </c>
      <c r="L93" s="166" t="n">
        <v>1</v>
      </c>
      <c r="M93" s="167" t="n">
        <v>16</v>
      </c>
      <c r="N93" s="168" t="n">
        <v>231</v>
      </c>
      <c r="O93" s="169" t="n"/>
      <c r="P93" s="170" t="n"/>
      <c r="Q93" s="171" t="n"/>
      <c r="R93" s="172" t="n">
        <v>500</v>
      </c>
      <c r="S93" s="172">
        <f>N93*R93</f>
        <v/>
      </c>
      <c r="T93" s="173" t="n"/>
      <c r="U93" s="174" t="n"/>
      <c r="V93" s="175" t="n"/>
      <c r="W93" s="176" t="n"/>
      <c r="X93" s="172" t="n"/>
      <c r="Y93" s="22" t="inlineStr">
        <is>
          <t>염색</t>
        </is>
      </c>
      <c r="Z93" s="220">
        <f>W93-S93-Q93</f>
        <v/>
      </c>
      <c r="AA93" s="0" t="n"/>
      <c r="AB93" s="0" t="n"/>
      <c r="AC93" s="0" t="n"/>
      <c r="AD93" s="0" t="n"/>
      <c r="AE93" s="0" t="n"/>
    </row>
    <row r="94" ht="16" customFormat="1" customHeight="1" s="68">
      <c r="A94" s="206" t="n">
        <v>2601</v>
      </c>
      <c r="B94" s="164" t="n">
        <v>46048</v>
      </c>
      <c r="C94" s="150" t="inlineStr">
        <is>
          <t>HPK3042-SJ</t>
        </is>
      </c>
      <c r="D94" s="3" t="inlineStr">
        <is>
          <t>풍아산업</t>
        </is>
      </c>
      <c r="E94" s="4" t="inlineStr">
        <is>
          <t>성일티앤씨</t>
        </is>
      </c>
      <c r="F94" s="5" t="inlineStr">
        <is>
          <t>tape</t>
        </is>
      </c>
      <c r="G94" s="4" t="inlineStr">
        <is>
          <t>실론</t>
        </is>
      </c>
      <c r="H94" s="66" t="inlineStr">
        <is>
          <t>HPK3042-SJ</t>
        </is>
      </c>
      <c r="I94" s="66" t="inlineStr">
        <is>
          <t>GRAPHITE</t>
        </is>
      </c>
      <c r="J94" s="66" t="n"/>
      <c r="K94" s="67" t="n">
        <v>10</v>
      </c>
      <c r="L94" s="166" t="n">
        <v>6</v>
      </c>
      <c r="M94" s="167" t="n">
        <v>94.09999999999999</v>
      </c>
      <c r="N94" s="168" t="n">
        <v>1500</v>
      </c>
      <c r="O94" s="169" t="n"/>
      <c r="P94" s="170" t="n"/>
      <c r="Q94" s="171" t="n"/>
      <c r="R94" s="172" t="n">
        <v>500</v>
      </c>
      <c r="S94" s="172">
        <f>N94*R94</f>
        <v/>
      </c>
      <c r="T94" s="173" t="n"/>
      <c r="U94" s="174" t="n"/>
      <c r="V94" s="175" t="n"/>
      <c r="W94" s="176" t="n"/>
      <c r="X94" s="172" t="n"/>
      <c r="Y94" s="22" t="inlineStr">
        <is>
          <t>염색</t>
        </is>
      </c>
      <c r="Z94" s="220">
        <f>W94-S94-Q94</f>
        <v/>
      </c>
      <c r="AA94" s="0" t="n"/>
      <c r="AB94" s="0" t="n"/>
      <c r="AC94" s="0" t="n"/>
      <c r="AD94" s="0" t="n"/>
      <c r="AE94" s="0" t="n"/>
    </row>
    <row r="95" ht="16" customFormat="1" customHeight="1" s="68">
      <c r="A95" s="206" t="n">
        <v>2601</v>
      </c>
      <c r="B95" s="164" t="n">
        <v>46048</v>
      </c>
      <c r="C95" s="150" t="inlineStr">
        <is>
          <t>HPK3042-SJ</t>
        </is>
      </c>
      <c r="D95" s="3" t="inlineStr">
        <is>
          <t>풍아산업</t>
        </is>
      </c>
      <c r="E95" s="4" t="inlineStr">
        <is>
          <t>성일티앤씨</t>
        </is>
      </c>
      <c r="F95" s="5" t="inlineStr">
        <is>
          <t>tape</t>
        </is>
      </c>
      <c r="G95" s="4" t="inlineStr">
        <is>
          <t>실론</t>
        </is>
      </c>
      <c r="H95" s="66" t="inlineStr">
        <is>
          <t>HPK3042-SJ</t>
        </is>
      </c>
      <c r="I95" s="66" t="inlineStr">
        <is>
          <t>GRAPHITE</t>
        </is>
      </c>
      <c r="J95" s="66" t="n"/>
      <c r="K95" s="67" t="n">
        <v>11</v>
      </c>
      <c r="L95" s="166" t="n">
        <v>6</v>
      </c>
      <c r="M95" s="167" t="n">
        <v>94.3</v>
      </c>
      <c r="N95" s="168" t="n">
        <v>1513</v>
      </c>
      <c r="O95" s="169" t="n"/>
      <c r="P95" s="170" t="n"/>
      <c r="Q95" s="171" t="n"/>
      <c r="R95" s="172" t="n">
        <v>500</v>
      </c>
      <c r="S95" s="172">
        <f>N95*R95</f>
        <v/>
      </c>
      <c r="T95" s="173" t="n"/>
      <c r="U95" s="174" t="n"/>
      <c r="V95" s="175" t="n"/>
      <c r="W95" s="176" t="n"/>
      <c r="X95" s="172" t="n"/>
      <c r="Y95" s="22" t="inlineStr">
        <is>
          <t>염색</t>
        </is>
      </c>
      <c r="Z95" s="220">
        <f>W95-S95-Q95</f>
        <v/>
      </c>
      <c r="AA95" s="0" t="n"/>
      <c r="AB95" s="0" t="n"/>
      <c r="AC95" s="0" t="n"/>
      <c r="AD95" s="0" t="n"/>
      <c r="AE95" s="0" t="n"/>
    </row>
    <row r="96" ht="16" customHeight="1" s="162">
      <c r="A96" s="206" t="n">
        <v>2601</v>
      </c>
      <c r="B96" s="164" t="n">
        <v>46048</v>
      </c>
      <c r="C96" s="150" t="inlineStr">
        <is>
          <t>HPK3042-SJ</t>
        </is>
      </c>
      <c r="D96" s="3" t="inlineStr">
        <is>
          <t>풍아산업</t>
        </is>
      </c>
      <c r="E96" s="4" t="inlineStr">
        <is>
          <t>성일티앤씨</t>
        </is>
      </c>
      <c r="F96" s="5" t="inlineStr">
        <is>
          <t>tape</t>
        </is>
      </c>
      <c r="G96" s="4" t="inlineStr">
        <is>
          <t>실론</t>
        </is>
      </c>
      <c r="H96" s="66" t="inlineStr">
        <is>
          <t>HPK3042-SJ</t>
        </is>
      </c>
      <c r="I96" s="66" t="inlineStr">
        <is>
          <t>GRAPHITE</t>
        </is>
      </c>
      <c r="J96" s="66" t="n"/>
      <c r="K96" s="67" t="n">
        <v>12</v>
      </c>
      <c r="L96" s="166" t="n">
        <v>7</v>
      </c>
      <c r="M96" s="167" t="n">
        <v>94.09999999999999</v>
      </c>
      <c r="N96" s="168" t="n">
        <v>1519</v>
      </c>
      <c r="O96" s="169" t="n"/>
      <c r="P96" s="170" t="n"/>
      <c r="Q96" s="171" t="n"/>
      <c r="R96" s="172" t="n">
        <v>500</v>
      </c>
      <c r="S96" s="172">
        <f>N96*R96</f>
        <v/>
      </c>
      <c r="T96" s="173" t="n"/>
      <c r="U96" s="174" t="n"/>
      <c r="V96" s="175" t="n"/>
      <c r="W96" s="176" t="n"/>
      <c r="X96" s="172" t="n"/>
      <c r="Y96" s="22" t="inlineStr">
        <is>
          <t>염색</t>
        </is>
      </c>
      <c r="Z96" s="220">
        <f>W96-S96-Q96</f>
        <v/>
      </c>
    </row>
    <row r="97" ht="16" customHeight="1" s="162">
      <c r="A97" s="206" t="n">
        <v>2601</v>
      </c>
      <c r="B97" s="164" t="n">
        <v>46048</v>
      </c>
      <c r="C97" s="150" t="inlineStr">
        <is>
          <t>HPK3042-SJ</t>
        </is>
      </c>
      <c r="D97" s="3" t="inlineStr">
        <is>
          <t>풍아산업</t>
        </is>
      </c>
      <c r="E97" s="4" t="inlineStr">
        <is>
          <t>성일티앤씨</t>
        </is>
      </c>
      <c r="F97" s="5" t="inlineStr">
        <is>
          <t>tape</t>
        </is>
      </c>
      <c r="G97" s="4" t="inlineStr">
        <is>
          <t>실론</t>
        </is>
      </c>
      <c r="H97" s="66" t="inlineStr">
        <is>
          <t>HPK3042-SJ</t>
        </is>
      </c>
      <c r="I97" s="66" t="inlineStr">
        <is>
          <t>BLACK</t>
        </is>
      </c>
      <c r="J97" s="66" t="n"/>
      <c r="K97" s="67" t="n">
        <v>45</v>
      </c>
      <c r="L97" s="166" t="n">
        <v>7</v>
      </c>
      <c r="M97" s="167" t="n">
        <v>94.59999999999999</v>
      </c>
      <c r="N97" s="168" t="n">
        <v>1512</v>
      </c>
      <c r="O97" s="169" t="n"/>
      <c r="P97" s="170" t="n"/>
      <c r="Q97" s="171" t="n"/>
      <c r="R97" s="172" t="n">
        <v>550</v>
      </c>
      <c r="S97" s="172">
        <f>N97*R97</f>
        <v/>
      </c>
      <c r="T97" s="173" t="n"/>
      <c r="U97" s="174" t="n"/>
      <c r="V97" s="175" t="n"/>
      <c r="W97" s="176" t="n"/>
      <c r="X97" s="172" t="n"/>
      <c r="Y97" s="22" t="inlineStr">
        <is>
          <t>염색</t>
        </is>
      </c>
      <c r="Z97" s="220">
        <f>W97-S97-Q97</f>
        <v/>
      </c>
    </row>
    <row r="98" ht="16" customFormat="1" customHeight="1" s="68">
      <c r="A98" s="206" t="n">
        <v>2601</v>
      </c>
      <c r="B98" s="207" t="n">
        <v>46038</v>
      </c>
      <c r="C98" s="150" t="inlineStr">
        <is>
          <t>HPK3042-SJ</t>
        </is>
      </c>
      <c r="D98" s="71" t="inlineStr">
        <is>
          <t>성일티앤씨</t>
        </is>
      </c>
      <c r="E98" s="72" t="inlineStr">
        <is>
          <t>실론</t>
        </is>
      </c>
      <c r="F98" s="73" t="inlineStr">
        <is>
          <t>tape</t>
        </is>
      </c>
      <c r="G98" s="72" t="inlineStr">
        <is>
          <t>실론</t>
        </is>
      </c>
      <c r="H98" s="74" t="inlineStr">
        <is>
          <t>SEALON 633</t>
        </is>
      </c>
      <c r="I98" s="74" t="inlineStr">
        <is>
          <t>ICE GREY/CLEAR</t>
        </is>
      </c>
      <c r="J98" s="74" t="n"/>
      <c r="K98" s="75" t="n"/>
      <c r="L98" s="208" t="n"/>
      <c r="M98" s="209" t="n"/>
      <c r="N98" s="210" t="n"/>
      <c r="O98" s="211" t="n">
        <v>1422</v>
      </c>
      <c r="P98" s="212" t="n"/>
      <c r="Q98" s="213" t="n"/>
      <c r="R98" s="215" t="n">
        <v>0</v>
      </c>
      <c r="S98" s="215" t="n"/>
      <c r="T98" s="216" t="n"/>
      <c r="U98" s="217" t="n"/>
      <c r="V98" s="218" t="n">
        <v>4700</v>
      </c>
      <c r="W98" s="219">
        <f>O98*V98</f>
        <v/>
      </c>
      <c r="X98" s="215" t="n"/>
      <c r="Y98" s="134" t="inlineStr">
        <is>
          <t>가공</t>
        </is>
      </c>
      <c r="Z98" s="221">
        <f>W98-S98-Q98</f>
        <v/>
      </c>
    </row>
    <row r="99" ht="16" customHeight="1" s="162">
      <c r="A99" s="235" t="n"/>
      <c r="B99" s="164" t="n"/>
      <c r="C99" s="150" t="n"/>
      <c r="D99" s="3" t="n"/>
      <c r="E99" s="4" t="n"/>
      <c r="F99" s="5" t="n"/>
      <c r="G99" s="4" t="n"/>
      <c r="H99" s="66" t="n"/>
      <c r="I99" s="66" t="n"/>
      <c r="J99" s="66" t="n"/>
      <c r="K99" s="67" t="n"/>
      <c r="L99" s="166" t="n"/>
      <c r="M99" s="167" t="n"/>
      <c r="N99" s="168" t="n"/>
      <c r="O99" s="169" t="n"/>
      <c r="P99" s="170" t="n"/>
      <c r="Q99" s="171" t="n"/>
      <c r="R99" s="172" t="n"/>
      <c r="S99" s="172" t="n"/>
      <c r="T99" s="173" t="n"/>
      <c r="U99" s="174" t="n"/>
      <c r="V99" s="175" t="n"/>
      <c r="W99" s="176" t="n"/>
      <c r="X99" s="172" t="n"/>
      <c r="Z99" s="220" t="n"/>
    </row>
    <row r="100" ht="16" customHeight="1" s="162">
      <c r="A100" s="235" t="n"/>
      <c r="B100" s="164" t="n"/>
      <c r="C100" s="150" t="n"/>
      <c r="D100" s="3" t="n"/>
      <c r="E100" s="4" t="n"/>
      <c r="F100" s="5" t="n"/>
      <c r="G100" s="4" t="n"/>
      <c r="H100" s="66" t="n"/>
      <c r="I100" s="66" t="n"/>
      <c r="J100" s="66" t="n"/>
      <c r="K100" s="67" t="n"/>
      <c r="L100" s="166" t="n"/>
      <c r="M100" s="167" t="n"/>
      <c r="N100" s="168" t="n"/>
      <c r="O100" s="169" t="n"/>
      <c r="P100" s="170" t="n"/>
      <c r="Q100" s="171" t="n"/>
      <c r="R100" s="172" t="n"/>
      <c r="S100" s="172" t="n"/>
      <c r="T100" s="173" t="n"/>
      <c r="U100" s="174" t="n"/>
      <c r="V100" s="175" t="n"/>
      <c r="W100" s="176" t="n"/>
      <c r="X100" s="172" t="n"/>
      <c r="Z100" s="177" t="n"/>
    </row>
    <row r="101" ht="16" customHeight="1" s="162" thickBot="1">
      <c r="A101" s="235" t="n"/>
      <c r="B101" s="164" t="n"/>
      <c r="C101" s="150" t="n"/>
      <c r="D101" s="3" t="n"/>
      <c r="E101" s="4" t="n"/>
      <c r="F101" s="5" t="n"/>
      <c r="G101" s="4" t="n"/>
      <c r="H101" s="66" t="n"/>
      <c r="I101" s="66" t="n"/>
      <c r="J101" s="66" t="n"/>
      <c r="K101" s="67" t="n"/>
      <c r="L101" s="166" t="n"/>
      <c r="M101" s="167" t="n"/>
      <c r="N101" s="168" t="n"/>
      <c r="O101" s="169" t="n"/>
      <c r="P101" s="170" t="n"/>
      <c r="Q101" s="171" t="n"/>
      <c r="R101" s="172" t="n"/>
      <c r="S101" s="172" t="n"/>
      <c r="T101" s="173" t="n"/>
      <c r="U101" s="174" t="n"/>
      <c r="V101" s="175" t="n"/>
      <c r="W101" s="176" t="n"/>
      <c r="X101" s="172" t="n"/>
      <c r="Z101" s="177" t="n"/>
    </row>
    <row r="102" ht="16" customFormat="1" customHeight="1" s="120" thickBot="1">
      <c r="A102" s="236" t="inlineStr">
        <is>
          <t>종료</t>
        </is>
      </c>
      <c r="B102" s="237" t="n"/>
      <c r="C102" s="151" t="n"/>
      <c r="D102" s="102" t="n"/>
      <c r="E102" s="103" t="n"/>
      <c r="F102" s="104" t="n"/>
      <c r="G102" s="103" t="n"/>
      <c r="H102" s="105" t="n"/>
      <c r="I102" s="105" t="n"/>
      <c r="J102" s="105" t="n"/>
      <c r="K102" s="106" t="n"/>
      <c r="L102" s="238" t="n"/>
      <c r="M102" s="239" t="n"/>
      <c r="N102" s="240" t="n"/>
      <c r="O102" s="241" t="n"/>
      <c r="P102" s="242" t="n"/>
      <c r="Q102" s="243">
        <f>SUM(Q4:Q101)</f>
        <v/>
      </c>
      <c r="R102" s="244" t="n"/>
      <c r="S102" s="244">
        <f>SUM(S4:S101)</f>
        <v/>
      </c>
      <c r="T102" s="245" t="n"/>
      <c r="U102" s="246" t="n"/>
      <c r="V102" s="247" t="n"/>
      <c r="W102" s="248">
        <f>SUM(W4:W101)</f>
        <v/>
      </c>
      <c r="X102" s="244">
        <f>W102-Q102-S102</f>
        <v/>
      </c>
      <c r="Y102" s="118" t="n"/>
      <c r="Z102" s="249">
        <f>SUM(Z4:Z101)</f>
        <v/>
      </c>
    </row>
    <row r="103" ht="16" customHeight="1" s="162">
      <c r="A103" s="206" t="n">
        <v>2602</v>
      </c>
      <c r="B103" s="164" t="n">
        <v>46081</v>
      </c>
      <c r="C103" s="150" t="inlineStr">
        <is>
          <t>하이젠540</t>
        </is>
      </c>
      <c r="D103" s="3" t="inlineStr">
        <is>
          <t>에프에스</t>
        </is>
      </c>
      <c r="E103" s="4" t="inlineStr">
        <is>
          <t>XXX</t>
        </is>
      </c>
      <c r="F103" s="5" t="inlineStr">
        <is>
          <t>cleaner</t>
        </is>
      </c>
      <c r="G103" s="4" t="inlineStr">
        <is>
          <t>티에이케이</t>
        </is>
      </c>
      <c r="H103" s="66" t="inlineStr">
        <is>
          <t>Poly NSY</t>
        </is>
      </c>
      <c r="I103" s="66" t="n"/>
      <c r="J103" s="66" t="n"/>
      <c r="K103" s="67" t="n"/>
      <c r="L103" s="166" t="n"/>
      <c r="M103" s="167" t="n">
        <v>830.6</v>
      </c>
      <c r="N103" s="168" t="n"/>
      <c r="O103" s="169" t="n"/>
      <c r="P103" s="170" t="n">
        <v>2390</v>
      </c>
      <c r="Q103" s="171">
        <f>M103*P103</f>
        <v/>
      </c>
      <c r="R103" s="172" t="n"/>
      <c r="S103" s="172" t="n"/>
      <c r="T103" s="173" t="n"/>
      <c r="U103" s="174" t="n"/>
      <c r="V103" s="175" t="n"/>
      <c r="W103" s="176" t="n"/>
      <c r="X103" s="172" t="n"/>
      <c r="Y103" s="22" t="inlineStr">
        <is>
          <t>원료</t>
        </is>
      </c>
      <c r="Z103" s="221">
        <f>W103-S103-Q103</f>
        <v/>
      </c>
    </row>
    <row r="104" ht="16" customFormat="1" customHeight="1" s="68">
      <c r="A104" s="206" t="n">
        <v>2602</v>
      </c>
      <c r="B104" s="207" t="n">
        <v>46065</v>
      </c>
      <c r="C104" s="149" t="inlineStr">
        <is>
          <t>30심지</t>
        </is>
      </c>
      <c r="D104" s="71" t="inlineStr">
        <is>
          <t>미래심지</t>
        </is>
      </c>
      <c r="E104" s="72" t="inlineStr">
        <is>
          <t>덕산엔터프라이즈</t>
        </is>
      </c>
      <c r="F104" s="73" t="inlineStr">
        <is>
          <t>back</t>
        </is>
      </c>
      <c r="G104" s="72" t="inlineStr">
        <is>
          <t>덕산엔터프라이즈</t>
        </is>
      </c>
      <c r="H104" s="74" t="inlineStr">
        <is>
          <t>30D INTERLOCK</t>
        </is>
      </c>
      <c r="I104" s="74" t="n">
        <v>30607</v>
      </c>
      <c r="J104" s="74" t="n"/>
      <c r="K104" s="75" t="n"/>
      <c r="L104" s="208" t="n"/>
      <c r="M104" s="209" t="n"/>
      <c r="N104" s="210" t="n">
        <v>900</v>
      </c>
      <c r="O104" s="211" t="n">
        <v>822</v>
      </c>
      <c r="P104" s="212" t="n"/>
      <c r="Q104" s="213" t="n"/>
      <c r="R104" s="215" t="n">
        <v>800</v>
      </c>
      <c r="S104" s="215">
        <f>N104*R104</f>
        <v/>
      </c>
      <c r="T104" s="216" t="n"/>
      <c r="U104" s="217" t="n"/>
      <c r="V104" s="218" t="n">
        <v>1313</v>
      </c>
      <c r="W104" s="250">
        <f>O104*V104</f>
        <v/>
      </c>
      <c r="X104" s="215" t="n"/>
      <c r="Y104" s="134" t="inlineStr">
        <is>
          <t>상품</t>
        </is>
      </c>
      <c r="Z104" s="221">
        <f>W104-S104-Q104</f>
        <v/>
      </c>
    </row>
    <row r="105" ht="16" customFormat="1" customHeight="1" s="68">
      <c r="A105" s="206" t="n">
        <v>2602</v>
      </c>
      <c r="B105" s="207" t="n">
        <v>46065</v>
      </c>
      <c r="C105" s="149" t="inlineStr">
        <is>
          <t>30심지</t>
        </is>
      </c>
      <c r="D105" s="71" t="inlineStr">
        <is>
          <t>미래심지</t>
        </is>
      </c>
      <c r="E105" s="72" t="inlineStr">
        <is>
          <t>덕산엔터프라이즈</t>
        </is>
      </c>
      <c r="F105" s="73" t="inlineStr">
        <is>
          <t>back</t>
        </is>
      </c>
      <c r="G105" s="72" t="inlineStr">
        <is>
          <t>덕산엔터프라이즈</t>
        </is>
      </c>
      <c r="H105" s="74" t="inlineStr">
        <is>
          <t>30D INTERLOCK</t>
        </is>
      </c>
      <c r="I105" s="74" t="n">
        <v>80933</v>
      </c>
      <c r="J105" s="74" t="n"/>
      <c r="K105" s="75" t="n"/>
      <c r="L105" s="208" t="n"/>
      <c r="M105" s="209" t="n"/>
      <c r="N105" s="210" t="n">
        <v>850</v>
      </c>
      <c r="O105" s="211" t="n">
        <v>777</v>
      </c>
      <c r="P105" s="212" t="n"/>
      <c r="Q105" s="213" t="n"/>
      <c r="R105" s="215" t="n">
        <v>800</v>
      </c>
      <c r="S105" s="215">
        <f>N105*R105</f>
        <v/>
      </c>
      <c r="T105" s="216" t="n"/>
      <c r="U105" s="217" t="n"/>
      <c r="V105" s="218" t="n">
        <v>1313</v>
      </c>
      <c r="W105" s="250">
        <f>O105*V105</f>
        <v/>
      </c>
      <c r="X105" s="215" t="n"/>
      <c r="Y105" s="134" t="inlineStr">
        <is>
          <t>상품</t>
        </is>
      </c>
      <c r="Z105" s="221">
        <f>W105-S105-Q105</f>
        <v/>
      </c>
    </row>
    <row r="106" ht="16" customFormat="1" customHeight="1" s="68">
      <c r="A106" s="206" t="n">
        <v>2602</v>
      </c>
      <c r="B106" s="207" t="n">
        <v>45987</v>
      </c>
      <c r="C106" s="149" t="inlineStr">
        <is>
          <t>30심지</t>
        </is>
      </c>
      <c r="D106" s="71" t="inlineStr">
        <is>
          <t>정산이월</t>
        </is>
      </c>
      <c r="E106" s="72" t="inlineStr">
        <is>
          <t>덕산엔터프라이즈</t>
        </is>
      </c>
      <c r="F106" s="73" t="inlineStr">
        <is>
          <t>back</t>
        </is>
      </c>
      <c r="G106" s="72" t="inlineStr">
        <is>
          <t>덕산엔터프라이즈</t>
        </is>
      </c>
      <c r="H106" s="74" t="inlineStr">
        <is>
          <t>30D INTERLOCK</t>
        </is>
      </c>
      <c r="I106" s="74" t="n"/>
      <c r="J106" s="74" t="n"/>
      <c r="K106" s="75" t="n"/>
      <c r="L106" s="208" t="n"/>
      <c r="M106" s="209" t="n"/>
      <c r="N106" s="210" t="n"/>
      <c r="O106" s="211" t="n">
        <v>488</v>
      </c>
      <c r="P106" s="212" t="n"/>
      <c r="Q106" s="213" t="n"/>
      <c r="R106" s="215" t="inlineStr">
        <is>
          <t>11월 정산</t>
        </is>
      </c>
      <c r="S106" s="215" t="n">
        <v>0</v>
      </c>
      <c r="T106" s="251" t="n"/>
      <c r="U106" s="252" t="n"/>
      <c r="V106" s="218" t="n">
        <v>1312</v>
      </c>
      <c r="W106" s="219">
        <f>O106*V106</f>
        <v/>
      </c>
      <c r="X106" s="215" t="n"/>
      <c r="Y106" s="134" t="inlineStr">
        <is>
          <t>상품</t>
        </is>
      </c>
      <c r="Z106" s="221">
        <f>W106-S106-Q106</f>
        <v/>
      </c>
    </row>
    <row r="107" ht="16" customFormat="1" customHeight="1" s="68">
      <c r="A107" s="206" t="n">
        <v>2602</v>
      </c>
      <c r="B107" s="164" t="n">
        <v>46055</v>
      </c>
      <c r="C107" s="150" t="inlineStr">
        <is>
          <t>하이젠540</t>
        </is>
      </c>
      <c r="D107" s="3" t="inlineStr">
        <is>
          <t>승진섬유</t>
        </is>
      </c>
      <c r="E107" s="4" t="inlineStr">
        <is>
          <t>동우섬유</t>
        </is>
      </c>
      <c r="F107" s="5" t="inlineStr">
        <is>
          <t>cleaner</t>
        </is>
      </c>
      <c r="G107" s="4" t="inlineStr">
        <is>
          <t>티에이케이</t>
        </is>
      </c>
      <c r="H107" s="66" t="inlineStr">
        <is>
          <t>NP150/3합</t>
        </is>
      </c>
      <c r="I107" s="66" t="n"/>
      <c r="J107" s="66" t="n"/>
      <c r="K107" s="67" t="n"/>
      <c r="L107" s="166" t="n">
        <v>6</v>
      </c>
      <c r="M107" s="167" t="n">
        <v>2538</v>
      </c>
      <c r="N107" s="168" t="n"/>
      <c r="O107" s="169" t="n"/>
      <c r="P107" s="170" t="n"/>
      <c r="Q107" s="171" t="n"/>
      <c r="R107" s="172" t="n">
        <v>1000</v>
      </c>
      <c r="S107" s="172">
        <f>M107*R107</f>
        <v/>
      </c>
      <c r="T107" s="173" t="n"/>
      <c r="U107" s="174" t="n"/>
      <c r="V107" s="175" t="n"/>
      <c r="W107" s="176" t="n"/>
      <c r="X107" s="172" t="n"/>
      <c r="Y107" s="22" t="inlineStr">
        <is>
          <t>연사</t>
        </is>
      </c>
      <c r="Z107" s="221">
        <f>W107-S107-Q107</f>
        <v/>
      </c>
      <c r="AA107" s="0" t="n"/>
      <c r="AB107" s="0" t="n"/>
      <c r="AC107" s="0" t="n"/>
      <c r="AD107" s="0" t="n"/>
      <c r="AE107" s="0" t="n"/>
    </row>
    <row r="108" ht="16" customHeight="1" s="162">
      <c r="A108" s="206" t="n">
        <v>2602</v>
      </c>
      <c r="B108" s="164" t="n">
        <v>46063</v>
      </c>
      <c r="C108" s="150" t="inlineStr">
        <is>
          <t>하이젠540</t>
        </is>
      </c>
      <c r="D108" s="3" t="inlineStr">
        <is>
          <t>안국섬유</t>
        </is>
      </c>
      <c r="E108" s="4" t="inlineStr">
        <is>
          <t>동우섬유</t>
        </is>
      </c>
      <c r="F108" s="5" t="inlineStr">
        <is>
          <t>cleaner</t>
        </is>
      </c>
      <c r="G108" s="4" t="inlineStr">
        <is>
          <t>티에이케이</t>
        </is>
      </c>
      <c r="H108" s="66" t="inlineStr">
        <is>
          <t>P150/3합</t>
        </is>
      </c>
      <c r="I108" s="66" t="n"/>
      <c r="J108" s="66" t="n"/>
      <c r="K108" s="67" t="n"/>
      <c r="L108" s="166" t="n"/>
      <c r="M108" s="167" t="n">
        <v>610</v>
      </c>
      <c r="N108" s="168" t="n"/>
      <c r="O108" s="169" t="n"/>
      <c r="P108" s="170" t="n"/>
      <c r="Q108" s="171" t="n"/>
      <c r="R108" s="172" t="n">
        <v>1050</v>
      </c>
      <c r="S108" s="172">
        <f>M108*R108</f>
        <v/>
      </c>
      <c r="T108" s="173" t="n"/>
      <c r="U108" s="174" t="n"/>
      <c r="V108" s="175" t="n"/>
      <c r="W108" s="176" t="n"/>
      <c r="X108" s="172" t="n"/>
      <c r="Y108" s="22" t="inlineStr">
        <is>
          <t>연사</t>
        </is>
      </c>
      <c r="Z108" s="221">
        <f>W108-S108-Q108</f>
        <v/>
      </c>
    </row>
    <row r="109" ht="16" customFormat="1" customHeight="1" s="68">
      <c r="A109" s="206" t="n">
        <v>2602</v>
      </c>
      <c r="B109" s="164" t="n">
        <v>46063</v>
      </c>
      <c r="C109" s="150" t="inlineStr">
        <is>
          <t>하이젠540</t>
        </is>
      </c>
      <c r="D109" s="3" t="inlineStr">
        <is>
          <t>안국섬유</t>
        </is>
      </c>
      <c r="E109" s="4" t="inlineStr">
        <is>
          <t>동우섬유</t>
        </is>
      </c>
      <c r="F109" s="5" t="inlineStr">
        <is>
          <t>cleaner</t>
        </is>
      </c>
      <c r="G109" s="4" t="inlineStr">
        <is>
          <t>티에이케이</t>
        </is>
      </c>
      <c r="H109" s="66" t="inlineStr">
        <is>
          <t>PP450D</t>
        </is>
      </c>
      <c r="I109" s="66" t="n"/>
      <c r="J109" s="66" t="n"/>
      <c r="K109" s="67" t="n"/>
      <c r="L109" s="166" t="n"/>
      <c r="M109" s="167" t="n">
        <v>351.75</v>
      </c>
      <c r="N109" s="168" t="n"/>
      <c r="O109" s="169" t="n"/>
      <c r="P109" s="170" t="n"/>
      <c r="Q109" s="171" t="n"/>
      <c r="R109" s="172" t="n">
        <v>1050</v>
      </c>
      <c r="S109" s="172">
        <f>M109*R109</f>
        <v/>
      </c>
      <c r="T109" s="173" t="n"/>
      <c r="U109" s="174" t="n"/>
      <c r="V109" s="175" t="n"/>
      <c r="W109" s="176" t="n"/>
      <c r="X109" s="172" t="n"/>
      <c r="Y109" s="22" t="inlineStr">
        <is>
          <t>연사</t>
        </is>
      </c>
      <c r="Z109" s="221">
        <f>W109-S109-Q109</f>
        <v/>
      </c>
      <c r="AA109" s="0" t="n"/>
      <c r="AB109" s="0" t="n"/>
      <c r="AC109" s="0" t="n"/>
      <c r="AD109" s="0" t="n"/>
      <c r="AE109" s="0" t="n"/>
    </row>
    <row r="110" ht="16" customHeight="1" s="162">
      <c r="A110" s="206" t="n">
        <v>2602</v>
      </c>
      <c r="B110" s="164" t="n">
        <v>46062</v>
      </c>
      <c r="C110" s="150" t="inlineStr">
        <is>
          <t>HPK3042-SJ</t>
        </is>
      </c>
      <c r="D110" s="3" t="inlineStr">
        <is>
          <t>풍아산업</t>
        </is>
      </c>
      <c r="E110" s="4" t="inlineStr">
        <is>
          <t>디케이티앤씨</t>
        </is>
      </c>
      <c r="F110" s="5" t="inlineStr">
        <is>
          <t>tape</t>
        </is>
      </c>
      <c r="G110" s="4" t="inlineStr">
        <is>
          <t>유진폴리테크</t>
        </is>
      </c>
      <c r="H110" s="66" t="inlineStr">
        <is>
          <t>HPK3042-SJ</t>
        </is>
      </c>
      <c r="I110" s="66" t="inlineStr">
        <is>
          <t>BLACK</t>
        </is>
      </c>
      <c r="J110" s="66" t="n"/>
      <c r="K110" s="67" t="n"/>
      <c r="L110" s="166" t="n">
        <v>5</v>
      </c>
      <c r="M110" s="167" t="n">
        <v>63</v>
      </c>
      <c r="N110" s="168" t="n">
        <v>974</v>
      </c>
      <c r="O110" s="169" t="n"/>
      <c r="P110" s="170" t="n"/>
      <c r="Q110" s="171" t="n"/>
      <c r="R110" s="172" t="n">
        <v>550</v>
      </c>
      <c r="S110" s="172">
        <f>N110*R110</f>
        <v/>
      </c>
      <c r="T110" s="173" t="n"/>
      <c r="U110" s="174" t="n"/>
      <c r="V110" s="175" t="n"/>
      <c r="W110" s="176" t="n"/>
      <c r="X110" s="172" t="n"/>
      <c r="Y110" s="22" t="inlineStr">
        <is>
          <t>염색</t>
        </is>
      </c>
      <c r="Z110" s="221">
        <f>W110-S110-Q110</f>
        <v/>
      </c>
    </row>
    <row r="111" ht="16" customHeight="1" s="162">
      <c r="A111" s="206" t="n">
        <v>2602</v>
      </c>
      <c r="B111" s="164" t="n">
        <v>46062</v>
      </c>
      <c r="C111" s="150" t="inlineStr">
        <is>
          <t>HPK3042-SJ</t>
        </is>
      </c>
      <c r="D111" s="3" t="inlineStr">
        <is>
          <t>풍아산업</t>
        </is>
      </c>
      <c r="E111" s="4" t="inlineStr">
        <is>
          <t>디케이티앤씨</t>
        </is>
      </c>
      <c r="F111" s="5" t="inlineStr">
        <is>
          <t>tape</t>
        </is>
      </c>
      <c r="G111" s="4" t="inlineStr">
        <is>
          <t>유진폴리테크</t>
        </is>
      </c>
      <c r="H111" s="66" t="inlineStr">
        <is>
          <t>HPK3042-SJ</t>
        </is>
      </c>
      <c r="I111" s="66" t="inlineStr">
        <is>
          <t>BLACK</t>
        </is>
      </c>
      <c r="J111" s="66" t="n"/>
      <c r="K111" s="67" t="n"/>
      <c r="L111" s="166" t="n">
        <v>5</v>
      </c>
      <c r="M111" s="167" t="n">
        <v>79</v>
      </c>
      <c r="N111" s="168" t="n">
        <v>1206</v>
      </c>
      <c r="O111" s="169" t="n"/>
      <c r="P111" s="170" t="n"/>
      <c r="Q111" s="171" t="n"/>
      <c r="R111" s="172" t="n">
        <v>550</v>
      </c>
      <c r="S111" s="172">
        <f>N111*R111</f>
        <v/>
      </c>
      <c r="T111" s="173" t="n"/>
      <c r="U111" s="174" t="n"/>
      <c r="V111" s="175" t="n"/>
      <c r="W111" s="176" t="n"/>
      <c r="X111" s="172" t="n"/>
      <c r="Y111" s="22" t="inlineStr">
        <is>
          <t>염색</t>
        </is>
      </c>
      <c r="Z111" s="221">
        <f>W111-S111-Q111</f>
        <v/>
      </c>
    </row>
    <row r="112" ht="16" customFormat="1" customHeight="1" s="68">
      <c r="A112" s="206" t="n">
        <v>2602</v>
      </c>
      <c r="B112" s="164" t="n">
        <v>46062</v>
      </c>
      <c r="C112" s="150" t="inlineStr">
        <is>
          <t>HPK3042-SJ</t>
        </is>
      </c>
      <c r="D112" s="3" t="inlineStr">
        <is>
          <t>풍아산업</t>
        </is>
      </c>
      <c r="E112" s="4" t="inlineStr">
        <is>
          <t>성일티앤씨</t>
        </is>
      </c>
      <c r="F112" s="5" t="inlineStr">
        <is>
          <t>tape</t>
        </is>
      </c>
      <c r="G112" s="4" t="inlineStr">
        <is>
          <t>실론</t>
        </is>
      </c>
      <c r="H112" s="66" t="inlineStr">
        <is>
          <t>HPK3042-SJ</t>
        </is>
      </c>
      <c r="I112" s="66" t="inlineStr">
        <is>
          <t>L.GREY</t>
        </is>
      </c>
      <c r="J112" s="66" t="n"/>
      <c r="K112" s="121" t="inlineStr">
        <is>
          <t>4</t>
        </is>
      </c>
      <c r="L112" s="166" t="n">
        <v>6</v>
      </c>
      <c r="M112" s="167" t="n">
        <v>90</v>
      </c>
      <c r="N112" s="168" t="n">
        <v>1495</v>
      </c>
      <c r="O112" s="169" t="n"/>
      <c r="P112" s="170" t="n"/>
      <c r="Q112" s="171" t="n"/>
      <c r="R112" s="172" t="n">
        <v>500</v>
      </c>
      <c r="S112" s="172">
        <f>N112*R112</f>
        <v/>
      </c>
      <c r="T112" s="173" t="n"/>
      <c r="U112" s="174" t="n"/>
      <c r="V112" s="175" t="n"/>
      <c r="W112" s="176" t="n"/>
      <c r="X112" s="172" t="n"/>
      <c r="Y112" s="22" t="inlineStr">
        <is>
          <t>염색</t>
        </is>
      </c>
      <c r="Z112" s="221">
        <f>W112-S112-Q112</f>
        <v/>
      </c>
      <c r="AA112" s="0" t="n"/>
      <c r="AB112" s="0" t="n"/>
      <c r="AC112" s="0" t="n"/>
      <c r="AD112" s="0" t="n"/>
      <c r="AE112" s="0" t="n"/>
    </row>
    <row r="113" ht="16" customFormat="1" customHeight="1" s="68">
      <c r="A113" s="206" t="n">
        <v>2602</v>
      </c>
      <c r="B113" s="164" t="n">
        <v>46062</v>
      </c>
      <c r="C113" s="150" t="inlineStr">
        <is>
          <t>HPK3042-SJ</t>
        </is>
      </c>
      <c r="D113" s="3" t="inlineStr">
        <is>
          <t>풍아산업</t>
        </is>
      </c>
      <c r="E113" s="4" t="inlineStr">
        <is>
          <t>성일티앤씨</t>
        </is>
      </c>
      <c r="F113" s="5" t="inlineStr">
        <is>
          <t>tape</t>
        </is>
      </c>
      <c r="G113" s="4" t="inlineStr">
        <is>
          <t>실론</t>
        </is>
      </c>
      <c r="H113" s="66" t="inlineStr">
        <is>
          <t>HPK3042-SJ</t>
        </is>
      </c>
      <c r="I113" s="66" t="inlineStr">
        <is>
          <t>TRUQ BLUE</t>
        </is>
      </c>
      <c r="J113" s="66" t="n"/>
      <c r="K113" s="121" t="inlineStr">
        <is>
          <t>002</t>
        </is>
      </c>
      <c r="L113" s="166" t="n">
        <v>4</v>
      </c>
      <c r="M113" s="167" t="n">
        <v>30</v>
      </c>
      <c r="N113" s="168" t="n">
        <v>507</v>
      </c>
      <c r="O113" s="169" t="n"/>
      <c r="P113" s="170" t="n"/>
      <c r="Q113" s="171" t="n"/>
      <c r="R113" s="172" t="n">
        <v>530</v>
      </c>
      <c r="S113" s="172">
        <f>N113*R113</f>
        <v/>
      </c>
      <c r="T113" s="173" t="n"/>
      <c r="U113" s="174" t="n"/>
      <c r="V113" s="175" t="n"/>
      <c r="W113" s="176" t="n"/>
      <c r="X113" s="172" t="n"/>
      <c r="Y113" s="22" t="inlineStr">
        <is>
          <t>염색</t>
        </is>
      </c>
      <c r="Z113" s="221">
        <f>W113-S113-Q113</f>
        <v/>
      </c>
      <c r="AA113" s="0" t="n"/>
      <c r="AB113" s="0" t="n"/>
      <c r="AC113" s="0" t="n"/>
      <c r="AD113" s="0" t="n"/>
      <c r="AE113" s="0" t="n"/>
    </row>
    <row r="114" ht="16" customFormat="1" customHeight="1" s="68">
      <c r="A114" s="206" t="n">
        <v>2602</v>
      </c>
      <c r="B114" s="164" t="n">
        <v>46055</v>
      </c>
      <c r="C114" s="150" t="inlineStr">
        <is>
          <t>HPK3042-SJ</t>
        </is>
      </c>
      <c r="D114" s="3" t="inlineStr">
        <is>
          <t>풍아산업</t>
        </is>
      </c>
      <c r="E114" s="4" t="inlineStr">
        <is>
          <t>성일티앤씨</t>
        </is>
      </c>
      <c r="F114" s="5" t="inlineStr">
        <is>
          <t>tape</t>
        </is>
      </c>
      <c r="G114" s="4" t="inlineStr">
        <is>
          <t>실론</t>
        </is>
      </c>
      <c r="H114" s="66" t="inlineStr">
        <is>
          <t>HPK3042-SJ</t>
        </is>
      </c>
      <c r="I114" s="66" t="inlineStr">
        <is>
          <t>QUITE SHADE</t>
        </is>
      </c>
      <c r="J114" s="66" t="n"/>
      <c r="K114" s="67" t="n"/>
      <c r="L114" s="166" t="n">
        <v>6</v>
      </c>
      <c r="M114" s="167" t="n">
        <v>92.2</v>
      </c>
      <c r="N114" s="168" t="n">
        <v>1476</v>
      </c>
      <c r="O114" s="169" t="n"/>
      <c r="P114" s="170" t="n"/>
      <c r="Q114" s="171" t="n"/>
      <c r="R114" s="172" t="n">
        <v>500</v>
      </c>
      <c r="S114" s="172">
        <f>N114*R114</f>
        <v/>
      </c>
      <c r="T114" s="173" t="n"/>
      <c r="U114" s="174" t="n"/>
      <c r="V114" s="175" t="n"/>
      <c r="W114" s="176" t="n"/>
      <c r="X114" s="172" t="n"/>
      <c r="Y114" s="22" t="inlineStr">
        <is>
          <t>염색</t>
        </is>
      </c>
      <c r="Z114" s="221">
        <f>W114-S114-Q114</f>
        <v/>
      </c>
      <c r="AA114" s="0" t="n"/>
      <c r="AB114" s="0" t="n"/>
      <c r="AC114" s="0" t="n"/>
      <c r="AD114" s="0" t="n"/>
      <c r="AE114" s="0" t="n"/>
    </row>
    <row r="115" ht="16" customFormat="1" customHeight="1" s="68">
      <c r="A115" s="206" t="n">
        <v>2602</v>
      </c>
      <c r="B115" s="164" t="n">
        <v>46055</v>
      </c>
      <c r="C115" s="150" t="inlineStr">
        <is>
          <t>HPK3042-SJ</t>
        </is>
      </c>
      <c r="D115" s="3" t="inlineStr">
        <is>
          <t>풍아산업</t>
        </is>
      </c>
      <c r="E115" s="4" t="inlineStr">
        <is>
          <t>성일티앤씨</t>
        </is>
      </c>
      <c r="F115" s="5" t="inlineStr">
        <is>
          <t>tape</t>
        </is>
      </c>
      <c r="G115" s="4" t="inlineStr">
        <is>
          <t>실론</t>
        </is>
      </c>
      <c r="H115" s="66" t="inlineStr">
        <is>
          <t>HPK3042-SJ</t>
        </is>
      </c>
      <c r="I115" s="66" t="inlineStr">
        <is>
          <t>SILVER GREY</t>
        </is>
      </c>
      <c r="J115" s="66" t="n"/>
      <c r="K115" s="67" t="n"/>
      <c r="L115" s="166" t="n">
        <v>6</v>
      </c>
      <c r="M115" s="167" t="n">
        <v>92.3</v>
      </c>
      <c r="N115" s="168" t="n">
        <v>1513</v>
      </c>
      <c r="O115" s="169" t="n"/>
      <c r="P115" s="170" t="n"/>
      <c r="Q115" s="171" t="n"/>
      <c r="R115" s="172" t="n">
        <v>500</v>
      </c>
      <c r="S115" s="172">
        <f>N115*R115</f>
        <v/>
      </c>
      <c r="T115" s="173" t="n"/>
      <c r="U115" s="174" t="n"/>
      <c r="V115" s="175" t="n"/>
      <c r="W115" s="176" t="n"/>
      <c r="X115" s="172" t="n"/>
      <c r="Y115" s="22" t="inlineStr">
        <is>
          <t>염색</t>
        </is>
      </c>
      <c r="Z115" s="221">
        <f>W115-S115-Q115</f>
        <v/>
      </c>
      <c r="AA115" s="0" t="n"/>
      <c r="AB115" s="0" t="n"/>
      <c r="AC115" s="0" t="n"/>
      <c r="AD115" s="0" t="n"/>
      <c r="AE115" s="0" t="n"/>
    </row>
    <row r="116" ht="16" customFormat="1" customHeight="1" s="68">
      <c r="A116" s="206" t="n">
        <v>2602</v>
      </c>
      <c r="B116" s="164" t="n">
        <v>46055</v>
      </c>
      <c r="C116" s="150" t="inlineStr">
        <is>
          <t>HPK3042-SJ</t>
        </is>
      </c>
      <c r="D116" s="3" t="inlineStr">
        <is>
          <t>풍아산업</t>
        </is>
      </c>
      <c r="E116" s="4" t="inlineStr">
        <is>
          <t>성일티앤씨</t>
        </is>
      </c>
      <c r="F116" s="5" t="inlineStr">
        <is>
          <t>tape</t>
        </is>
      </c>
      <c r="G116" s="4" t="inlineStr">
        <is>
          <t>실론</t>
        </is>
      </c>
      <c r="H116" s="66" t="inlineStr">
        <is>
          <t>HPK3042-SJ</t>
        </is>
      </c>
      <c r="I116" s="66" t="inlineStr">
        <is>
          <t>COOL GREY</t>
        </is>
      </c>
      <c r="J116" s="66" t="n"/>
      <c r="K116" s="67" t="n"/>
      <c r="L116" s="166" t="n">
        <v>1</v>
      </c>
      <c r="M116" s="167" t="n">
        <v>15.5</v>
      </c>
      <c r="N116" s="168" t="n">
        <v>255</v>
      </c>
      <c r="O116" s="169" t="n"/>
      <c r="P116" s="170" t="n"/>
      <c r="Q116" s="171" t="n"/>
      <c r="R116" s="172" t="n">
        <v>500</v>
      </c>
      <c r="S116" s="172">
        <f>N116*R116</f>
        <v/>
      </c>
      <c r="T116" s="173" t="n"/>
      <c r="U116" s="174" t="n"/>
      <c r="V116" s="175" t="n"/>
      <c r="W116" s="176" t="n"/>
      <c r="X116" s="172" t="n"/>
      <c r="Y116" s="22" t="inlineStr">
        <is>
          <t>염색</t>
        </is>
      </c>
      <c r="Z116" s="221">
        <f>W116-S116-Q116</f>
        <v/>
      </c>
      <c r="AA116" s="0" t="n"/>
      <c r="AB116" s="0" t="n"/>
      <c r="AC116" s="0" t="n"/>
      <c r="AD116" s="0" t="n"/>
      <c r="AE116" s="0" t="n"/>
    </row>
    <row r="117" ht="16" customFormat="1" customHeight="1" s="68">
      <c r="A117" s="206" t="n">
        <v>2602</v>
      </c>
      <c r="B117" s="164" t="n">
        <v>46076</v>
      </c>
      <c r="C117" s="150" t="inlineStr">
        <is>
          <t>HPK3042-SJ</t>
        </is>
      </c>
      <c r="D117" s="3" t="inlineStr">
        <is>
          <t>풍아산업</t>
        </is>
      </c>
      <c r="E117" s="4" t="inlineStr">
        <is>
          <t>성일티앤씨</t>
        </is>
      </c>
      <c r="F117" s="5" t="inlineStr">
        <is>
          <t>tape</t>
        </is>
      </c>
      <c r="G117" s="4" t="inlineStr">
        <is>
          <t>실론</t>
        </is>
      </c>
      <c r="H117" s="66" t="inlineStr">
        <is>
          <t>HPK3042-SJ</t>
        </is>
      </c>
      <c r="I117" s="66" t="inlineStr">
        <is>
          <t>COOL GREY 2</t>
        </is>
      </c>
      <c r="J117" s="66" t="n"/>
      <c r="K117" s="67" t="n"/>
      <c r="L117" s="166" t="n"/>
      <c r="M117" s="167" t="n"/>
      <c r="N117" s="168" t="n">
        <v>240</v>
      </c>
      <c r="O117" s="169" t="n"/>
      <c r="P117" s="170" t="n"/>
      <c r="Q117" s="171" t="n"/>
      <c r="R117" s="172" t="n">
        <v>500</v>
      </c>
      <c r="S117" s="172">
        <f>N117*R117</f>
        <v/>
      </c>
      <c r="T117" s="173" t="n"/>
      <c r="U117" s="174" t="n"/>
      <c r="V117" s="175" t="n"/>
      <c r="W117" s="176" t="n"/>
      <c r="X117" s="172" t="n"/>
      <c r="Y117" s="22" t="inlineStr">
        <is>
          <t>염색</t>
        </is>
      </c>
      <c r="Z117" s="221">
        <f>W117-S117-Q117</f>
        <v/>
      </c>
      <c r="AA117" s="0" t="n"/>
      <c r="AB117" s="0" t="n"/>
      <c r="AC117" s="0" t="n"/>
      <c r="AD117" s="0" t="n"/>
      <c r="AE117" s="0" t="n"/>
    </row>
    <row r="118" ht="16" customFormat="1" customHeight="1" s="68">
      <c r="A118" s="206" t="n">
        <v>2602</v>
      </c>
      <c r="B118" s="207" t="n">
        <v>46058</v>
      </c>
      <c r="C118" s="149" t="inlineStr">
        <is>
          <t>HPK3042-SJ</t>
        </is>
      </c>
      <c r="D118" s="71" t="inlineStr">
        <is>
          <t>성일티앤씨</t>
        </is>
      </c>
      <c r="E118" s="72" t="inlineStr">
        <is>
          <t>실론</t>
        </is>
      </c>
      <c r="F118" s="73" t="inlineStr">
        <is>
          <t>tape</t>
        </is>
      </c>
      <c r="G118" s="72" t="inlineStr">
        <is>
          <t>실론</t>
        </is>
      </c>
      <c r="H118" s="74" t="inlineStr">
        <is>
          <t>SEALON 633</t>
        </is>
      </c>
      <c r="I118" s="74" t="inlineStr">
        <is>
          <t>GRAPHITE/CLEAR</t>
        </is>
      </c>
      <c r="J118" s="74" t="n"/>
      <c r="K118" s="75" t="n"/>
      <c r="L118" s="208" t="n">
        <v>11</v>
      </c>
      <c r="M118" s="209" t="n"/>
      <c r="N118" s="210" t="n"/>
      <c r="O118" s="211" t="n">
        <v>4283</v>
      </c>
      <c r="P118" s="212" t="n"/>
      <c r="Q118" s="213" t="n"/>
      <c r="R118" s="215" t="n">
        <v>2350</v>
      </c>
      <c r="S118" s="215">
        <f>O118*R118</f>
        <v/>
      </c>
      <c r="T118" s="216" t="n"/>
      <c r="U118" s="217" t="n"/>
      <c r="V118" s="218" t="n">
        <v>4700</v>
      </c>
      <c r="W118" s="219">
        <f>O118*V118</f>
        <v/>
      </c>
      <c r="X118" s="215" t="n"/>
      <c r="Y118" s="134" t="inlineStr">
        <is>
          <t>가공</t>
        </is>
      </c>
      <c r="Z118" s="221">
        <f>W118-S118-Q118</f>
        <v/>
      </c>
    </row>
    <row r="119" ht="16" customFormat="1" customHeight="1" s="68">
      <c r="A119" s="206" t="n">
        <v>2602</v>
      </c>
      <c r="B119" s="207" t="n">
        <v>46064</v>
      </c>
      <c r="C119" s="149" t="inlineStr">
        <is>
          <t>HPK3042-SJ</t>
        </is>
      </c>
      <c r="D119" s="71" t="inlineStr">
        <is>
          <t>성일티앤씨</t>
        </is>
      </c>
      <c r="E119" s="72" t="inlineStr">
        <is>
          <t>실론</t>
        </is>
      </c>
      <c r="F119" s="73" t="inlineStr">
        <is>
          <t>tape</t>
        </is>
      </c>
      <c r="G119" s="72" t="inlineStr">
        <is>
          <t>실론</t>
        </is>
      </c>
      <c r="H119" s="74" t="inlineStr">
        <is>
          <t>SEALON 633</t>
        </is>
      </c>
      <c r="I119" s="74" t="inlineStr">
        <is>
          <t>GRAPHITE/CLEAR</t>
        </is>
      </c>
      <c r="J119" s="74" t="n"/>
      <c r="K119" s="75" t="n"/>
      <c r="L119" s="208" t="n">
        <v>1</v>
      </c>
      <c r="M119" s="209" t="n"/>
      <c r="N119" s="210" t="n"/>
      <c r="O119" s="211" t="n">
        <v>227</v>
      </c>
      <c r="P119" s="212" t="n"/>
      <c r="Q119" s="213" t="n"/>
      <c r="R119" s="215" t="n">
        <v>2350</v>
      </c>
      <c r="S119" s="215">
        <f>O119*R119</f>
        <v/>
      </c>
      <c r="T119" s="216" t="n"/>
      <c r="U119" s="217" t="n"/>
      <c r="V119" s="218" t="n">
        <v>4700</v>
      </c>
      <c r="W119" s="219">
        <f>O119*V119</f>
        <v/>
      </c>
      <c r="X119" s="215" t="n"/>
      <c r="Y119" s="134" t="inlineStr">
        <is>
          <t>가공</t>
        </is>
      </c>
      <c r="Z119" s="221">
        <f>W119-S119-Q119</f>
        <v/>
      </c>
    </row>
    <row r="120" ht="16" customFormat="1" customHeight="1" s="68">
      <c r="A120" s="206" t="n">
        <v>2602</v>
      </c>
      <c r="B120" s="207" t="n">
        <v>46062</v>
      </c>
      <c r="C120" s="149" t="inlineStr">
        <is>
          <t>HPK3042-SJ</t>
        </is>
      </c>
      <c r="D120" s="71" t="inlineStr">
        <is>
          <t>성일티앤씨</t>
        </is>
      </c>
      <c r="E120" s="72" t="inlineStr">
        <is>
          <t>실론</t>
        </is>
      </c>
      <c r="F120" s="73" t="inlineStr">
        <is>
          <t>tape</t>
        </is>
      </c>
      <c r="G120" s="72" t="inlineStr">
        <is>
          <t>실론</t>
        </is>
      </c>
      <c r="H120" s="74" t="inlineStr">
        <is>
          <t>SEALON 633</t>
        </is>
      </c>
      <c r="I120" s="74" t="inlineStr">
        <is>
          <t>COOL GREY/WHITE</t>
        </is>
      </c>
      <c r="J120" s="74" t="n"/>
      <c r="K120" s="85" t="inlineStr">
        <is>
          <t>001</t>
        </is>
      </c>
      <c r="L120" s="208" t="n">
        <v>1</v>
      </c>
      <c r="M120" s="209" t="n"/>
      <c r="N120" s="210" t="n"/>
      <c r="O120" s="211" t="n">
        <v>235</v>
      </c>
      <c r="P120" s="212" t="n"/>
      <c r="Q120" s="213" t="n"/>
      <c r="R120" s="215" t="n">
        <v>2350</v>
      </c>
      <c r="S120" s="215">
        <f>O120*R120</f>
        <v/>
      </c>
      <c r="T120" s="216" t="n"/>
      <c r="U120" s="217" t="n"/>
      <c r="V120" s="218" t="n">
        <v>4700</v>
      </c>
      <c r="W120" s="219">
        <f>O120*V120</f>
        <v/>
      </c>
      <c r="X120" s="215" t="n"/>
      <c r="Y120" s="134" t="inlineStr">
        <is>
          <t>가공</t>
        </is>
      </c>
      <c r="Z120" s="221">
        <f>W120-S120-Q120</f>
        <v/>
      </c>
    </row>
    <row r="121" ht="16" customFormat="1" customHeight="1" s="68">
      <c r="A121" s="206" t="n">
        <v>2602</v>
      </c>
      <c r="B121" s="207" t="n">
        <v>46062</v>
      </c>
      <c r="C121" s="149" t="inlineStr">
        <is>
          <t>HPK3042-SJ</t>
        </is>
      </c>
      <c r="D121" s="71" t="inlineStr">
        <is>
          <t>성일티앤씨</t>
        </is>
      </c>
      <c r="E121" s="72" t="inlineStr">
        <is>
          <t>실론</t>
        </is>
      </c>
      <c r="F121" s="73" t="inlineStr">
        <is>
          <t>tape</t>
        </is>
      </c>
      <c r="G121" s="72" t="inlineStr">
        <is>
          <t>실론</t>
        </is>
      </c>
      <c r="H121" s="74" t="inlineStr">
        <is>
          <t>SEALON 633</t>
        </is>
      </c>
      <c r="I121" s="74" t="inlineStr">
        <is>
          <t>SILVER GREY/WHITE</t>
        </is>
      </c>
      <c r="J121" s="74" t="n"/>
      <c r="K121" s="85" t="inlineStr">
        <is>
          <t>002</t>
        </is>
      </c>
      <c r="L121" s="208" t="n">
        <v>3</v>
      </c>
      <c r="M121" s="209" t="n"/>
      <c r="N121" s="210" t="n"/>
      <c r="O121" s="211" t="n">
        <v>1418</v>
      </c>
      <c r="P121" s="212" t="n"/>
      <c r="Q121" s="213" t="n"/>
      <c r="R121" s="215" t="n">
        <v>2350</v>
      </c>
      <c r="S121" s="215">
        <f>O121*R121</f>
        <v/>
      </c>
      <c r="T121" s="216" t="n"/>
      <c r="U121" s="217" t="n"/>
      <c r="V121" s="218" t="n">
        <v>4700</v>
      </c>
      <c r="W121" s="219">
        <f>O121*V121</f>
        <v/>
      </c>
      <c r="X121" s="215" t="n"/>
      <c r="Y121" s="134" t="inlineStr">
        <is>
          <t>가공</t>
        </is>
      </c>
      <c r="Z121" s="221">
        <f>W121-S121-Q121</f>
        <v/>
      </c>
    </row>
    <row r="122" ht="16" customFormat="1" customHeight="1" s="68">
      <c r="A122" s="206" t="n">
        <v>2602</v>
      </c>
      <c r="B122" s="207" t="n">
        <v>46062</v>
      </c>
      <c r="C122" s="149" t="inlineStr">
        <is>
          <t>HPK3042-SJ</t>
        </is>
      </c>
      <c r="D122" s="71" t="inlineStr">
        <is>
          <t>성일티앤씨</t>
        </is>
      </c>
      <c r="E122" s="72" t="inlineStr">
        <is>
          <t>실론</t>
        </is>
      </c>
      <c r="F122" s="73" t="inlineStr">
        <is>
          <t>tape</t>
        </is>
      </c>
      <c r="G122" s="72" t="inlineStr">
        <is>
          <t>실론</t>
        </is>
      </c>
      <c r="H122" s="74" t="inlineStr">
        <is>
          <t>SEALON 633</t>
        </is>
      </c>
      <c r="I122" s="74" t="inlineStr">
        <is>
          <t>QUITE SHADE/WHITE</t>
        </is>
      </c>
      <c r="J122" s="74" t="n"/>
      <c r="K122" s="85" t="inlineStr">
        <is>
          <t>33</t>
        </is>
      </c>
      <c r="L122" s="208" t="n">
        <v>4</v>
      </c>
      <c r="M122" s="209" t="n"/>
      <c r="N122" s="210" t="n"/>
      <c r="O122" s="211" t="n">
        <v>1327</v>
      </c>
      <c r="P122" s="212" t="n"/>
      <c r="Q122" s="213" t="n"/>
      <c r="R122" s="215" t="n">
        <v>2350</v>
      </c>
      <c r="S122" s="215">
        <f>O122*R122</f>
        <v/>
      </c>
      <c r="T122" s="216" t="n"/>
      <c r="U122" s="217" t="n"/>
      <c r="V122" s="218" t="n">
        <v>4700</v>
      </c>
      <c r="W122" s="219">
        <f>O122*V122</f>
        <v/>
      </c>
      <c r="X122" s="215" t="n"/>
      <c r="Y122" s="134" t="inlineStr">
        <is>
          <t>가공</t>
        </is>
      </c>
      <c r="Z122" s="221">
        <f>W122-S122-Q122</f>
        <v/>
      </c>
    </row>
    <row r="123" ht="16" customHeight="1" s="162">
      <c r="A123" s="206" t="n">
        <v>2602</v>
      </c>
      <c r="B123" s="207" t="n">
        <v>46066</v>
      </c>
      <c r="C123" s="152" t="inlineStr">
        <is>
          <t>HPK3042-SJ</t>
        </is>
      </c>
      <c r="D123" s="71" t="inlineStr">
        <is>
          <t>성일티앤씨</t>
        </is>
      </c>
      <c r="E123" s="72" t="inlineStr">
        <is>
          <t>실론</t>
        </is>
      </c>
      <c r="F123" s="73" t="inlineStr">
        <is>
          <t>tape</t>
        </is>
      </c>
      <c r="G123" s="72" t="inlineStr">
        <is>
          <t>실론</t>
        </is>
      </c>
      <c r="H123" s="138" t="inlineStr">
        <is>
          <t>SEALON 633</t>
        </is>
      </c>
      <c r="I123" s="74" t="inlineStr">
        <is>
          <t>TRUQ BLUE/CLEAR</t>
        </is>
      </c>
      <c r="J123" s="74" t="n"/>
      <c r="K123" s="75" t="n"/>
      <c r="L123" s="208" t="n"/>
      <c r="M123" s="209" t="n"/>
      <c r="N123" s="210" t="n"/>
      <c r="O123" s="211" t="n">
        <v>458</v>
      </c>
      <c r="P123" s="212" t="n"/>
      <c r="Q123" s="213" t="n"/>
      <c r="R123" s="215" t="n">
        <v>2350</v>
      </c>
      <c r="S123" s="215">
        <f>O123*R123</f>
        <v/>
      </c>
      <c r="T123" s="216" t="n"/>
      <c r="U123" s="217" t="n"/>
      <c r="V123" s="218" t="n">
        <v>4700</v>
      </c>
      <c r="W123" s="219">
        <f>O123*V123</f>
        <v/>
      </c>
      <c r="X123" s="215" t="n"/>
      <c r="Y123" s="134" t="inlineStr">
        <is>
          <t>가공</t>
        </is>
      </c>
      <c r="Z123" s="221">
        <f>W123-S123-Q123</f>
        <v/>
      </c>
      <c r="AA123" s="68" t="n"/>
      <c r="AB123" s="68" t="n"/>
      <c r="AC123" s="68" t="n"/>
      <c r="AD123" s="68" t="n"/>
      <c r="AE123" s="68" t="n"/>
    </row>
    <row r="124" ht="16" customHeight="1" s="162">
      <c r="A124" s="206" t="n">
        <v>2602</v>
      </c>
      <c r="B124" s="207" t="n">
        <v>46066</v>
      </c>
      <c r="C124" s="152" t="inlineStr">
        <is>
          <t>HPK3042-SJ</t>
        </is>
      </c>
      <c r="D124" s="71" t="inlineStr">
        <is>
          <t>성일티앤씨</t>
        </is>
      </c>
      <c r="E124" s="72" t="inlineStr">
        <is>
          <t>실론</t>
        </is>
      </c>
      <c r="F124" s="73" t="inlineStr">
        <is>
          <t>tape</t>
        </is>
      </c>
      <c r="G124" s="72" t="inlineStr">
        <is>
          <t>실론</t>
        </is>
      </c>
      <c r="H124" s="138" t="inlineStr">
        <is>
          <t>SEALON 633</t>
        </is>
      </c>
      <c r="I124" s="74" t="inlineStr">
        <is>
          <t>L.GREY/CLEAR</t>
        </is>
      </c>
      <c r="J124" s="74" t="n"/>
      <c r="K124" s="75" t="n"/>
      <c r="L124" s="208" t="n"/>
      <c r="M124" s="209" t="n"/>
      <c r="N124" s="210" t="n"/>
      <c r="O124" s="211" t="n">
        <v>1372</v>
      </c>
      <c r="P124" s="212" t="n"/>
      <c r="Q124" s="213" t="n"/>
      <c r="R124" s="215" t="n">
        <v>2350</v>
      </c>
      <c r="S124" s="215">
        <f>O124*R124</f>
        <v/>
      </c>
      <c r="T124" s="216" t="n"/>
      <c r="U124" s="217" t="n"/>
      <c r="V124" s="218" t="n">
        <v>4700</v>
      </c>
      <c r="W124" s="219">
        <f>O124*V124</f>
        <v/>
      </c>
      <c r="X124" s="215" t="n"/>
      <c r="Y124" s="134" t="inlineStr">
        <is>
          <t>가공</t>
        </is>
      </c>
      <c r="Z124" s="221">
        <f>W124-S124-Q124</f>
        <v/>
      </c>
      <c r="AA124" s="68" t="n"/>
      <c r="AB124" s="68" t="n"/>
      <c r="AC124" s="68" t="n"/>
      <c r="AD124" s="68" t="n"/>
      <c r="AE124" s="68" t="n"/>
    </row>
    <row r="125" ht="16" customFormat="1" customHeight="1" s="68">
      <c r="A125" s="206" t="n">
        <v>2602</v>
      </c>
      <c r="B125" s="207" t="n">
        <v>46080</v>
      </c>
      <c r="C125" s="149" t="inlineStr">
        <is>
          <t>HPK3042-SJ</t>
        </is>
      </c>
      <c r="D125" s="71" t="inlineStr">
        <is>
          <t>성일티앤씨</t>
        </is>
      </c>
      <c r="E125" s="72" t="inlineStr">
        <is>
          <t>실론</t>
        </is>
      </c>
      <c r="F125" s="73" t="inlineStr">
        <is>
          <t>tape</t>
        </is>
      </c>
      <c r="G125" s="72" t="inlineStr">
        <is>
          <t>실론</t>
        </is>
      </c>
      <c r="H125" s="74" t="inlineStr">
        <is>
          <t>SEALON 633</t>
        </is>
      </c>
      <c r="I125" s="74" t="inlineStr">
        <is>
          <t>COOL GREY2/WHITE</t>
        </is>
      </c>
      <c r="J125" s="74" t="n"/>
      <c r="K125" s="75" t="n"/>
      <c r="L125" s="208" t="n">
        <v>1</v>
      </c>
      <c r="M125" s="209" t="n"/>
      <c r="N125" s="210" t="n"/>
      <c r="O125" s="211" t="n">
        <v>229</v>
      </c>
      <c r="P125" s="212" t="n"/>
      <c r="Q125" s="213" t="n"/>
      <c r="R125" s="215" t="n">
        <v>2350</v>
      </c>
      <c r="S125" s="215">
        <f>O125*R125</f>
        <v/>
      </c>
      <c r="T125" s="216" t="n"/>
      <c r="U125" s="217" t="n"/>
      <c r="V125" s="218" t="n">
        <v>4700</v>
      </c>
      <c r="W125" s="219">
        <f>O125*V125</f>
        <v/>
      </c>
      <c r="X125" s="215" t="n"/>
      <c r="Y125" s="134" t="inlineStr">
        <is>
          <t>가공</t>
        </is>
      </c>
      <c r="Z125" s="221">
        <f>W125-S125-Q125</f>
        <v/>
      </c>
    </row>
    <row r="126" ht="16" customFormat="1" customHeight="1" s="68">
      <c r="A126" s="206" t="n">
        <v>2602</v>
      </c>
      <c r="B126" s="207" t="n">
        <v>46059</v>
      </c>
      <c r="C126" s="149" t="inlineStr">
        <is>
          <t>30심지</t>
        </is>
      </c>
      <c r="D126" s="134" t="inlineStr">
        <is>
          <t>풍성포장</t>
        </is>
      </c>
      <c r="E126" s="72" t="inlineStr">
        <is>
          <t>아이온인더스트리</t>
        </is>
      </c>
      <c r="F126" s="73" t="inlineStr">
        <is>
          <t>back</t>
        </is>
      </c>
      <c r="G126" s="72" t="inlineStr">
        <is>
          <t>아이온인더스트리</t>
        </is>
      </c>
      <c r="H126" s="74" t="inlineStr">
        <is>
          <t>P30D WOVEN</t>
        </is>
      </c>
      <c r="I126" s="74" t="inlineStr">
        <is>
          <t>ICE GREY</t>
        </is>
      </c>
      <c r="J126" s="74" t="n"/>
      <c r="K126" s="75" t="n"/>
      <c r="L126" s="208" t="n">
        <v>12</v>
      </c>
      <c r="M126" s="209" t="n"/>
      <c r="N126" s="210" t="n">
        <v>3407</v>
      </c>
      <c r="O126" s="211" t="n"/>
      <c r="P126" s="212" t="n"/>
      <c r="Q126" s="213" t="n"/>
      <c r="R126" s="215" t="n">
        <v>100</v>
      </c>
      <c r="S126" s="215">
        <f>N126*R126</f>
        <v/>
      </c>
      <c r="T126" s="216" t="n"/>
      <c r="U126" s="217" t="n"/>
      <c r="V126" s="218" t="n">
        <v>1200</v>
      </c>
      <c r="W126" s="219">
        <f>N126*V126</f>
        <v/>
      </c>
      <c r="X126" s="215" t="n"/>
      <c r="Y126" s="134" t="inlineStr">
        <is>
          <t>가공</t>
        </is>
      </c>
      <c r="Z126" s="221">
        <f>W126-S126-Q126</f>
        <v/>
      </c>
    </row>
    <row r="127" ht="16" customFormat="1" customHeight="1" s="68">
      <c r="A127" s="206" t="n">
        <v>2602</v>
      </c>
      <c r="B127" s="164" t="n">
        <v>46064</v>
      </c>
      <c r="C127" s="150" t="inlineStr">
        <is>
          <t>하이젠540</t>
        </is>
      </c>
      <c r="D127" s="3" t="inlineStr">
        <is>
          <t>두성섬유</t>
        </is>
      </c>
      <c r="E127" s="4" t="inlineStr">
        <is>
          <t>안국섬유</t>
        </is>
      </c>
      <c r="F127" s="5" t="inlineStr">
        <is>
          <t>cleaner</t>
        </is>
      </c>
      <c r="G127" s="4" t="inlineStr">
        <is>
          <t>티에이케이</t>
        </is>
      </c>
      <c r="H127" s="66" t="inlineStr">
        <is>
          <t>poly 150/48</t>
        </is>
      </c>
      <c r="I127" s="66" t="n"/>
      <c r="J127" s="66" t="n"/>
      <c r="K127" s="67" t="inlineStr">
        <is>
          <t>AA</t>
        </is>
      </c>
      <c r="L127" s="166" t="n"/>
      <c r="M127" s="167" t="n">
        <v>1875</v>
      </c>
      <c r="N127" s="168" t="n"/>
      <c r="O127" s="169" t="n"/>
      <c r="P127" s="170" t="n">
        <v>2205</v>
      </c>
      <c r="Q127" s="171">
        <f>M127*P127</f>
        <v/>
      </c>
      <c r="R127" s="172" t="n"/>
      <c r="S127" s="172" t="n"/>
      <c r="T127" s="173" t="n"/>
      <c r="U127" s="174" t="n"/>
      <c r="V127" s="175" t="n"/>
      <c r="W127" s="176" t="n"/>
      <c r="X127" s="172" t="n"/>
      <c r="Y127" s="22" t="inlineStr">
        <is>
          <t>원료</t>
        </is>
      </c>
      <c r="Z127" s="221">
        <f>W127-S127-Q127</f>
        <v/>
      </c>
      <c r="AA127" s="0" t="n"/>
      <c r="AB127" s="0" t="n"/>
      <c r="AC127" s="0" t="n"/>
      <c r="AD127" s="0" t="n"/>
      <c r="AE127" s="0" t="n"/>
    </row>
    <row r="128" ht="16" customFormat="1" customHeight="1" s="68">
      <c r="A128" s="206" t="n">
        <v>2602</v>
      </c>
      <c r="B128" s="164" t="n">
        <v>46064</v>
      </c>
      <c r="C128" s="150" t="inlineStr">
        <is>
          <t>하이젠540</t>
        </is>
      </c>
      <c r="D128" s="3" t="inlineStr">
        <is>
          <t>두성섬유</t>
        </is>
      </c>
      <c r="E128" s="4" t="inlineStr">
        <is>
          <t>안국섬유</t>
        </is>
      </c>
      <c r="F128" s="5" t="inlineStr">
        <is>
          <t>cleaner</t>
        </is>
      </c>
      <c r="G128" s="4" t="inlineStr">
        <is>
          <t>티에이케이</t>
        </is>
      </c>
      <c r="H128" s="66" t="inlineStr">
        <is>
          <t>poly 150/48</t>
        </is>
      </c>
      <c r="I128" s="66" t="n"/>
      <c r="J128" s="66" t="n"/>
      <c r="K128" s="67" t="inlineStr">
        <is>
          <t>AA</t>
        </is>
      </c>
      <c r="L128" s="166" t="n"/>
      <c r="M128" s="167" t="n">
        <v>316</v>
      </c>
      <c r="N128" s="168" t="n"/>
      <c r="O128" s="169" t="n"/>
      <c r="P128" s="170" t="n">
        <v>2205</v>
      </c>
      <c r="Q128" s="171">
        <f>M128*P128</f>
        <v/>
      </c>
      <c r="R128" s="172" t="n"/>
      <c r="S128" s="172" t="n"/>
      <c r="T128" s="173" t="n"/>
      <c r="U128" s="174" t="n"/>
      <c r="V128" s="175" t="n"/>
      <c r="W128" s="176" t="n"/>
      <c r="X128" s="172" t="n"/>
      <c r="Y128" s="22" t="inlineStr">
        <is>
          <t>원료</t>
        </is>
      </c>
      <c r="Z128" s="221">
        <f>W128-S128-Q128</f>
        <v/>
      </c>
      <c r="AA128" s="0" t="n"/>
      <c r="AB128" s="0" t="n"/>
      <c r="AC128" s="0" t="n"/>
      <c r="AD128" s="0" t="n"/>
      <c r="AE128" s="0" t="n"/>
    </row>
    <row r="129" ht="16" customHeight="1" s="162">
      <c r="A129" s="206" t="n">
        <v>2602</v>
      </c>
      <c r="B129" s="207" t="n">
        <v>46078</v>
      </c>
      <c r="C129" s="149" t="inlineStr">
        <is>
          <t>30심지</t>
        </is>
      </c>
      <c r="D129" s="71" t="inlineStr">
        <is>
          <t>미래심지</t>
        </is>
      </c>
      <c r="E129" s="72" t="inlineStr">
        <is>
          <t>에스제이인터내셔널</t>
        </is>
      </c>
      <c r="F129" s="73" t="inlineStr">
        <is>
          <t>back</t>
        </is>
      </c>
      <c r="G129" s="72" t="inlineStr">
        <is>
          <t>에스제이인터내셔널</t>
        </is>
      </c>
      <c r="H129" s="74" t="inlineStr">
        <is>
          <t>30 심지</t>
        </is>
      </c>
      <c r="I129" s="74" t="inlineStr">
        <is>
          <t>BLACK</t>
        </is>
      </c>
      <c r="J129" s="74" t="n"/>
      <c r="K129" s="75" t="n"/>
      <c r="L129" s="208" t="n"/>
      <c r="M129" s="209" t="n"/>
      <c r="N129" s="210" t="n">
        <v>3263</v>
      </c>
      <c r="O129" s="211" t="n"/>
      <c r="P129" s="212" t="n"/>
      <c r="Q129" s="213" t="n"/>
      <c r="R129" s="215" t="n">
        <v>800</v>
      </c>
      <c r="S129" s="215">
        <f>N129*R129</f>
        <v/>
      </c>
      <c r="T129" s="216" t="n"/>
      <c r="U129" s="217" t="n"/>
      <c r="V129" s="218" t="n">
        <v>1030</v>
      </c>
      <c r="W129" s="219">
        <f>N129*V129</f>
        <v/>
      </c>
      <c r="X129" s="215" t="n"/>
      <c r="Y129" s="134" t="inlineStr">
        <is>
          <t>상품</t>
        </is>
      </c>
      <c r="Z129" s="221">
        <f>W129-S129-Q129</f>
        <v/>
      </c>
      <c r="AA129" s="68" t="n"/>
      <c r="AB129" s="68" t="n"/>
      <c r="AC129" s="68" t="n"/>
      <c r="AD129" s="68" t="n"/>
      <c r="AE129" s="68" t="n"/>
    </row>
    <row r="130" ht="16" customHeight="1" s="162">
      <c r="A130" s="206" t="n">
        <v>2602</v>
      </c>
      <c r="B130" s="164" t="n">
        <v>46059</v>
      </c>
      <c r="C130" s="150" t="inlineStr">
        <is>
          <t>뷰티 내츄럴</t>
        </is>
      </c>
      <c r="D130" s="3" t="inlineStr">
        <is>
          <t>원텍스</t>
        </is>
      </c>
      <c r="E130" s="4" t="inlineStr">
        <is>
          <t>에스티</t>
        </is>
      </c>
      <c r="F130" s="5" t="inlineStr">
        <is>
          <t>blind</t>
        </is>
      </c>
      <c r="G130" s="4" t="inlineStr">
        <is>
          <t>한국윈텍</t>
        </is>
      </c>
      <c r="H130" s="66" t="inlineStr">
        <is>
          <t>ATY 1050D</t>
        </is>
      </c>
      <c r="I130" s="66" t="inlineStr">
        <is>
          <t>L-02</t>
        </is>
      </c>
      <c r="J130" s="66" t="n"/>
      <c r="K130" s="67" t="n"/>
      <c r="L130" s="166" t="n">
        <v>25</v>
      </c>
      <c r="M130" s="167" t="n">
        <v>99</v>
      </c>
      <c r="N130" s="168" t="n"/>
      <c r="O130" s="169" t="n"/>
      <c r="P130" s="170" t="n"/>
      <c r="Q130" s="171" t="n"/>
      <c r="R130" s="172" t="n">
        <v>1000</v>
      </c>
      <c r="S130" s="172">
        <f>M130*R130</f>
        <v/>
      </c>
      <c r="T130" s="173" t="n"/>
      <c r="U130" s="174" t="n"/>
      <c r="V130" s="175" t="n"/>
      <c r="W130" s="176" t="n"/>
      <c r="X130" s="172" t="n"/>
      <c r="Y130" s="22" t="inlineStr">
        <is>
          <t>가공</t>
        </is>
      </c>
      <c r="Z130" s="221">
        <f>W130-S130-Q130</f>
        <v/>
      </c>
    </row>
    <row r="131" ht="16" customHeight="1" s="162">
      <c r="A131" s="206" t="n">
        <v>2602</v>
      </c>
      <c r="B131" s="164" t="n">
        <v>46059</v>
      </c>
      <c r="C131" s="150" t="inlineStr">
        <is>
          <t>뷰티 내츄럴</t>
        </is>
      </c>
      <c r="D131" s="3" t="inlineStr">
        <is>
          <t>원텍스</t>
        </is>
      </c>
      <c r="E131" s="4" t="inlineStr">
        <is>
          <t>에스티</t>
        </is>
      </c>
      <c r="F131" s="5" t="inlineStr">
        <is>
          <t>blind</t>
        </is>
      </c>
      <c r="G131" s="4" t="inlineStr">
        <is>
          <t>한국윈텍</t>
        </is>
      </c>
      <c r="H131" s="66" t="inlineStr">
        <is>
          <t>ATY 1050D</t>
        </is>
      </c>
      <c r="I131" s="66" t="inlineStr">
        <is>
          <t>C-01</t>
        </is>
      </c>
      <c r="J131" s="66" t="n"/>
      <c r="K131" s="67" t="n"/>
      <c r="L131" s="166" t="n">
        <v>53</v>
      </c>
      <c r="M131" s="167" t="n">
        <v>205</v>
      </c>
      <c r="N131" s="168" t="n"/>
      <c r="O131" s="169" t="n"/>
      <c r="P131" s="170" t="n"/>
      <c r="Q131" s="171" t="n"/>
      <c r="R131" s="172" t="n">
        <v>1000</v>
      </c>
      <c r="S131" s="172">
        <f>M131*R131</f>
        <v/>
      </c>
      <c r="T131" s="173" t="n"/>
      <c r="U131" s="174" t="n"/>
      <c r="V131" s="175" t="n"/>
      <c r="W131" s="176" t="n"/>
      <c r="X131" s="172" t="n"/>
      <c r="Y131" s="22" t="inlineStr">
        <is>
          <t>가공</t>
        </is>
      </c>
      <c r="Z131" s="221">
        <f>W131-S131-Q131</f>
        <v/>
      </c>
    </row>
    <row r="132" ht="16" customHeight="1" s="162">
      <c r="A132" s="206" t="n">
        <v>2602</v>
      </c>
      <c r="B132" s="164" t="n">
        <v>46059</v>
      </c>
      <c r="C132" s="150" t="inlineStr">
        <is>
          <t>뷰티 내츄럴</t>
        </is>
      </c>
      <c r="D132" s="3" t="inlineStr">
        <is>
          <t>원텍스</t>
        </is>
      </c>
      <c r="E132" s="4" t="inlineStr">
        <is>
          <t>에스티</t>
        </is>
      </c>
      <c r="F132" s="5" t="inlineStr">
        <is>
          <t>blind</t>
        </is>
      </c>
      <c r="G132" s="4" t="inlineStr">
        <is>
          <t>한국윈텍</t>
        </is>
      </c>
      <c r="H132" s="66" t="inlineStr">
        <is>
          <t>ATY 1050D</t>
        </is>
      </c>
      <c r="I132" s="66" t="inlineStr">
        <is>
          <t>W-01</t>
        </is>
      </c>
      <c r="J132" s="66" t="n"/>
      <c r="K132" s="67" t="n"/>
      <c r="L132" s="166" t="n">
        <v>27</v>
      </c>
      <c r="M132" s="167" t="n">
        <v>104</v>
      </c>
      <c r="N132" s="168" t="n"/>
      <c r="O132" s="169" t="n"/>
      <c r="P132" s="170" t="n"/>
      <c r="Q132" s="171" t="n"/>
      <c r="R132" s="172" t="n">
        <v>1000</v>
      </c>
      <c r="S132" s="172">
        <f>M132*R132</f>
        <v/>
      </c>
      <c r="T132" s="173" t="n"/>
      <c r="U132" s="174" t="n"/>
      <c r="V132" s="175" t="n"/>
      <c r="W132" s="176" t="n"/>
      <c r="X132" s="172" t="n"/>
      <c r="Y132" s="22" t="inlineStr">
        <is>
          <t>가공</t>
        </is>
      </c>
      <c r="Z132" s="221">
        <f>W132-S132-Q132</f>
        <v/>
      </c>
    </row>
    <row r="133" ht="16" customHeight="1" s="162">
      <c r="A133" s="206" t="n">
        <v>2602</v>
      </c>
      <c r="B133" s="164" t="n">
        <v>46063</v>
      </c>
      <c r="C133" s="150" t="inlineStr">
        <is>
          <t>하이젠540</t>
        </is>
      </c>
      <c r="D133" s="3" t="inlineStr">
        <is>
          <t>승진섬유</t>
        </is>
      </c>
      <c r="E133" s="4" t="inlineStr">
        <is>
          <t>에프에스</t>
        </is>
      </c>
      <c r="F133" s="5" t="inlineStr">
        <is>
          <t>cleaner</t>
        </is>
      </c>
      <c r="G133" s="4" t="inlineStr">
        <is>
          <t>티에이케이</t>
        </is>
      </c>
      <c r="H133" s="66" t="inlineStr">
        <is>
          <t>NP 150/3합</t>
        </is>
      </c>
      <c r="I133" s="66" t="n"/>
      <c r="J133" s="66" t="n"/>
      <c r="K133" s="67" t="n"/>
      <c r="L133" s="166" t="n">
        <v>3</v>
      </c>
      <c r="M133" s="167" t="n">
        <v>1270.5</v>
      </c>
      <c r="N133" s="168" t="n"/>
      <c r="O133" s="169" t="n"/>
      <c r="P133" s="170" t="n"/>
      <c r="Q133" s="171" t="n"/>
      <c r="R133" s="172" t="n">
        <v>1000</v>
      </c>
      <c r="S133" s="172">
        <f>M133*R133</f>
        <v/>
      </c>
      <c r="T133" s="173" t="n"/>
      <c r="U133" s="174" t="n"/>
      <c r="V133" s="175" t="n"/>
      <c r="W133" s="176" t="n"/>
      <c r="X133" s="172" t="n"/>
      <c r="Y133" s="22" t="inlineStr">
        <is>
          <t>연사</t>
        </is>
      </c>
      <c r="Z133" s="221">
        <f>W133-S133-Q133</f>
        <v/>
      </c>
    </row>
    <row r="134" ht="16" customHeight="1" s="162">
      <c r="A134" s="206" t="n">
        <v>2602</v>
      </c>
      <c r="B134" s="164" t="n">
        <v>46057</v>
      </c>
      <c r="C134" s="150" t="inlineStr">
        <is>
          <t>하이젠540</t>
        </is>
      </c>
      <c r="D134" s="3" t="inlineStr">
        <is>
          <t>승진섬유</t>
        </is>
      </c>
      <c r="E134" s="4" t="inlineStr">
        <is>
          <t>에프에스</t>
        </is>
      </c>
      <c r="F134" s="5" t="inlineStr">
        <is>
          <t>cleaner</t>
        </is>
      </c>
      <c r="G134" s="4" t="inlineStr">
        <is>
          <t>티에이케이</t>
        </is>
      </c>
      <c r="H134" s="66" t="inlineStr">
        <is>
          <t>P150/3합</t>
        </is>
      </c>
      <c r="I134" s="66" t="n"/>
      <c r="J134" s="66" t="n"/>
      <c r="K134" s="67" t="n"/>
      <c r="L134" s="166" t="n">
        <v>2</v>
      </c>
      <c r="M134" s="167" t="n">
        <v>853.6</v>
      </c>
      <c r="N134" s="168" t="n"/>
      <c r="O134" s="169" t="n"/>
      <c r="P134" s="170" t="n"/>
      <c r="Q134" s="171" t="n"/>
      <c r="R134" s="172" t="n">
        <v>1000</v>
      </c>
      <c r="S134" s="172">
        <f>M134*R134</f>
        <v/>
      </c>
      <c r="T134" s="173" t="n"/>
      <c r="U134" s="174" t="n"/>
      <c r="V134" s="175" t="n"/>
      <c r="W134" s="176" t="n"/>
      <c r="X134" s="172" t="n"/>
      <c r="Y134" s="22" t="inlineStr">
        <is>
          <t>연사</t>
        </is>
      </c>
      <c r="Z134" s="221">
        <f>W134-S134-Q134</f>
        <v/>
      </c>
    </row>
    <row r="135" ht="16" customHeight="1" s="162">
      <c r="A135" s="206" t="n">
        <v>2602</v>
      </c>
      <c r="B135" s="164" t="n">
        <v>46057</v>
      </c>
      <c r="C135" s="150" t="inlineStr">
        <is>
          <t>하이젠540</t>
        </is>
      </c>
      <c r="D135" s="3" t="inlineStr">
        <is>
          <t>승진섬유</t>
        </is>
      </c>
      <c r="E135" s="4" t="inlineStr">
        <is>
          <t>에프에스</t>
        </is>
      </c>
      <c r="F135" s="5" t="inlineStr">
        <is>
          <t>cleaner</t>
        </is>
      </c>
      <c r="G135" s="4" t="inlineStr">
        <is>
          <t>티에이케이</t>
        </is>
      </c>
      <c r="H135" s="66" t="inlineStr">
        <is>
          <t>PP450D</t>
        </is>
      </c>
      <c r="I135" s="66" t="n"/>
      <c r="J135" s="66" t="n"/>
      <c r="K135" s="67" t="n"/>
      <c r="L135" s="166" t="n">
        <v>1</v>
      </c>
      <c r="M135" s="167" t="n">
        <v>215.1</v>
      </c>
      <c r="N135" s="168" t="n"/>
      <c r="O135" s="169" t="n"/>
      <c r="P135" s="170" t="n"/>
      <c r="Q135" s="171" t="n"/>
      <c r="R135" s="172" t="n">
        <v>1000</v>
      </c>
      <c r="S135" s="172">
        <f>M135*R135</f>
        <v/>
      </c>
      <c r="T135" s="173" t="n"/>
      <c r="U135" s="174" t="n"/>
      <c r="V135" s="175" t="n"/>
      <c r="W135" s="176" t="n"/>
      <c r="X135" s="172" t="n"/>
      <c r="Y135" s="22" t="inlineStr">
        <is>
          <t>연사</t>
        </is>
      </c>
      <c r="Z135" s="221">
        <f>W135-S135-Q135</f>
        <v/>
      </c>
    </row>
    <row r="136" ht="16" customHeight="1" s="162">
      <c r="A136" s="206" t="n">
        <v>2602</v>
      </c>
      <c r="B136" s="164" t="n">
        <v>46056</v>
      </c>
      <c r="C136" s="150" t="inlineStr">
        <is>
          <t>하이젠540</t>
        </is>
      </c>
      <c r="D136" s="3" t="inlineStr">
        <is>
          <t>승진섬유</t>
        </is>
      </c>
      <c r="E136" s="4" t="inlineStr">
        <is>
          <t>에프에스</t>
        </is>
      </c>
      <c r="F136" s="5" t="inlineStr">
        <is>
          <t>cleaner</t>
        </is>
      </c>
      <c r="G136" s="4" t="inlineStr">
        <is>
          <t>티에이케이</t>
        </is>
      </c>
      <c r="H136" s="66" t="inlineStr">
        <is>
          <t>NP150/3합</t>
        </is>
      </c>
      <c r="I136" s="66" t="n"/>
      <c r="J136" s="66" t="n"/>
      <c r="K136" s="67" t="n"/>
      <c r="L136" s="166" t="n">
        <v>1</v>
      </c>
      <c r="M136" s="167" t="n">
        <v>422</v>
      </c>
      <c r="N136" s="168" t="n"/>
      <c r="O136" s="169" t="n"/>
      <c r="P136" s="170" t="n"/>
      <c r="Q136" s="171" t="n"/>
      <c r="R136" s="172" t="n">
        <v>1000</v>
      </c>
      <c r="S136" s="172">
        <f>M136*R136</f>
        <v/>
      </c>
      <c r="T136" s="173" t="n"/>
      <c r="U136" s="174" t="n"/>
      <c r="V136" s="175" t="n"/>
      <c r="W136" s="176" t="n"/>
      <c r="X136" s="172" t="n"/>
      <c r="Y136" s="22" t="inlineStr">
        <is>
          <t>연사</t>
        </is>
      </c>
      <c r="Z136" s="221">
        <f>W136-S136-Q136</f>
        <v/>
      </c>
    </row>
    <row r="137" ht="16" customFormat="1" customHeight="1" s="68">
      <c r="A137" s="206" t="n">
        <v>2602</v>
      </c>
      <c r="B137" s="164" t="n">
        <v>46056</v>
      </c>
      <c r="C137" s="150" t="inlineStr">
        <is>
          <t>하이젠540</t>
        </is>
      </c>
      <c r="D137" s="3" t="inlineStr">
        <is>
          <t>승진섬유</t>
        </is>
      </c>
      <c r="E137" s="4" t="inlineStr">
        <is>
          <t>에프에스</t>
        </is>
      </c>
      <c r="F137" s="5" t="inlineStr">
        <is>
          <t>cleaner</t>
        </is>
      </c>
      <c r="G137" s="4" t="inlineStr">
        <is>
          <t>티에이케이</t>
        </is>
      </c>
      <c r="H137" s="66" t="inlineStr">
        <is>
          <t>PP450D</t>
        </is>
      </c>
      <c r="I137" s="66" t="n"/>
      <c r="J137" s="66" t="n"/>
      <c r="K137" s="67" t="n"/>
      <c r="L137" s="166" t="n">
        <v>1</v>
      </c>
      <c r="M137" s="167" t="n">
        <v>215.3</v>
      </c>
      <c r="N137" s="168" t="n"/>
      <c r="O137" s="169" t="n"/>
      <c r="P137" s="170" t="n"/>
      <c r="Q137" s="171" t="n"/>
      <c r="R137" s="172" t="n">
        <v>1000</v>
      </c>
      <c r="S137" s="172">
        <f>M137*R137</f>
        <v/>
      </c>
      <c r="T137" s="173" t="n"/>
      <c r="U137" s="174" t="n"/>
      <c r="V137" s="175" t="n"/>
      <c r="W137" s="176" t="n"/>
      <c r="X137" s="172" t="n"/>
      <c r="Y137" s="22" t="inlineStr">
        <is>
          <t>연사</t>
        </is>
      </c>
      <c r="Z137" s="221">
        <f>W137-S137-Q137</f>
        <v/>
      </c>
      <c r="AA137" s="0" t="n"/>
      <c r="AB137" s="0" t="n"/>
      <c r="AC137" s="0" t="n"/>
      <c r="AD137" s="0" t="n"/>
      <c r="AE137" s="0" t="n"/>
    </row>
    <row r="138" ht="16" customHeight="1" s="162">
      <c r="A138" s="206" t="n">
        <v>2602</v>
      </c>
      <c r="B138" s="164" t="n">
        <v>46056</v>
      </c>
      <c r="C138" s="150" t="inlineStr">
        <is>
          <t>하이젠540</t>
        </is>
      </c>
      <c r="D138" s="3" t="inlineStr">
        <is>
          <t>승진섬유</t>
        </is>
      </c>
      <c r="E138" s="4" t="inlineStr">
        <is>
          <t>에프에스</t>
        </is>
      </c>
      <c r="F138" s="5" t="inlineStr">
        <is>
          <t>cleaner</t>
        </is>
      </c>
      <c r="G138" s="4" t="inlineStr">
        <is>
          <t>티에이케이</t>
        </is>
      </c>
      <c r="H138" s="66" t="inlineStr">
        <is>
          <t>P150/3합</t>
        </is>
      </c>
      <c r="I138" s="66" t="n"/>
      <c r="J138" s="66" t="n"/>
      <c r="K138" s="67" t="n"/>
      <c r="L138" s="166" t="n">
        <v>1</v>
      </c>
      <c r="M138" s="167" t="n">
        <v>424.8</v>
      </c>
      <c r="N138" s="168" t="n"/>
      <c r="O138" s="169" t="n"/>
      <c r="P138" s="170" t="n"/>
      <c r="Q138" s="171" t="n"/>
      <c r="R138" s="172" t="n">
        <v>1000</v>
      </c>
      <c r="S138" s="172">
        <f>M138*R138</f>
        <v/>
      </c>
      <c r="T138" s="173" t="n"/>
      <c r="U138" s="174" t="n"/>
      <c r="V138" s="175" t="n"/>
      <c r="W138" s="176" t="n"/>
      <c r="X138" s="172" t="n"/>
      <c r="Y138" s="22" t="inlineStr">
        <is>
          <t>연사</t>
        </is>
      </c>
      <c r="Z138" s="221">
        <f>W138-S138-Q138</f>
        <v/>
      </c>
    </row>
    <row r="139" ht="16" customHeight="1" s="162">
      <c r="A139" s="206" t="n">
        <v>2602</v>
      </c>
      <c r="B139" s="164" t="n">
        <v>46055</v>
      </c>
      <c r="C139" s="150" t="inlineStr">
        <is>
          <t>하이젠540</t>
        </is>
      </c>
      <c r="D139" s="3" t="inlineStr">
        <is>
          <t>승진섬유</t>
        </is>
      </c>
      <c r="E139" s="4" t="inlineStr">
        <is>
          <t>에프에스</t>
        </is>
      </c>
      <c r="F139" s="5" t="inlineStr">
        <is>
          <t>cleaner</t>
        </is>
      </c>
      <c r="G139" s="4" t="inlineStr">
        <is>
          <t>티에이케이</t>
        </is>
      </c>
      <c r="H139" s="66" t="inlineStr">
        <is>
          <t>NP 150/3합</t>
        </is>
      </c>
      <c r="I139" s="66" t="n"/>
      <c r="J139" s="66" t="n"/>
      <c r="K139" s="67" t="n"/>
      <c r="L139" s="166" t="n">
        <v>2</v>
      </c>
      <c r="M139" s="167" t="n">
        <v>839.9</v>
      </c>
      <c r="N139" s="168" t="n"/>
      <c r="O139" s="169" t="n"/>
      <c r="P139" s="170" t="n"/>
      <c r="Q139" s="171" t="n"/>
      <c r="R139" s="172" t="n">
        <v>1000</v>
      </c>
      <c r="S139" s="172">
        <f>M139*R139</f>
        <v/>
      </c>
      <c r="T139" s="173" t="n"/>
      <c r="U139" s="174" t="n"/>
      <c r="V139" s="175" t="n"/>
      <c r="W139" s="176" t="n"/>
      <c r="X139" s="172" t="n"/>
      <c r="Y139" s="22" t="inlineStr">
        <is>
          <t>연사</t>
        </is>
      </c>
      <c r="Z139" s="221">
        <f>W139-S139-Q139</f>
        <v/>
      </c>
    </row>
    <row r="140" ht="16" customHeight="1" s="162">
      <c r="A140" s="206" t="n">
        <v>2602</v>
      </c>
      <c r="B140" s="164" t="n">
        <v>46055</v>
      </c>
      <c r="C140" s="150" t="inlineStr">
        <is>
          <t>하이젠540</t>
        </is>
      </c>
      <c r="D140" s="3" t="inlineStr">
        <is>
          <t>승진섬유</t>
        </is>
      </c>
      <c r="E140" s="4" t="inlineStr">
        <is>
          <t>에프에스</t>
        </is>
      </c>
      <c r="F140" s="5" t="inlineStr">
        <is>
          <t>cleaner</t>
        </is>
      </c>
      <c r="G140" s="4" t="inlineStr">
        <is>
          <t>티에이케이</t>
        </is>
      </c>
      <c r="H140" s="66" t="inlineStr">
        <is>
          <t>PP450D</t>
        </is>
      </c>
      <c r="I140" s="66" t="n"/>
      <c r="J140" s="66" t="n"/>
      <c r="K140" s="67" t="n"/>
      <c r="L140" s="166" t="n">
        <v>1</v>
      </c>
      <c r="M140" s="167" t="n">
        <v>217</v>
      </c>
      <c r="N140" s="168" t="n"/>
      <c r="O140" s="169" t="n"/>
      <c r="P140" s="170" t="n"/>
      <c r="Q140" s="171" t="n"/>
      <c r="R140" s="172" t="n">
        <v>1000</v>
      </c>
      <c r="S140" s="172">
        <f>M140*R140</f>
        <v/>
      </c>
      <c r="T140" s="173" t="n"/>
      <c r="U140" s="174" t="n"/>
      <c r="V140" s="175" t="n"/>
      <c r="W140" s="176" t="n"/>
      <c r="X140" s="172" t="n"/>
      <c r="Y140" s="22" t="inlineStr">
        <is>
          <t>연사</t>
        </is>
      </c>
      <c r="Z140" s="221">
        <f>W140-S140-Q140</f>
        <v/>
      </c>
    </row>
    <row r="141" ht="16" customHeight="1" s="162">
      <c r="A141" s="206" t="n">
        <v>2602</v>
      </c>
      <c r="B141" s="164" t="n">
        <v>46073</v>
      </c>
      <c r="C141" s="153" t="inlineStr">
        <is>
          <t>하이젠540</t>
        </is>
      </c>
      <c r="D141" s="3" t="inlineStr">
        <is>
          <t>승진섬유</t>
        </is>
      </c>
      <c r="E141" s="4" t="inlineStr">
        <is>
          <t>에프에스</t>
        </is>
      </c>
      <c r="F141" s="5" t="inlineStr">
        <is>
          <t>cleaner</t>
        </is>
      </c>
      <c r="G141" s="4" t="inlineStr">
        <is>
          <t>티에이케이</t>
        </is>
      </c>
      <c r="H141" s="123" t="inlineStr">
        <is>
          <t>NP150/3합</t>
        </is>
      </c>
      <c r="I141" s="66" t="n"/>
      <c r="J141" s="66" t="n"/>
      <c r="K141" s="67" t="n"/>
      <c r="L141" s="166" t="n"/>
      <c r="M141" s="167" t="n">
        <v>1266.2</v>
      </c>
      <c r="N141" s="168" t="n"/>
      <c r="O141" s="169" t="n"/>
      <c r="P141" s="170" t="n"/>
      <c r="Q141" s="171" t="n"/>
      <c r="R141" s="172" t="n">
        <v>1000</v>
      </c>
      <c r="S141" s="172">
        <f>M141*R141</f>
        <v/>
      </c>
      <c r="T141" s="173" t="n"/>
      <c r="U141" s="174" t="n"/>
      <c r="V141" s="175" t="n"/>
      <c r="W141" s="176" t="n"/>
      <c r="X141" s="172" t="n"/>
      <c r="Y141" s="22" t="inlineStr">
        <is>
          <t>연사</t>
        </is>
      </c>
      <c r="Z141" s="221">
        <f>W141-S141-Q141</f>
        <v/>
      </c>
    </row>
    <row r="142" ht="16" customHeight="1" s="162">
      <c r="A142" s="206" t="n">
        <v>2602</v>
      </c>
      <c r="B142" s="207" t="n">
        <v>46077</v>
      </c>
      <c r="C142" s="149" t="inlineStr">
        <is>
          <t>HPK3042-SJ</t>
        </is>
      </c>
      <c r="D142" s="134" t="inlineStr">
        <is>
          <t>디케이티앤씨</t>
        </is>
      </c>
      <c r="E142" s="72" t="inlineStr">
        <is>
          <t>유진폴리테크</t>
        </is>
      </c>
      <c r="F142" s="73" t="inlineStr">
        <is>
          <t>tape</t>
        </is>
      </c>
      <c r="G142" s="72" t="inlineStr">
        <is>
          <t>유진폴리테크</t>
        </is>
      </c>
      <c r="H142" s="74" t="inlineStr">
        <is>
          <t>HPK342-SJ</t>
        </is>
      </c>
      <c r="I142" s="74" t="inlineStr">
        <is>
          <t>BLACK/CLEAR</t>
        </is>
      </c>
      <c r="J142" s="74" t="n"/>
      <c r="K142" s="75" t="n"/>
      <c r="L142" s="208" t="n"/>
      <c r="M142" s="209" t="n"/>
      <c r="N142" s="210" t="n"/>
      <c r="O142" s="211" t="n">
        <v>1920</v>
      </c>
      <c r="P142" s="212" t="n"/>
      <c r="Q142" s="213" t="n"/>
      <c r="R142" s="215" t="n">
        <v>1850</v>
      </c>
      <c r="S142" s="215">
        <f>O142*R142</f>
        <v/>
      </c>
      <c r="T142" s="216" t="n"/>
      <c r="U142" s="217" t="n"/>
      <c r="V142" s="218" t="n">
        <v>4757</v>
      </c>
      <c r="W142" s="219">
        <f>O142*V142</f>
        <v/>
      </c>
      <c r="X142" s="215" t="n"/>
      <c r="Y142" s="134" t="inlineStr">
        <is>
          <t>가공</t>
        </is>
      </c>
      <c r="Z142" s="221">
        <f>W142-S142-Q142</f>
        <v/>
      </c>
      <c r="AA142" s="68" t="n"/>
      <c r="AB142" s="68" t="n"/>
      <c r="AC142" s="68" t="n"/>
      <c r="AD142" s="68" t="n"/>
      <c r="AE142" s="68" t="n"/>
    </row>
    <row r="143" ht="16" customHeight="1" s="162">
      <c r="A143" s="206" t="n">
        <v>2602</v>
      </c>
      <c r="B143" s="164" t="n">
        <v>46063</v>
      </c>
      <c r="C143" s="150" t="inlineStr">
        <is>
          <t>하이젠540</t>
        </is>
      </c>
      <c r="D143" s="3" t="inlineStr">
        <is>
          <t>동우섬유</t>
        </is>
      </c>
      <c r="E143" s="4" t="inlineStr">
        <is>
          <t>은호섬유</t>
        </is>
      </c>
      <c r="F143" s="5" t="inlineStr">
        <is>
          <t>cleaner</t>
        </is>
      </c>
      <c r="G143" s="4" t="inlineStr">
        <is>
          <t>티에이케이</t>
        </is>
      </c>
      <c r="H143" s="66" t="inlineStr">
        <is>
          <t>하이젠 540</t>
        </is>
      </c>
      <c r="I143" s="66" t="n"/>
      <c r="J143" s="66" t="n"/>
      <c r="K143" s="67" t="n"/>
      <c r="L143" s="166" t="n">
        <v>122</v>
      </c>
      <c r="M143" s="167" t="n">
        <v>2509</v>
      </c>
      <c r="N143" s="168" t="n"/>
      <c r="O143" s="169" t="n"/>
      <c r="P143" s="170" t="n"/>
      <c r="Q143" s="171" t="n"/>
      <c r="R143" s="172" t="n">
        <v>2000</v>
      </c>
      <c r="S143" s="172">
        <f>M143*R143</f>
        <v/>
      </c>
      <c r="T143" s="173" t="n"/>
      <c r="U143" s="174" t="n"/>
      <c r="V143" s="175" t="n"/>
      <c r="W143" s="176" t="n"/>
      <c r="X143" s="172" t="n"/>
      <c r="Y143" s="22" t="inlineStr">
        <is>
          <t>편직</t>
        </is>
      </c>
      <c r="Z143" s="221">
        <f>W143-S143-Q143</f>
        <v/>
      </c>
    </row>
    <row r="144" ht="16" customFormat="1" customHeight="1" s="68">
      <c r="A144" s="206" t="n">
        <v>2602</v>
      </c>
      <c r="B144" s="164" t="n">
        <v>46063</v>
      </c>
      <c r="C144" s="150" t="inlineStr">
        <is>
          <t>하이젠540</t>
        </is>
      </c>
      <c r="D144" s="3" t="inlineStr">
        <is>
          <t>에프에스</t>
        </is>
      </c>
      <c r="E144" s="4" t="inlineStr">
        <is>
          <t>은호섬유</t>
        </is>
      </c>
      <c r="F144" s="5" t="inlineStr">
        <is>
          <t>cleaner</t>
        </is>
      </c>
      <c r="G144" s="4" t="inlineStr">
        <is>
          <t>티에이케이</t>
        </is>
      </c>
      <c r="H144" s="66" t="inlineStr">
        <is>
          <t>ZIG MOP</t>
        </is>
      </c>
      <c r="I144" s="66" t="n"/>
      <c r="J144" s="66" t="n"/>
      <c r="K144" s="67" t="n"/>
      <c r="L144" s="166" t="n">
        <v>58</v>
      </c>
      <c r="M144" s="167" t="n">
        <v>1015</v>
      </c>
      <c r="N144" s="168" t="n"/>
      <c r="O144" s="169" t="n"/>
      <c r="P144" s="170" t="n"/>
      <c r="Q144" s="171" t="n"/>
      <c r="R144" s="172" t="n">
        <v>2000</v>
      </c>
      <c r="S144" s="172">
        <f>M144*R144</f>
        <v/>
      </c>
      <c r="T144" s="173" t="n"/>
      <c r="U144" s="174" t="n"/>
      <c r="V144" s="175" t="n"/>
      <c r="W144" s="176" t="n"/>
      <c r="X144" s="172" t="n"/>
      <c r="Y144" s="22" t="inlineStr">
        <is>
          <t>편직</t>
        </is>
      </c>
      <c r="Z144" s="221">
        <f>W144-S144-Q144</f>
        <v/>
      </c>
      <c r="AA144" s="0" t="n"/>
      <c r="AB144" s="0" t="n"/>
      <c r="AC144" s="0" t="n"/>
      <c r="AD144" s="0" t="n"/>
      <c r="AE144" s="0" t="n"/>
    </row>
    <row r="145" ht="16" customFormat="1" customHeight="1" s="68">
      <c r="A145" s="206" t="n">
        <v>2602</v>
      </c>
      <c r="B145" s="164" t="n">
        <v>46072</v>
      </c>
      <c r="C145" s="150" t="inlineStr">
        <is>
          <t>하이젠540</t>
        </is>
      </c>
      <c r="D145" s="3" t="inlineStr">
        <is>
          <t>에프에스</t>
        </is>
      </c>
      <c r="E145" s="4" t="inlineStr">
        <is>
          <t>은호섬유</t>
        </is>
      </c>
      <c r="F145" s="5" t="inlineStr">
        <is>
          <t>cleaner</t>
        </is>
      </c>
      <c r="G145" s="4" t="inlineStr">
        <is>
          <t>티에이케이</t>
        </is>
      </c>
      <c r="H145" s="66" t="inlineStr">
        <is>
          <t>하이젠 540</t>
        </is>
      </c>
      <c r="I145" s="66" t="n"/>
      <c r="J145" s="66" t="n"/>
      <c r="K145" s="67" t="n"/>
      <c r="L145" s="166" t="n">
        <v>168</v>
      </c>
      <c r="M145" s="167" t="n">
        <v>2940</v>
      </c>
      <c r="N145" s="168" t="n"/>
      <c r="O145" s="169" t="n"/>
      <c r="P145" s="170" t="n"/>
      <c r="Q145" s="171" t="n"/>
      <c r="R145" s="172" t="n">
        <v>2000</v>
      </c>
      <c r="S145" s="172">
        <f>M145*R145</f>
        <v/>
      </c>
      <c r="T145" s="173" t="n"/>
      <c r="U145" s="174" t="n"/>
      <c r="V145" s="175" t="n"/>
      <c r="W145" s="176" t="n"/>
      <c r="X145" s="172" t="n"/>
      <c r="Y145" s="22" t="inlineStr">
        <is>
          <t>편직</t>
        </is>
      </c>
      <c r="Z145" s="221">
        <f>W145-S145-Q145</f>
        <v/>
      </c>
      <c r="AA145" s="0" t="n"/>
      <c r="AB145" s="0" t="n"/>
      <c r="AC145" s="0" t="n"/>
      <c r="AD145" s="0" t="n"/>
      <c r="AE145" s="0" t="n"/>
    </row>
    <row r="146" ht="16" customFormat="1" customHeight="1" s="68">
      <c r="A146" s="206" t="n">
        <v>2602</v>
      </c>
      <c r="B146" s="164" t="n">
        <v>46077</v>
      </c>
      <c r="C146" s="153" t="inlineStr">
        <is>
          <t>sofa</t>
        </is>
      </c>
      <c r="D146" s="3" t="inlineStr">
        <is>
          <t>희현</t>
        </is>
      </c>
      <c r="E146" s="4" t="inlineStr">
        <is>
          <t>은호섬유</t>
        </is>
      </c>
      <c r="F146" s="5" t="inlineStr">
        <is>
          <t>cleaner</t>
        </is>
      </c>
      <c r="G146" s="4" t="inlineStr">
        <is>
          <t>오아시스</t>
        </is>
      </c>
      <c r="H146" s="123" t="inlineStr">
        <is>
          <t>DTY 75/144</t>
        </is>
      </c>
      <c r="I146" s="66" t="n"/>
      <c r="J146" s="66" t="n"/>
      <c r="K146" s="67" t="n"/>
      <c r="L146" s="166" t="n">
        <v>9</v>
      </c>
      <c r="M146" s="167" t="n">
        <v>180.5</v>
      </c>
      <c r="N146" s="168" t="n"/>
      <c r="O146" s="169" t="n"/>
      <c r="P146" s="170" t="n"/>
      <c r="Q146" s="171" t="n"/>
      <c r="R146" s="172" t="n">
        <v>3700</v>
      </c>
      <c r="S146" s="172">
        <f>M146*R146</f>
        <v/>
      </c>
      <c r="T146" s="173" t="n"/>
      <c r="U146" s="174" t="n"/>
      <c r="V146" s="175" t="n"/>
      <c r="W146" s="176" t="n"/>
      <c r="X146" s="172" t="n"/>
      <c r="Y146" s="22" t="inlineStr">
        <is>
          <t>원료</t>
        </is>
      </c>
      <c r="Z146" s="221">
        <f>W146-S146-Q146</f>
        <v/>
      </c>
      <c r="AA146" s="0" t="n"/>
      <c r="AB146" s="0" t="n"/>
      <c r="AC146" s="0" t="n"/>
      <c r="AD146" s="0" t="n"/>
      <c r="AE146" s="0" t="n"/>
    </row>
    <row r="147" ht="16" customFormat="1" customHeight="1" s="68">
      <c r="A147" s="206" t="n">
        <v>2602</v>
      </c>
      <c r="B147" s="207" t="n">
        <v>46067</v>
      </c>
      <c r="C147" s="149" t="inlineStr">
        <is>
          <t xml:space="preserve">recycle 30심지 </t>
        </is>
      </c>
      <c r="D147" s="71" t="inlineStr">
        <is>
          <t>미래심지</t>
        </is>
      </c>
      <c r="E147" s="72" t="inlineStr">
        <is>
          <t>이스토리아(에스제이인터내셔널)</t>
        </is>
      </c>
      <c r="F147" s="73" t="inlineStr">
        <is>
          <t>back</t>
        </is>
      </c>
      <c r="G147" s="72" t="inlineStr">
        <is>
          <t>이스토리아</t>
        </is>
      </c>
      <c r="H147" s="74" t="inlineStr">
        <is>
          <t>RECYCLE P30D WOVEN</t>
        </is>
      </c>
      <c r="I147" s="74" t="inlineStr">
        <is>
          <t>GREY 1</t>
        </is>
      </c>
      <c r="J147" s="74" t="n"/>
      <c r="K147" s="75" t="n"/>
      <c r="L147" s="208" t="n"/>
      <c r="M147" s="209" t="n"/>
      <c r="N147" s="210" t="n">
        <v>14061</v>
      </c>
      <c r="O147" s="211" t="n"/>
      <c r="P147" s="212" t="n"/>
      <c r="Q147" s="213" t="n"/>
      <c r="R147" s="215" t="n">
        <v>920</v>
      </c>
      <c r="S147" s="215">
        <f>N147*R147</f>
        <v/>
      </c>
      <c r="T147" s="216" t="n"/>
      <c r="U147" s="217" t="n"/>
      <c r="V147" s="218" t="n">
        <v>1400</v>
      </c>
      <c r="W147" s="219">
        <f>N147*V147</f>
        <v/>
      </c>
      <c r="X147" s="215" t="n"/>
      <c r="Y147" s="134" t="inlineStr">
        <is>
          <t>상품</t>
        </is>
      </c>
      <c r="Z147" s="221">
        <f>W147-S147-Q147</f>
        <v/>
      </c>
    </row>
    <row r="148" ht="16" customHeight="1" s="162">
      <c r="A148" s="206" t="n">
        <v>2602</v>
      </c>
      <c r="B148" s="207" t="n">
        <v>46050</v>
      </c>
      <c r="C148" s="149" t="inlineStr">
        <is>
          <t>q851</t>
        </is>
      </c>
      <c r="D148" s="71" t="inlineStr">
        <is>
          <t>은호섬유</t>
        </is>
      </c>
      <c r="E148" s="72" t="inlineStr">
        <is>
          <t>티에이케이</t>
        </is>
      </c>
      <c r="F148" s="73" t="inlineStr">
        <is>
          <t>cleaner</t>
        </is>
      </c>
      <c r="G148" s="72" t="inlineStr">
        <is>
          <t>티에이케이</t>
        </is>
      </c>
      <c r="H148" s="74" t="inlineStr">
        <is>
          <t>Q851</t>
        </is>
      </c>
      <c r="I148" s="74" t="inlineStr">
        <is>
          <t>GREEN</t>
        </is>
      </c>
      <c r="J148" s="74" t="n"/>
      <c r="K148" s="85" t="inlineStr">
        <is>
          <t>012</t>
        </is>
      </c>
      <c r="L148" s="208" t="n">
        <v>20</v>
      </c>
      <c r="M148" s="209" t="n">
        <v>342.2</v>
      </c>
      <c r="N148" s="210" t="n"/>
      <c r="O148" s="211" t="n">
        <v>623</v>
      </c>
      <c r="P148" s="212" t="n"/>
      <c r="Q148" s="213" t="n"/>
      <c r="R148" s="215" t="inlineStr">
        <is>
          <t>1월 정산</t>
        </is>
      </c>
      <c r="S148" s="215" t="n">
        <v>0</v>
      </c>
      <c r="T148" s="253">
        <f>N148*S148</f>
        <v/>
      </c>
      <c r="U148" s="253">
        <f>O148*T148</f>
        <v/>
      </c>
      <c r="V148" s="218" t="n">
        <v>5750</v>
      </c>
      <c r="W148" s="219">
        <f>O148*V148</f>
        <v/>
      </c>
      <c r="X148" s="215" t="n"/>
      <c r="Y148" s="134" t="inlineStr">
        <is>
          <t>염색</t>
        </is>
      </c>
      <c r="Z148" s="221">
        <f>W148-S148-Q148</f>
        <v/>
      </c>
      <c r="AA148" s="221" t="n"/>
      <c r="AB148" s="221" t="n"/>
      <c r="AC148" s="221" t="n"/>
      <c r="AD148" s="221" t="n"/>
      <c r="AE148" s="221" t="n"/>
    </row>
    <row r="149" ht="16" customHeight="1" s="162">
      <c r="A149" s="206" t="n">
        <v>2602</v>
      </c>
      <c r="B149" s="207" t="n">
        <v>46050</v>
      </c>
      <c r="C149" s="149" t="inlineStr">
        <is>
          <t>q851</t>
        </is>
      </c>
      <c r="D149" s="71" t="inlineStr">
        <is>
          <t>은호섬유</t>
        </is>
      </c>
      <c r="E149" s="72" t="inlineStr">
        <is>
          <t>티에이케이</t>
        </is>
      </c>
      <c r="F149" s="73" t="inlineStr">
        <is>
          <t>cleaner</t>
        </is>
      </c>
      <c r="G149" s="72" t="inlineStr">
        <is>
          <t>티에이케이</t>
        </is>
      </c>
      <c r="H149" s="74" t="inlineStr">
        <is>
          <t>Q851</t>
        </is>
      </c>
      <c r="I149" s="74" t="inlineStr">
        <is>
          <t>GREEN</t>
        </is>
      </c>
      <c r="J149" s="74" t="n"/>
      <c r="K149" s="85" t="inlineStr">
        <is>
          <t>013</t>
        </is>
      </c>
      <c r="L149" s="208" t="n">
        <v>20</v>
      </c>
      <c r="M149" s="209" t="n">
        <v>314.9</v>
      </c>
      <c r="N149" s="210" t="n"/>
      <c r="O149" s="211" t="n">
        <v>637</v>
      </c>
      <c r="P149" s="212" t="n"/>
      <c r="Q149" s="213" t="n"/>
      <c r="R149" s="215" t="inlineStr">
        <is>
          <t>1월 정산</t>
        </is>
      </c>
      <c r="S149" s="215" t="n">
        <v>0</v>
      </c>
      <c r="T149" s="216" t="n"/>
      <c r="U149" s="217" t="n"/>
      <c r="V149" s="218" t="n">
        <v>5750</v>
      </c>
      <c r="W149" s="219">
        <f>O149*V149</f>
        <v/>
      </c>
      <c r="X149" s="215" t="n"/>
      <c r="Y149" s="134" t="inlineStr">
        <is>
          <t>염색</t>
        </is>
      </c>
      <c r="Z149" s="221">
        <f>W149-S149-Q149</f>
        <v/>
      </c>
      <c r="AA149" s="68" t="n"/>
      <c r="AB149" s="68" t="n"/>
      <c r="AC149" s="68" t="n"/>
      <c r="AD149" s="68" t="n"/>
      <c r="AE149" s="68" t="n"/>
    </row>
    <row r="150" ht="16" customHeight="1" s="162">
      <c r="A150" s="206" t="n">
        <v>2602</v>
      </c>
      <c r="B150" s="207" t="n">
        <v>46063</v>
      </c>
      <c r="C150" s="149" t="inlineStr">
        <is>
          <t>하이젠540</t>
        </is>
      </c>
      <c r="D150" s="71" t="inlineStr">
        <is>
          <t>은호섬유</t>
        </is>
      </c>
      <c r="E150" s="72" t="inlineStr">
        <is>
          <t>티에이케이</t>
        </is>
      </c>
      <c r="F150" s="73" t="inlineStr">
        <is>
          <t>cleaner</t>
        </is>
      </c>
      <c r="G150" s="72" t="inlineStr">
        <is>
          <t>티에이케이</t>
        </is>
      </c>
      <c r="H150" s="74" t="inlineStr">
        <is>
          <t>HYGEN TWIST 540</t>
        </is>
      </c>
      <c r="I150" s="74" t="inlineStr">
        <is>
          <t>BLUE</t>
        </is>
      </c>
      <c r="J150" s="74" t="n"/>
      <c r="K150" s="85" t="inlineStr">
        <is>
          <t>014</t>
        </is>
      </c>
      <c r="L150" s="208" t="n">
        <v>32</v>
      </c>
      <c r="M150" s="209" t="n">
        <v>448</v>
      </c>
      <c r="N150" s="210" t="n"/>
      <c r="O150" s="211" t="n">
        <v>715</v>
      </c>
      <c r="P150" s="212" t="n"/>
      <c r="Q150" s="213" t="n"/>
      <c r="R150" s="215" t="n">
        <v>2500</v>
      </c>
      <c r="S150" s="215">
        <f>M150*R150</f>
        <v/>
      </c>
      <c r="T150" s="216" t="n"/>
      <c r="U150" s="217" t="n"/>
      <c r="V150" s="218" t="n">
        <v>6566</v>
      </c>
      <c r="W150" s="219">
        <f>O150*V150</f>
        <v/>
      </c>
      <c r="X150" s="215" t="n"/>
      <c r="Y150" s="134" t="inlineStr">
        <is>
          <t>염색</t>
        </is>
      </c>
      <c r="Z150" s="221">
        <f>W150-S150-Q150</f>
        <v/>
      </c>
      <c r="AA150" s="68" t="n"/>
      <c r="AB150" s="68" t="n"/>
      <c r="AC150" s="68" t="n"/>
      <c r="AD150" s="68" t="n"/>
      <c r="AE150" s="68" t="n"/>
    </row>
    <row r="151" ht="16" customHeight="1" s="162">
      <c r="A151" s="206" t="n">
        <v>2602</v>
      </c>
      <c r="B151" s="207" t="n">
        <v>46063</v>
      </c>
      <c r="C151" s="149" t="inlineStr">
        <is>
          <t>하이젠540</t>
        </is>
      </c>
      <c r="D151" s="71" t="inlineStr">
        <is>
          <t>은호섬유</t>
        </is>
      </c>
      <c r="E151" s="72" t="inlineStr">
        <is>
          <t>티에이케이</t>
        </is>
      </c>
      <c r="F151" s="73" t="inlineStr">
        <is>
          <t>cleaner</t>
        </is>
      </c>
      <c r="G151" s="72" t="inlineStr">
        <is>
          <t>티에이케이</t>
        </is>
      </c>
      <c r="H151" s="74" t="inlineStr">
        <is>
          <t>HYGEN TWIST 540</t>
        </is>
      </c>
      <c r="I151" s="74" t="inlineStr">
        <is>
          <t>BLUE</t>
        </is>
      </c>
      <c r="J151" s="74" t="n"/>
      <c r="K151" s="85" t="inlineStr">
        <is>
          <t>015</t>
        </is>
      </c>
      <c r="L151" s="208" t="n">
        <v>32</v>
      </c>
      <c r="M151" s="209" t="n">
        <v>463.3</v>
      </c>
      <c r="N151" s="210" t="n"/>
      <c r="O151" s="211" t="n">
        <v>725</v>
      </c>
      <c r="P151" s="212" t="n"/>
      <c r="Q151" s="213" t="n"/>
      <c r="R151" s="215" t="n">
        <v>2500</v>
      </c>
      <c r="S151" s="215">
        <f>M151*R151</f>
        <v/>
      </c>
      <c r="T151" s="216" t="n"/>
      <c r="U151" s="217" t="n"/>
      <c r="V151" s="218" t="n">
        <v>6566</v>
      </c>
      <c r="W151" s="219">
        <f>O151*V151</f>
        <v/>
      </c>
      <c r="X151" s="215" t="n"/>
      <c r="Y151" s="134" t="inlineStr">
        <is>
          <t>염색</t>
        </is>
      </c>
      <c r="Z151" s="221">
        <f>W151-S151-Q151</f>
        <v/>
      </c>
      <c r="AA151" s="68" t="n"/>
      <c r="AB151" s="68" t="n"/>
      <c r="AC151" s="68" t="n"/>
      <c r="AD151" s="68" t="n"/>
      <c r="AE151" s="68" t="n"/>
    </row>
    <row r="152" ht="16" customHeight="1" s="162">
      <c r="A152" s="206" t="n">
        <v>2602</v>
      </c>
      <c r="B152" s="207" t="n">
        <v>46063</v>
      </c>
      <c r="C152" s="149" t="inlineStr">
        <is>
          <t>하이젠540</t>
        </is>
      </c>
      <c r="D152" s="71" t="inlineStr">
        <is>
          <t>은호섬유</t>
        </is>
      </c>
      <c r="E152" s="72" t="inlineStr">
        <is>
          <t>티에이케이</t>
        </is>
      </c>
      <c r="F152" s="73" t="inlineStr">
        <is>
          <t>cleaner</t>
        </is>
      </c>
      <c r="G152" s="72" t="inlineStr">
        <is>
          <t>티에이케이</t>
        </is>
      </c>
      <c r="H152" s="74" t="inlineStr">
        <is>
          <t>HYGEN TWIST 540</t>
        </is>
      </c>
      <c r="I152" s="74" t="inlineStr">
        <is>
          <t>BLUE</t>
        </is>
      </c>
      <c r="J152" s="74" t="n"/>
      <c r="K152" s="85" t="inlineStr">
        <is>
          <t>010</t>
        </is>
      </c>
      <c r="L152" s="208" t="n">
        <v>24</v>
      </c>
      <c r="M152" s="209" t="n">
        <v>452.7</v>
      </c>
      <c r="N152" s="210" t="n"/>
      <c r="O152" s="211" t="n">
        <v>693</v>
      </c>
      <c r="P152" s="212" t="n"/>
      <c r="Q152" s="213" t="n"/>
      <c r="R152" s="215" t="n">
        <v>2500</v>
      </c>
      <c r="S152" s="215">
        <f>M152*R152</f>
        <v/>
      </c>
      <c r="T152" s="216" t="n"/>
      <c r="U152" s="217" t="n"/>
      <c r="V152" s="218" t="n">
        <v>6566</v>
      </c>
      <c r="W152" s="219">
        <f>O152*V152</f>
        <v/>
      </c>
      <c r="X152" s="215" t="n"/>
      <c r="Y152" s="134" t="inlineStr">
        <is>
          <t>염색</t>
        </is>
      </c>
      <c r="Z152" s="221">
        <f>W152-S152-Q152</f>
        <v/>
      </c>
      <c r="AA152" s="68" t="n"/>
      <c r="AB152" s="68" t="n"/>
      <c r="AC152" s="68" t="n"/>
      <c r="AD152" s="68" t="n"/>
      <c r="AE152" s="68" t="n"/>
    </row>
    <row r="153" ht="16" customHeight="1" s="162">
      <c r="A153" s="206" t="n">
        <v>2602</v>
      </c>
      <c r="B153" s="207" t="n">
        <v>46063</v>
      </c>
      <c r="C153" s="149" t="inlineStr">
        <is>
          <t>하이젠540</t>
        </is>
      </c>
      <c r="D153" s="71" t="inlineStr">
        <is>
          <t>은호섬유</t>
        </is>
      </c>
      <c r="E153" s="72" t="inlineStr">
        <is>
          <t>티에이케이</t>
        </is>
      </c>
      <c r="F153" s="73" t="inlineStr">
        <is>
          <t>cleaner</t>
        </is>
      </c>
      <c r="G153" s="72" t="inlineStr">
        <is>
          <t>티에이케이</t>
        </is>
      </c>
      <c r="H153" s="74" t="inlineStr">
        <is>
          <t>HYGEN TWIST 540</t>
        </is>
      </c>
      <c r="I153" s="74" t="inlineStr">
        <is>
          <t>BLUE</t>
        </is>
      </c>
      <c r="J153" s="74" t="n"/>
      <c r="K153" s="85" t="inlineStr">
        <is>
          <t>011</t>
        </is>
      </c>
      <c r="L153" s="208" t="n">
        <v>18</v>
      </c>
      <c r="M153" s="209" t="n">
        <v>347.4</v>
      </c>
      <c r="N153" s="210" t="n"/>
      <c r="O153" s="211" t="n">
        <v>532</v>
      </c>
      <c r="P153" s="212" t="n"/>
      <c r="Q153" s="213" t="n"/>
      <c r="R153" s="215" t="n">
        <v>2500</v>
      </c>
      <c r="S153" s="215">
        <f>M153*R153</f>
        <v/>
      </c>
      <c r="T153" s="216" t="n"/>
      <c r="U153" s="217" t="n"/>
      <c r="V153" s="218" t="n">
        <v>6566</v>
      </c>
      <c r="W153" s="254">
        <f>O153*V153</f>
        <v/>
      </c>
      <c r="X153" s="215" t="n"/>
      <c r="Y153" s="134" t="inlineStr">
        <is>
          <t>염색</t>
        </is>
      </c>
      <c r="Z153" s="221">
        <f>W153-S153-Q153</f>
        <v/>
      </c>
      <c r="AA153" s="68" t="n"/>
      <c r="AB153" s="68" t="n"/>
      <c r="AC153" s="68" t="n"/>
      <c r="AD153" s="68" t="n"/>
      <c r="AE153" s="68" t="n"/>
    </row>
    <row r="154" ht="16" customHeight="1" s="162">
      <c r="A154" s="206" t="n">
        <v>2602</v>
      </c>
      <c r="B154" s="207" t="n">
        <v>46063</v>
      </c>
      <c r="C154" s="149" t="inlineStr">
        <is>
          <t>하이젠540</t>
        </is>
      </c>
      <c r="D154" s="71" t="inlineStr">
        <is>
          <t>은호섬유</t>
        </is>
      </c>
      <c r="E154" s="72" t="inlineStr">
        <is>
          <t>티에이케이</t>
        </is>
      </c>
      <c r="F154" s="73" t="inlineStr">
        <is>
          <t>cleaner</t>
        </is>
      </c>
      <c r="G154" s="72" t="inlineStr">
        <is>
          <t>티에이케이</t>
        </is>
      </c>
      <c r="H154" s="74" t="inlineStr">
        <is>
          <t>HYGEN TWIST 540</t>
        </is>
      </c>
      <c r="I154" s="74" t="inlineStr">
        <is>
          <t>BLUE</t>
        </is>
      </c>
      <c r="J154" s="74" t="n"/>
      <c r="K154" s="85" t="inlineStr">
        <is>
          <t>012</t>
        </is>
      </c>
      <c r="L154" s="208" t="n">
        <v>6</v>
      </c>
      <c r="M154" s="209" t="n">
        <v>108.3</v>
      </c>
      <c r="N154" s="210" t="n"/>
      <c r="O154" s="211" t="n">
        <v>169</v>
      </c>
      <c r="P154" s="212" t="n"/>
      <c r="Q154" s="213" t="n"/>
      <c r="R154" s="215" t="n">
        <v>2500</v>
      </c>
      <c r="S154" s="215">
        <f>M154*R154</f>
        <v/>
      </c>
      <c r="T154" s="216" t="n"/>
      <c r="U154" s="217" t="n"/>
      <c r="V154" s="218" t="n">
        <v>6566</v>
      </c>
      <c r="W154" s="254">
        <f>O154*V154</f>
        <v/>
      </c>
      <c r="X154" s="215" t="n"/>
      <c r="Y154" s="134" t="inlineStr">
        <is>
          <t>염색</t>
        </is>
      </c>
      <c r="Z154" s="221">
        <f>W154-S154-Q154</f>
        <v/>
      </c>
      <c r="AA154" s="68" t="n"/>
      <c r="AB154" s="68" t="n"/>
      <c r="AC154" s="68" t="n"/>
      <c r="AD154" s="68" t="n"/>
      <c r="AE154" s="68" t="n"/>
    </row>
    <row r="155" ht="16" customHeight="1" s="162">
      <c r="A155" s="206" t="n">
        <v>2602</v>
      </c>
      <c r="B155" s="207" t="n">
        <v>46063</v>
      </c>
      <c r="C155" s="149" t="inlineStr">
        <is>
          <t>하이젠540</t>
        </is>
      </c>
      <c r="D155" s="71" t="inlineStr">
        <is>
          <t>은호섬유</t>
        </is>
      </c>
      <c r="E155" s="72" t="inlineStr">
        <is>
          <t>티에이케이</t>
        </is>
      </c>
      <c r="F155" s="73" t="inlineStr">
        <is>
          <t>cleaner</t>
        </is>
      </c>
      <c r="G155" s="72" t="inlineStr">
        <is>
          <t>티에이케이</t>
        </is>
      </c>
      <c r="H155" s="74" t="inlineStr">
        <is>
          <t>HYGEN TWIST 540</t>
        </is>
      </c>
      <c r="I155" s="74" t="inlineStr">
        <is>
          <t>BLUE</t>
        </is>
      </c>
      <c r="J155" s="74" t="n"/>
      <c r="K155" s="85" t="inlineStr">
        <is>
          <t>013</t>
        </is>
      </c>
      <c r="L155" s="208" t="n">
        <v>30</v>
      </c>
      <c r="M155" s="209" t="n">
        <v>556.5</v>
      </c>
      <c r="N155" s="210" t="n"/>
      <c r="O155" s="211" t="n">
        <v>869</v>
      </c>
      <c r="P155" s="212" t="n"/>
      <c r="Q155" s="213" t="n"/>
      <c r="R155" s="215" t="n">
        <v>2500</v>
      </c>
      <c r="S155" s="215">
        <f>M155*R155</f>
        <v/>
      </c>
      <c r="T155" s="216" t="n"/>
      <c r="U155" s="217" t="n"/>
      <c r="V155" s="218" t="n">
        <v>6566</v>
      </c>
      <c r="W155" s="219">
        <f>O155*V155</f>
        <v/>
      </c>
      <c r="X155" s="215" t="n"/>
      <c r="Y155" s="134" t="inlineStr">
        <is>
          <t>염색</t>
        </is>
      </c>
      <c r="Z155" s="221">
        <f>W155-S155-Q155</f>
        <v/>
      </c>
      <c r="AA155" s="68" t="n"/>
      <c r="AB155" s="68" t="n"/>
      <c r="AC155" s="68" t="n"/>
      <c r="AD155" s="68" t="n"/>
      <c r="AE155" s="68" t="n"/>
    </row>
    <row r="156" ht="16" customHeight="1" s="162">
      <c r="A156" s="206" t="n">
        <v>2602</v>
      </c>
      <c r="B156" s="207" t="n">
        <v>46063</v>
      </c>
      <c r="C156" s="149" t="inlineStr">
        <is>
          <t>하이젠540</t>
        </is>
      </c>
      <c r="D156" s="71" t="inlineStr">
        <is>
          <t>은호섬유</t>
        </is>
      </c>
      <c r="E156" s="72" t="inlineStr">
        <is>
          <t>티에이케이</t>
        </is>
      </c>
      <c r="F156" s="73" t="inlineStr">
        <is>
          <t>cleaner</t>
        </is>
      </c>
      <c r="G156" s="72" t="inlineStr">
        <is>
          <t>티에이케이</t>
        </is>
      </c>
      <c r="H156" s="74" t="inlineStr">
        <is>
          <t>HYGEN TWIST 540</t>
        </is>
      </c>
      <c r="I156" s="74" t="inlineStr">
        <is>
          <t>BLUE</t>
        </is>
      </c>
      <c r="J156" s="74" t="n"/>
      <c r="K156" s="85" t="inlineStr">
        <is>
          <t>014</t>
        </is>
      </c>
      <c r="L156" s="208" t="n">
        <v>30</v>
      </c>
      <c r="M156" s="209" t="n">
        <v>550.6</v>
      </c>
      <c r="N156" s="210" t="n"/>
      <c r="O156" s="211" t="n">
        <v>858</v>
      </c>
      <c r="P156" s="212" t="n"/>
      <c r="Q156" s="213" t="n"/>
      <c r="R156" s="215" t="n">
        <v>2500</v>
      </c>
      <c r="S156" s="215">
        <f>M156*R156</f>
        <v/>
      </c>
      <c r="T156" s="216" t="n"/>
      <c r="U156" s="217" t="n"/>
      <c r="V156" s="218" t="n">
        <v>6566</v>
      </c>
      <c r="W156" s="219">
        <f>O156*V156</f>
        <v/>
      </c>
      <c r="X156" s="215" t="n"/>
      <c r="Y156" s="134" t="inlineStr">
        <is>
          <t>염색</t>
        </is>
      </c>
      <c r="Z156" s="221">
        <f>W156-S156-Q156</f>
        <v/>
      </c>
      <c r="AA156" s="68" t="n"/>
      <c r="AB156" s="68" t="n"/>
      <c r="AC156" s="68" t="n"/>
      <c r="AD156" s="68" t="n"/>
      <c r="AE156" s="68" t="n"/>
    </row>
    <row r="157" ht="16" customHeight="1" s="162">
      <c r="A157" s="206" t="n">
        <v>2602</v>
      </c>
      <c r="B157" s="207" t="n">
        <v>46063</v>
      </c>
      <c r="C157" s="149" t="inlineStr">
        <is>
          <t>하이젠540</t>
        </is>
      </c>
      <c r="D157" s="71" t="inlineStr">
        <is>
          <t>은호섬유</t>
        </is>
      </c>
      <c r="E157" s="72" t="inlineStr">
        <is>
          <t>티에이케이</t>
        </is>
      </c>
      <c r="F157" s="73" t="inlineStr">
        <is>
          <t>cleaner</t>
        </is>
      </c>
      <c r="G157" s="72" t="inlineStr">
        <is>
          <t>티에이케이</t>
        </is>
      </c>
      <c r="H157" s="74" t="inlineStr">
        <is>
          <t>HYGEN TWIST 540</t>
        </is>
      </c>
      <c r="I157" s="74" t="inlineStr">
        <is>
          <t>BLUE</t>
        </is>
      </c>
      <c r="J157" s="74" t="n"/>
      <c r="K157" s="85" t="inlineStr">
        <is>
          <t>015</t>
        </is>
      </c>
      <c r="L157" s="208" t="n">
        <v>20</v>
      </c>
      <c r="M157" s="209" t="n">
        <v>372.9</v>
      </c>
      <c r="N157" s="210" t="n"/>
      <c r="O157" s="211" t="n">
        <v>579</v>
      </c>
      <c r="P157" s="212" t="n"/>
      <c r="Q157" s="213" t="n"/>
      <c r="R157" s="215" t="n">
        <v>2500</v>
      </c>
      <c r="S157" s="215">
        <f>M157*R157</f>
        <v/>
      </c>
      <c r="T157" s="216" t="n"/>
      <c r="U157" s="217" t="n"/>
      <c r="V157" s="218" t="n">
        <v>6566</v>
      </c>
      <c r="W157" s="219">
        <f>O157*V157</f>
        <v/>
      </c>
      <c r="X157" s="215" t="n"/>
      <c r="Y157" s="134" t="inlineStr">
        <is>
          <t>염색</t>
        </is>
      </c>
      <c r="Z157" s="221">
        <f>W157-S157-Q157</f>
        <v/>
      </c>
      <c r="AA157" s="68" t="n"/>
      <c r="AB157" s="68" t="n"/>
      <c r="AC157" s="68" t="n"/>
      <c r="AD157" s="68" t="n"/>
      <c r="AE157" s="68" t="n"/>
    </row>
    <row r="158" ht="16" customFormat="1" customHeight="1" s="68">
      <c r="A158" s="206" t="n">
        <v>2602</v>
      </c>
      <c r="B158" s="207" t="n">
        <v>46063</v>
      </c>
      <c r="C158" s="149" t="inlineStr">
        <is>
          <t>하이젠540</t>
        </is>
      </c>
      <c r="D158" s="122" t="inlineStr">
        <is>
          <t>은호섬유</t>
        </is>
      </c>
      <c r="E158" s="72" t="inlineStr">
        <is>
          <t>티에이케이</t>
        </is>
      </c>
      <c r="F158" s="73" t="inlineStr">
        <is>
          <t>cleaner</t>
        </is>
      </c>
      <c r="G158" s="72" t="inlineStr">
        <is>
          <t>티에이케이</t>
        </is>
      </c>
      <c r="H158" s="74" t="inlineStr">
        <is>
          <t>HYGEN TWIST 540</t>
        </is>
      </c>
      <c r="I158" s="74" t="inlineStr">
        <is>
          <t>BLUE</t>
        </is>
      </c>
      <c r="J158" s="74" t="n"/>
      <c r="K158" s="85" t="inlineStr">
        <is>
          <t>016</t>
        </is>
      </c>
      <c r="L158" s="208" t="n">
        <v>24</v>
      </c>
      <c r="M158" s="209" t="n">
        <v>444.7</v>
      </c>
      <c r="N158" s="210" t="n"/>
      <c r="O158" s="211" t="n">
        <v>688</v>
      </c>
      <c r="P158" s="212" t="n"/>
      <c r="Q158" s="213" t="n"/>
      <c r="R158" s="215" t="n">
        <v>2500</v>
      </c>
      <c r="S158" s="215">
        <f>M158*R158</f>
        <v/>
      </c>
      <c r="T158" s="216" t="n"/>
      <c r="U158" s="217" t="n"/>
      <c r="V158" s="218" t="n">
        <v>6566</v>
      </c>
      <c r="W158" s="219">
        <f>O158*V158</f>
        <v/>
      </c>
      <c r="X158" s="215" t="n"/>
      <c r="Y158" s="134" t="inlineStr">
        <is>
          <t>염색</t>
        </is>
      </c>
      <c r="Z158" s="221">
        <f>W158-S158-Q158</f>
        <v/>
      </c>
    </row>
    <row r="159" ht="16" customHeight="1" s="162">
      <c r="A159" s="206" t="n">
        <v>2602</v>
      </c>
      <c r="B159" s="164" t="n">
        <v>46079</v>
      </c>
      <c r="C159" s="154" t="inlineStr">
        <is>
          <t>30심지</t>
        </is>
      </c>
      <c r="D159" s="3" t="inlineStr">
        <is>
          <t>미래심지</t>
        </is>
      </c>
      <c r="E159" s="4" t="inlineStr">
        <is>
          <t>풍성포장</t>
        </is>
      </c>
      <c r="F159" s="5" t="inlineStr">
        <is>
          <t>back</t>
        </is>
      </c>
      <c r="G159" s="4" t="inlineStr">
        <is>
          <t>아이온인더스트리</t>
        </is>
      </c>
      <c r="H159" s="4" t="inlineStr">
        <is>
          <t>P30D WOVEN</t>
        </is>
      </c>
      <c r="I159" s="66" t="inlineStr">
        <is>
          <t>ICE GREY</t>
        </is>
      </c>
      <c r="J159" s="66" t="n"/>
      <c r="K159" s="67" t="n"/>
      <c r="L159" s="166" t="n">
        <v>12</v>
      </c>
      <c r="M159" s="167" t="n"/>
      <c r="N159" s="168" t="n">
        <v>3309</v>
      </c>
      <c r="O159" s="169" t="n"/>
      <c r="P159" s="170" t="n"/>
      <c r="Q159" s="171" t="n"/>
      <c r="R159" s="172" t="n">
        <v>800</v>
      </c>
      <c r="S159" s="172">
        <f>N159*R159</f>
        <v/>
      </c>
      <c r="T159" s="173" t="n"/>
      <c r="U159" s="174" t="n"/>
      <c r="V159" s="175" t="n"/>
      <c r="W159" s="176" t="n"/>
      <c r="X159" s="172" t="n"/>
      <c r="Y159" s="22" t="inlineStr">
        <is>
          <t>상품</t>
        </is>
      </c>
      <c r="Z159" s="221">
        <f>W159-S159-Q159</f>
        <v/>
      </c>
    </row>
    <row r="160" ht="16" customHeight="1" s="162">
      <c r="A160" s="206" t="n">
        <v>2602</v>
      </c>
      <c r="B160" s="164" t="n">
        <v>46056</v>
      </c>
      <c r="C160" s="155" t="inlineStr">
        <is>
          <t>HPK3042-SJ</t>
        </is>
      </c>
      <c r="D160" s="3" t="inlineStr">
        <is>
          <t>강일섬유</t>
        </is>
      </c>
      <c r="E160" s="4" t="inlineStr">
        <is>
          <t>풍아산업</t>
        </is>
      </c>
      <c r="F160" s="5" t="inlineStr">
        <is>
          <t>tape</t>
        </is>
      </c>
      <c r="G160" s="4" t="inlineStr">
        <is>
          <t>유진폴리테크</t>
        </is>
      </c>
      <c r="H160" s="126" t="inlineStr">
        <is>
          <t>HPK3042-SJ</t>
        </is>
      </c>
      <c r="I160" s="66" t="n"/>
      <c r="J160" s="66" t="n"/>
      <c r="K160" s="67" t="n"/>
      <c r="L160" s="166" t="n">
        <v>6</v>
      </c>
      <c r="M160" s="167" t="n">
        <v>105</v>
      </c>
      <c r="N160" s="168" t="n"/>
      <c r="O160" s="169" t="n"/>
      <c r="P160" s="170" t="n"/>
      <c r="Q160" s="171" t="n"/>
      <c r="R160" s="172" t="n">
        <v>3800</v>
      </c>
      <c r="S160" s="172">
        <f>M160*R160</f>
        <v/>
      </c>
      <c r="T160" s="173" t="n"/>
      <c r="U160" s="174" t="n"/>
      <c r="V160" s="175" t="n"/>
      <c r="W160" s="176" t="n"/>
      <c r="X160" s="172" t="n"/>
      <c r="Y160" s="22" t="inlineStr">
        <is>
          <t>편직</t>
        </is>
      </c>
      <c r="Z160" s="221">
        <f>W160-S160-Q160</f>
        <v/>
      </c>
    </row>
    <row r="161" ht="16" customHeight="1" s="162">
      <c r="A161" s="206" t="n">
        <v>2602</v>
      </c>
      <c r="B161" s="164" t="n">
        <v>46055</v>
      </c>
      <c r="C161" s="155" t="inlineStr">
        <is>
          <t>HPK3042-SJ</t>
        </is>
      </c>
      <c r="D161" s="3" t="inlineStr">
        <is>
          <t>강일섬유</t>
        </is>
      </c>
      <c r="E161" s="4" t="inlineStr">
        <is>
          <t>풍아산업</t>
        </is>
      </c>
      <c r="F161" s="5" t="inlineStr">
        <is>
          <t>tape</t>
        </is>
      </c>
      <c r="G161" s="4" t="inlineStr">
        <is>
          <t>실론</t>
        </is>
      </c>
      <c r="H161" s="126" t="inlineStr">
        <is>
          <t>HPK3042-SJ</t>
        </is>
      </c>
      <c r="I161" s="66" t="n"/>
      <c r="J161" s="66" t="n"/>
      <c r="K161" s="67" t="n"/>
      <c r="L161" s="166" t="n">
        <v>8</v>
      </c>
      <c r="M161" s="167" t="n">
        <v>140</v>
      </c>
      <c r="N161" s="168" t="n"/>
      <c r="O161" s="169" t="n"/>
      <c r="P161" s="170" t="n"/>
      <c r="Q161" s="171" t="n"/>
      <c r="R161" s="172" t="n">
        <v>3800</v>
      </c>
      <c r="S161" s="172">
        <f>M161*R161</f>
        <v/>
      </c>
      <c r="T161" s="173" t="n"/>
      <c r="U161" s="174" t="n"/>
      <c r="V161" s="175" t="n"/>
      <c r="W161" s="176" t="n"/>
      <c r="X161" s="172" t="n"/>
      <c r="Y161" s="22" t="inlineStr">
        <is>
          <t>편직</t>
        </is>
      </c>
      <c r="Z161" s="221">
        <f>W161-S161-Q161</f>
        <v/>
      </c>
    </row>
    <row r="162" ht="16" customHeight="1" s="162">
      <c r="A162" s="206" t="n">
        <v>2602</v>
      </c>
      <c r="B162" s="164" t="n">
        <v>46055</v>
      </c>
      <c r="C162" s="155" t="inlineStr">
        <is>
          <t>HPK3042-SJ</t>
        </is>
      </c>
      <c r="D162" s="3" t="inlineStr">
        <is>
          <t>강일섬유</t>
        </is>
      </c>
      <c r="E162" s="4" t="inlineStr">
        <is>
          <t>풍아산업</t>
        </is>
      </c>
      <c r="F162" s="5" t="inlineStr">
        <is>
          <t>tape</t>
        </is>
      </c>
      <c r="G162" s="4" t="inlineStr">
        <is>
          <t>유진폴리테크</t>
        </is>
      </c>
      <c r="H162" s="126" t="inlineStr">
        <is>
          <t>HPK3042-SJ</t>
        </is>
      </c>
      <c r="I162" s="66" t="n"/>
      <c r="J162" s="66" t="n"/>
      <c r="K162" s="67" t="n"/>
      <c r="L162" s="166" t="n">
        <v>3</v>
      </c>
      <c r="M162" s="167" t="n">
        <v>52.5</v>
      </c>
      <c r="N162" s="168" t="n"/>
      <c r="O162" s="169" t="n"/>
      <c r="P162" s="170" t="n"/>
      <c r="Q162" s="171" t="n"/>
      <c r="R162" s="172" t="n">
        <v>3800</v>
      </c>
      <c r="S162" s="172">
        <f>M162*R162</f>
        <v/>
      </c>
      <c r="T162" s="173" t="n"/>
      <c r="U162" s="174" t="n"/>
      <c r="V162" s="175" t="n"/>
      <c r="W162" s="176" t="n"/>
      <c r="X162" s="172" t="n"/>
      <c r="Y162" s="22" t="inlineStr">
        <is>
          <t>편직</t>
        </is>
      </c>
      <c r="Z162" s="221">
        <f>W162-S162-Q162</f>
        <v/>
      </c>
    </row>
    <row r="163" ht="16" customFormat="1" customHeight="1" s="68">
      <c r="A163" s="206" t="n">
        <v>2602</v>
      </c>
      <c r="B163" s="164" t="n">
        <v>46073</v>
      </c>
      <c r="C163" s="155" t="inlineStr">
        <is>
          <t>HPK3042-SJ</t>
        </is>
      </c>
      <c r="D163" s="3" t="inlineStr">
        <is>
          <t>강일섬유</t>
        </is>
      </c>
      <c r="E163" s="4" t="inlineStr">
        <is>
          <t>풍아산업</t>
        </is>
      </c>
      <c r="F163" s="5" t="inlineStr">
        <is>
          <t>tape</t>
        </is>
      </c>
      <c r="G163" s="4" t="inlineStr">
        <is>
          <t>실론</t>
        </is>
      </c>
      <c r="H163" s="126" t="inlineStr">
        <is>
          <t>HPK3042-SJ</t>
        </is>
      </c>
      <c r="I163" s="66" t="n"/>
      <c r="J163" s="66" t="n"/>
      <c r="K163" s="67" t="n"/>
      <c r="L163" s="166" t="n">
        <v>1</v>
      </c>
      <c r="M163" s="167" t="n">
        <v>17.5</v>
      </c>
      <c r="N163" s="168" t="n"/>
      <c r="O163" s="169" t="n"/>
      <c r="P163" s="170" t="n"/>
      <c r="Q163" s="171" t="n"/>
      <c r="R163" s="172" t="n">
        <v>3800</v>
      </c>
      <c r="S163" s="172">
        <f>M163*R163</f>
        <v/>
      </c>
      <c r="T163" s="173" t="n"/>
      <c r="U163" s="174" t="n"/>
      <c r="V163" s="175" t="n"/>
      <c r="W163" s="176" t="n"/>
      <c r="X163" s="172" t="n"/>
      <c r="Y163" s="22" t="inlineStr">
        <is>
          <t>편직</t>
        </is>
      </c>
      <c r="Z163" s="221">
        <f>W163-S163-Q163</f>
        <v/>
      </c>
      <c r="AA163" s="0" t="n"/>
      <c r="AB163" s="0" t="n"/>
      <c r="AC163" s="0" t="n"/>
      <c r="AD163" s="0" t="n"/>
      <c r="AE163" s="0" t="n"/>
    </row>
    <row r="164" ht="16" customFormat="1" customHeight="1" s="68">
      <c r="A164" s="206" t="n">
        <v>2602</v>
      </c>
      <c r="B164" s="207" t="n">
        <v>46062</v>
      </c>
      <c r="C164" s="156" t="inlineStr">
        <is>
          <t>20ptr</t>
        </is>
      </c>
      <c r="D164" s="71" t="inlineStr">
        <is>
          <t>디케이티앤씨</t>
        </is>
      </c>
      <c r="E164" s="72" t="inlineStr">
        <is>
          <t>하이멜</t>
        </is>
      </c>
      <c r="F164" s="73" t="inlineStr">
        <is>
          <t>tape</t>
        </is>
      </c>
      <c r="G164" s="72" t="inlineStr">
        <is>
          <t>하이멜</t>
        </is>
      </c>
      <c r="H164" s="125" t="inlineStr">
        <is>
          <t>20D PTR-SKIN</t>
        </is>
      </c>
      <c r="I164" s="74" t="inlineStr">
        <is>
          <t>BLACK/WHITE</t>
        </is>
      </c>
      <c r="J164" s="74" t="n"/>
      <c r="K164" s="75" t="n"/>
      <c r="L164" s="208" t="n"/>
      <c r="M164" s="209" t="n"/>
      <c r="N164" s="210" t="n"/>
      <c r="O164" s="211" t="n">
        <v>5714</v>
      </c>
      <c r="P164" s="212" t="n"/>
      <c r="Q164" s="213" t="n"/>
      <c r="R164" s="215" t="n">
        <v>1850</v>
      </c>
      <c r="S164" s="215">
        <f>O164*R164</f>
        <v/>
      </c>
      <c r="T164" s="216" t="n"/>
      <c r="U164" s="217" t="n"/>
      <c r="V164" s="218" t="n">
        <v>3595</v>
      </c>
      <c r="W164" s="219">
        <f>O164*V164</f>
        <v/>
      </c>
      <c r="X164" s="215" t="n"/>
      <c r="Y164" s="134" t="inlineStr">
        <is>
          <t>가공</t>
        </is>
      </c>
      <c r="Z164" s="221">
        <f>W164-S164-Q164</f>
        <v/>
      </c>
    </row>
    <row r="165" ht="16" customFormat="1" customHeight="1" s="68">
      <c r="A165" s="206" t="n">
        <v>2602</v>
      </c>
      <c r="B165" s="207" t="n">
        <v>46078</v>
      </c>
      <c r="C165" s="157" t="inlineStr">
        <is>
          <t xml:space="preserve">뷰티 xo </t>
        </is>
      </c>
      <c r="D165" s="71" t="inlineStr">
        <is>
          <t>에스티</t>
        </is>
      </c>
      <c r="E165" s="72" t="inlineStr">
        <is>
          <t>한국윈텍</t>
        </is>
      </c>
      <c r="F165" s="73" t="inlineStr">
        <is>
          <t>blind</t>
        </is>
      </c>
      <c r="G165" s="72" t="inlineStr">
        <is>
          <t>한국윈텍</t>
        </is>
      </c>
      <c r="H165" s="72" t="inlineStr">
        <is>
          <t>HPV3-XO</t>
        </is>
      </c>
      <c r="I165" s="74" t="n"/>
      <c r="J165" s="74" t="n"/>
      <c r="K165" s="75" t="n"/>
      <c r="L165" s="208" t="n">
        <v>7</v>
      </c>
      <c r="M165" s="209" t="n"/>
      <c r="N165" s="210" t="n"/>
      <c r="O165" s="211" t="n">
        <v>4735</v>
      </c>
      <c r="P165" s="212" t="n"/>
      <c r="Q165" s="213" t="n"/>
      <c r="R165" s="215" t="n">
        <v>1470</v>
      </c>
      <c r="S165" s="215">
        <f>O165*R165</f>
        <v/>
      </c>
      <c r="T165" s="216" t="n"/>
      <c r="U165" s="217" t="n"/>
      <c r="V165" s="218" t="n">
        <v>2450</v>
      </c>
      <c r="W165" s="219">
        <f>O165*V165</f>
        <v/>
      </c>
      <c r="X165" s="215" t="n"/>
      <c r="Y165" s="134" t="inlineStr">
        <is>
          <t>제직</t>
        </is>
      </c>
      <c r="Z165" s="221">
        <f>W165-S165-Q165</f>
        <v/>
      </c>
    </row>
    <row r="166" ht="16" customFormat="1" customHeight="1" s="68">
      <c r="A166" s="206" t="n">
        <v>2602</v>
      </c>
      <c r="B166" s="207" t="n">
        <v>46078</v>
      </c>
      <c r="C166" s="157" t="inlineStr">
        <is>
          <t>테트리스 450</t>
        </is>
      </c>
      <c r="D166" s="71" t="inlineStr">
        <is>
          <t>에스티</t>
        </is>
      </c>
      <c r="E166" s="72" t="inlineStr">
        <is>
          <t>한국윈텍</t>
        </is>
      </c>
      <c r="F166" s="73" t="inlineStr">
        <is>
          <t>blind</t>
        </is>
      </c>
      <c r="G166" s="72" t="inlineStr">
        <is>
          <t>한국윈텍</t>
        </is>
      </c>
      <c r="H166" s="72" t="inlineStr">
        <is>
          <t>HPV3 TETRIS 450</t>
        </is>
      </c>
      <c r="I166" s="74" t="n"/>
      <c r="J166" s="74" t="n"/>
      <c r="K166" s="75" t="n"/>
      <c r="L166" s="208" t="n"/>
      <c r="M166" s="209" t="n"/>
      <c r="N166" s="210" t="n"/>
      <c r="O166" s="211" t="n">
        <v>390</v>
      </c>
      <c r="P166" s="212" t="n"/>
      <c r="Q166" s="213" t="n"/>
      <c r="R166" s="215" t="n">
        <v>1113</v>
      </c>
      <c r="S166" s="215">
        <f>O166*R166</f>
        <v/>
      </c>
      <c r="T166" s="216" t="n"/>
      <c r="U166" s="217" t="n"/>
      <c r="V166" s="218" t="n">
        <v>2200</v>
      </c>
      <c r="W166" s="219">
        <f>O166*V166</f>
        <v/>
      </c>
      <c r="X166" s="215" t="n"/>
      <c r="Y166" s="134" t="inlineStr">
        <is>
          <t>제직</t>
        </is>
      </c>
      <c r="Z166" s="221">
        <f>W166-S166-Q166</f>
        <v/>
      </c>
    </row>
    <row r="167" ht="16" customFormat="1" customHeight="1" s="68">
      <c r="A167" s="206" t="n">
        <v>2602</v>
      </c>
      <c r="B167" s="207" t="n">
        <v>46078</v>
      </c>
      <c r="C167" s="157" t="inlineStr">
        <is>
          <t>테트리스 300</t>
        </is>
      </c>
      <c r="D167" s="71" t="inlineStr">
        <is>
          <t>에스티</t>
        </is>
      </c>
      <c r="E167" s="72" t="inlineStr">
        <is>
          <t>한국윈텍</t>
        </is>
      </c>
      <c r="F167" s="73" t="inlineStr">
        <is>
          <t>blind</t>
        </is>
      </c>
      <c r="G167" s="72" t="inlineStr">
        <is>
          <t>한국윈텍</t>
        </is>
      </c>
      <c r="H167" s="72" t="inlineStr">
        <is>
          <t>HPV3 TETRIS 300</t>
        </is>
      </c>
      <c r="I167" s="74" t="n"/>
      <c r="J167" s="74" t="n"/>
      <c r="K167" s="75" t="n"/>
      <c r="L167" s="208" t="n"/>
      <c r="M167" s="209" t="n"/>
      <c r="N167" s="210" t="n"/>
      <c r="O167" s="211" t="n">
        <v>560</v>
      </c>
      <c r="P167" s="212" t="n"/>
      <c r="Q167" s="213" t="n"/>
      <c r="R167" s="215" t="n">
        <v>1410</v>
      </c>
      <c r="S167" s="215">
        <f>O167*R167</f>
        <v/>
      </c>
      <c r="T167" s="216" t="n"/>
      <c r="U167" s="217" t="n"/>
      <c r="V167" s="218" t="n">
        <v>2900</v>
      </c>
      <c r="W167" s="219">
        <f>O167*V167</f>
        <v/>
      </c>
      <c r="X167" s="215" t="n"/>
      <c r="Y167" s="134" t="inlineStr">
        <is>
          <t>제직</t>
        </is>
      </c>
      <c r="Z167" s="221">
        <f>W167-S167-Q167</f>
        <v/>
      </c>
    </row>
    <row r="168" ht="16" customFormat="1" customHeight="1" s="68">
      <c r="A168" s="206" t="n">
        <v>2602</v>
      </c>
      <c r="B168" s="207" t="n">
        <v>46078</v>
      </c>
      <c r="C168" s="157" t="inlineStr">
        <is>
          <t>뷰티 600</t>
        </is>
      </c>
      <c r="D168" s="71" t="inlineStr">
        <is>
          <t>에스티</t>
        </is>
      </c>
      <c r="E168" s="72" t="inlineStr">
        <is>
          <t>한국윈텍</t>
        </is>
      </c>
      <c r="F168" s="73" t="inlineStr">
        <is>
          <t>blind</t>
        </is>
      </c>
      <c r="G168" s="72" t="inlineStr">
        <is>
          <t>한국윈텍</t>
        </is>
      </c>
      <c r="H168" s="72" t="inlineStr">
        <is>
          <t>VIEWTY 600D</t>
        </is>
      </c>
      <c r="I168" s="74" t="n"/>
      <c r="J168" s="74" t="n"/>
      <c r="K168" s="75" t="n"/>
      <c r="L168" s="208" t="n"/>
      <c r="M168" s="209" t="n"/>
      <c r="N168" s="210" t="n"/>
      <c r="O168" s="211" t="n">
        <v>4000</v>
      </c>
      <c r="P168" s="212" t="n"/>
      <c r="Q168" s="213" t="n"/>
      <c r="R168" s="215" t="n">
        <v>1230</v>
      </c>
      <c r="S168" s="215">
        <f>O168*R168</f>
        <v/>
      </c>
      <c r="T168" s="216" t="n"/>
      <c r="U168" s="217" t="n"/>
      <c r="V168" s="218" t="n">
        <v>1380</v>
      </c>
      <c r="W168" s="219">
        <f>O168*V168</f>
        <v/>
      </c>
      <c r="X168" s="215" t="n"/>
      <c r="Y168" s="134" t="inlineStr">
        <is>
          <t>제직</t>
        </is>
      </c>
      <c r="Z168" s="221">
        <f>W168-S168-Q168</f>
        <v/>
      </c>
    </row>
    <row r="169" ht="16" customFormat="1" customHeight="1" s="68">
      <c r="A169" s="206" t="n">
        <v>2602</v>
      </c>
      <c r="B169" s="207" t="n">
        <v>46077</v>
      </c>
      <c r="C169" s="157" t="inlineStr">
        <is>
          <t>뷰티 내츄럴</t>
        </is>
      </c>
      <c r="D169" s="71" t="inlineStr">
        <is>
          <t>에스티</t>
        </is>
      </c>
      <c r="E169" s="72" t="inlineStr">
        <is>
          <t>한국윈텍</t>
        </is>
      </c>
      <c r="F169" s="73" t="inlineStr">
        <is>
          <t>blind</t>
        </is>
      </c>
      <c r="G169" s="72" t="inlineStr">
        <is>
          <t>한국윈텍</t>
        </is>
      </c>
      <c r="H169" s="72" t="inlineStr">
        <is>
          <t>HPV XO 시직</t>
        </is>
      </c>
      <c r="I169" s="74" t="inlineStr">
        <is>
          <t>L02</t>
        </is>
      </c>
      <c r="J169" s="74" t="n"/>
      <c r="K169" s="75" t="n"/>
      <c r="L169" s="208" t="n"/>
      <c r="M169" s="209" t="n"/>
      <c r="N169" s="210" t="n"/>
      <c r="O169" s="211" t="n">
        <v>357</v>
      </c>
      <c r="P169" s="212" t="n"/>
      <c r="Q169" s="213" t="n"/>
      <c r="R169" s="215" t="n">
        <v>1470</v>
      </c>
      <c r="S169" s="215">
        <f>O169*R169</f>
        <v/>
      </c>
      <c r="T169" s="216" t="n"/>
      <c r="U169" s="217" t="n"/>
      <c r="V169" s="218" t="n">
        <v>4150</v>
      </c>
      <c r="W169" s="219">
        <f>O169*V169</f>
        <v/>
      </c>
      <c r="X169" s="215" t="n"/>
      <c r="Y169" s="134" t="inlineStr">
        <is>
          <t>제직</t>
        </is>
      </c>
      <c r="Z169" s="221">
        <f>W169-S169-Q169</f>
        <v/>
      </c>
    </row>
    <row r="170" ht="16" customHeight="1" s="162">
      <c r="A170" s="206" t="n">
        <v>2602</v>
      </c>
      <c r="B170" s="207" t="n">
        <v>46077</v>
      </c>
      <c r="C170" s="157" t="inlineStr">
        <is>
          <t>뷰티 내츄럴</t>
        </is>
      </c>
      <c r="D170" s="71" t="inlineStr">
        <is>
          <t>에스티</t>
        </is>
      </c>
      <c r="E170" s="72" t="inlineStr">
        <is>
          <t>한국윈텍</t>
        </is>
      </c>
      <c r="F170" s="73" t="inlineStr">
        <is>
          <t>blind</t>
        </is>
      </c>
      <c r="G170" s="72" t="inlineStr">
        <is>
          <t>한국윈텍</t>
        </is>
      </c>
      <c r="H170" s="72" t="inlineStr">
        <is>
          <t>HPV XO 시직</t>
        </is>
      </c>
      <c r="I170" s="74" t="inlineStr">
        <is>
          <t>W01</t>
        </is>
      </c>
      <c r="J170" s="74" t="n"/>
      <c r="K170" s="75" t="n"/>
      <c r="L170" s="208" t="n"/>
      <c r="M170" s="209" t="n"/>
      <c r="N170" s="210" t="n"/>
      <c r="O170" s="211" t="n">
        <v>378</v>
      </c>
      <c r="P170" s="212" t="n"/>
      <c r="Q170" s="213" t="n"/>
      <c r="R170" s="215" t="n">
        <v>1470</v>
      </c>
      <c r="S170" s="215">
        <f>O170*R170</f>
        <v/>
      </c>
      <c r="T170" s="216" t="n"/>
      <c r="U170" s="217" t="n"/>
      <c r="V170" s="218" t="n">
        <v>4400</v>
      </c>
      <c r="W170" s="219">
        <f>O170*V170</f>
        <v/>
      </c>
      <c r="X170" s="215" t="n"/>
      <c r="Y170" s="134" t="inlineStr">
        <is>
          <t>제직</t>
        </is>
      </c>
      <c r="Z170" s="221">
        <f>W170-S170-Q170</f>
        <v/>
      </c>
      <c r="AA170" s="68" t="n"/>
      <c r="AB170" s="68" t="n"/>
      <c r="AC170" s="68" t="n"/>
      <c r="AD170" s="68" t="n"/>
      <c r="AE170" s="68" t="n"/>
    </row>
    <row r="171" ht="16" customHeight="1" s="162">
      <c r="A171" s="206" t="n">
        <v>2602</v>
      </c>
      <c r="B171" s="207" t="n">
        <v>46077</v>
      </c>
      <c r="C171" s="152" t="inlineStr">
        <is>
          <t>뷰티 내츄럴</t>
        </is>
      </c>
      <c r="D171" s="122" t="inlineStr">
        <is>
          <t>에스티</t>
        </is>
      </c>
      <c r="E171" s="72" t="inlineStr">
        <is>
          <t>한국윈텍</t>
        </is>
      </c>
      <c r="F171" s="73" t="inlineStr">
        <is>
          <t>blind</t>
        </is>
      </c>
      <c r="G171" s="72" t="inlineStr">
        <is>
          <t>한국윈텍</t>
        </is>
      </c>
      <c r="H171" s="138" t="inlineStr">
        <is>
          <t>HPV XO 시직</t>
        </is>
      </c>
      <c r="I171" s="74" t="inlineStr">
        <is>
          <t>C01</t>
        </is>
      </c>
      <c r="J171" s="74" t="n"/>
      <c r="K171" s="75" t="n"/>
      <c r="L171" s="208" t="n"/>
      <c r="M171" s="209" t="n"/>
      <c r="N171" s="210" t="n"/>
      <c r="O171" s="211" t="n">
        <v>300</v>
      </c>
      <c r="P171" s="212" t="n"/>
      <c r="Q171" s="213" t="n"/>
      <c r="R171" s="215" t="n">
        <v>1470</v>
      </c>
      <c r="S171" s="215">
        <f>O171*R171</f>
        <v/>
      </c>
      <c r="T171" s="216" t="n"/>
      <c r="U171" s="217" t="n"/>
      <c r="V171" s="218" t="n">
        <v>4400</v>
      </c>
      <c r="W171" s="219">
        <f>O171*V171</f>
        <v/>
      </c>
      <c r="X171" s="215" t="n"/>
      <c r="Y171" s="134" t="inlineStr">
        <is>
          <t>제직</t>
        </is>
      </c>
      <c r="Z171" s="221">
        <f>W171-S171-Q171</f>
        <v/>
      </c>
      <c r="AA171" s="68" t="n"/>
      <c r="AB171" s="68" t="n"/>
      <c r="AC171" s="68" t="n"/>
      <c r="AD171" s="68" t="n"/>
      <c r="AE171" s="68" t="n"/>
    </row>
    <row r="172" ht="16" customHeight="1" s="162">
      <c r="A172" s="206" t="n">
        <v>2602</v>
      </c>
      <c r="B172" s="207" t="n">
        <v>46081</v>
      </c>
      <c r="C172" s="157" t="inlineStr">
        <is>
          <t>품질비용</t>
        </is>
      </c>
      <c r="D172" s="71" t="n"/>
      <c r="E172" s="72" t="inlineStr">
        <is>
          <t>한국윈텍</t>
        </is>
      </c>
      <c r="F172" s="73" t="inlineStr">
        <is>
          <t>blind</t>
        </is>
      </c>
      <c r="G172" s="72" t="inlineStr">
        <is>
          <t>한국윈텍</t>
        </is>
      </c>
      <c r="H172" s="72" t="inlineStr">
        <is>
          <t>CLAIM</t>
        </is>
      </c>
      <c r="I172" s="74" t="n"/>
      <c r="J172" s="74" t="n"/>
      <c r="K172" s="75" t="n"/>
      <c r="L172" s="208" t="n"/>
      <c r="M172" s="209" t="n"/>
      <c r="N172" s="210" t="n"/>
      <c r="O172" s="211" t="n"/>
      <c r="P172" s="212" t="n"/>
      <c r="Q172" s="213" t="n"/>
      <c r="R172" s="215" t="n"/>
      <c r="S172" s="215" t="n"/>
      <c r="T172" s="216" t="n"/>
      <c r="U172" s="217" t="n"/>
      <c r="V172" s="218" t="n"/>
      <c r="W172" s="219" t="n">
        <v>-1499250</v>
      </c>
      <c r="X172" s="215" t="n"/>
      <c r="Y172" s="134" t="inlineStr">
        <is>
          <t>품질</t>
        </is>
      </c>
      <c r="Z172" s="221" t="n"/>
      <c r="AA172" s="68" t="n"/>
      <c r="AB172" s="68" t="n"/>
      <c r="AC172" s="68" t="n"/>
      <c r="AD172" s="68" t="n"/>
      <c r="AE172" s="68" t="n"/>
    </row>
    <row r="173" ht="16" customHeight="1" s="162">
      <c r="A173" s="206" t="n">
        <v>2602</v>
      </c>
      <c r="B173" s="164" t="n">
        <v>46076</v>
      </c>
      <c r="C173" s="155" t="inlineStr">
        <is>
          <t>30심지</t>
        </is>
      </c>
      <c r="D173" s="3" t="inlineStr">
        <is>
          <t>미래심지</t>
        </is>
      </c>
      <c r="E173" s="4" t="inlineStr">
        <is>
          <t>홉</t>
        </is>
      </c>
      <c r="F173" s="5" t="inlineStr">
        <is>
          <t>back</t>
        </is>
      </c>
      <c r="G173" s="4" t="inlineStr">
        <is>
          <t>에스제이인터내셔널</t>
        </is>
      </c>
      <c r="H173" s="126" t="inlineStr">
        <is>
          <t>30 심지</t>
        </is>
      </c>
      <c r="I173" s="66" t="inlineStr">
        <is>
          <t>BLACK</t>
        </is>
      </c>
      <c r="J173" s="66" t="n"/>
      <c r="K173" s="67" t="n"/>
      <c r="L173" s="166" t="n"/>
      <c r="M173" s="167" t="n"/>
      <c r="N173" s="168" t="n">
        <v>300</v>
      </c>
      <c r="O173" s="169" t="n"/>
      <c r="P173" s="170" t="n"/>
      <c r="Q173" s="171" t="n"/>
      <c r="R173" s="172" t="n">
        <v>800</v>
      </c>
      <c r="S173" s="172">
        <f>N173*R173</f>
        <v/>
      </c>
      <c r="T173" s="173" t="n"/>
      <c r="U173" s="174" t="n"/>
      <c r="V173" s="175" t="inlineStr">
        <is>
          <t>xxx</t>
        </is>
      </c>
      <c r="W173" s="176" t="n"/>
      <c r="X173" s="172" t="n"/>
      <c r="Y173" s="22" t="inlineStr">
        <is>
          <t>상품</t>
        </is>
      </c>
      <c r="Z173" s="221">
        <f>W173-S173-Q173</f>
        <v/>
      </c>
    </row>
    <row r="174" ht="16" customFormat="1" customHeight="1" s="68">
      <c r="A174" s="206" t="n">
        <v>2602</v>
      </c>
      <c r="B174" s="164" t="n">
        <v>46065</v>
      </c>
      <c r="C174" s="150" t="inlineStr">
        <is>
          <t>30심지</t>
        </is>
      </c>
      <c r="D174" s="3" t="inlineStr">
        <is>
          <t>미래심지</t>
        </is>
      </c>
      <c r="E174" s="4" t="inlineStr">
        <is>
          <t>홉</t>
        </is>
      </c>
      <c r="F174" s="5" t="inlineStr">
        <is>
          <t>back</t>
        </is>
      </c>
      <c r="G174" s="4" t="inlineStr">
        <is>
          <t>덕산엔터프라이즈</t>
        </is>
      </c>
      <c r="H174" s="66" t="inlineStr">
        <is>
          <t>30D INTERLOCK</t>
        </is>
      </c>
      <c r="I174" s="66" t="n">
        <v>30607</v>
      </c>
      <c r="J174" s="66" t="n"/>
      <c r="K174" s="67" t="n"/>
      <c r="L174" s="166" t="n"/>
      <c r="M174" s="167" t="n"/>
      <c r="N174" s="168" t="n">
        <v>873</v>
      </c>
      <c r="O174" s="169" t="n"/>
      <c r="P174" s="170" t="n"/>
      <c r="Q174" s="171" t="n"/>
      <c r="R174" s="172" t="n">
        <v>800</v>
      </c>
      <c r="S174" s="172">
        <f>N174*R174</f>
        <v/>
      </c>
      <c r="T174" s="173" t="n"/>
      <c r="U174" s="174" t="n"/>
      <c r="V174" s="175" t="inlineStr">
        <is>
          <t>xxx</t>
        </is>
      </c>
      <c r="W174" s="176" t="n"/>
      <c r="X174" s="172" t="n"/>
      <c r="Y174" s="22" t="inlineStr">
        <is>
          <t>상품</t>
        </is>
      </c>
      <c r="Z174" s="221">
        <f>W174-S174-Q174</f>
        <v/>
      </c>
      <c r="AA174" s="0" t="n"/>
      <c r="AB174" s="0" t="n"/>
      <c r="AC174" s="0" t="n"/>
      <c r="AD174" s="0" t="n"/>
      <c r="AE174" s="0" t="n"/>
    </row>
    <row r="175" ht="16" customHeight="1" s="162">
      <c r="A175" s="235" t="n">
        <v>2602</v>
      </c>
      <c r="B175" s="164" t="n">
        <v>46081</v>
      </c>
      <c r="C175" s="150" t="inlineStr">
        <is>
          <t>하이젠540</t>
        </is>
      </c>
      <c r="D175" s="3" t="inlineStr">
        <is>
          <t>팬시크린</t>
        </is>
      </c>
      <c r="E175" s="4" t="inlineStr">
        <is>
          <t>xxx</t>
        </is>
      </c>
      <c r="F175" s="5" t="inlineStr">
        <is>
          <t>cleaner</t>
        </is>
      </c>
      <c r="G175" s="4" t="inlineStr">
        <is>
          <t>티에이케이</t>
        </is>
      </c>
      <c r="H175" s="66" t="inlineStr">
        <is>
          <t>HANDRING CHARGE</t>
        </is>
      </c>
      <c r="I175" s="66" t="n"/>
      <c r="J175" s="66" t="n"/>
      <c r="K175" s="67" t="n"/>
      <c r="L175" s="166" t="n"/>
      <c r="M175" s="167" t="n"/>
      <c r="N175" s="168" t="n">
        <v>6373</v>
      </c>
      <c r="O175" s="169" t="n"/>
      <c r="P175" s="170" t="n"/>
      <c r="Q175" s="171" t="n"/>
      <c r="R175" s="172" t="n">
        <v>130</v>
      </c>
      <c r="S175" s="172">
        <f>N175*R175</f>
        <v/>
      </c>
      <c r="T175" s="173" t="n"/>
      <c r="U175" s="174" t="n"/>
      <c r="V175" s="175" t="n"/>
      <c r="W175" s="176" t="n"/>
      <c r="X175" s="172" t="n"/>
      <c r="Y175" s="22" t="inlineStr">
        <is>
          <t>염색</t>
        </is>
      </c>
      <c r="Z175" s="221">
        <f>W175-S175-Q175</f>
        <v/>
      </c>
    </row>
    <row r="176" ht="16" customHeight="1" s="162">
      <c r="A176" s="235" t="n"/>
      <c r="B176" s="164" t="n"/>
      <c r="C176" s="154" t="n"/>
      <c r="D176" s="3" t="n"/>
      <c r="E176" s="4" t="n"/>
      <c r="F176" s="5" t="n"/>
      <c r="G176" s="4" t="n"/>
      <c r="H176" s="4" t="n"/>
      <c r="I176" s="66" t="n"/>
      <c r="J176" s="66" t="n"/>
      <c r="K176" s="67" t="n"/>
      <c r="L176" s="166" t="n"/>
      <c r="M176" s="167" t="n"/>
      <c r="N176" s="168" t="n"/>
      <c r="O176" s="169" t="n"/>
      <c r="P176" s="170" t="n"/>
      <c r="Q176" s="171" t="n"/>
      <c r="R176" s="172" t="n"/>
      <c r="S176" s="172" t="n"/>
      <c r="T176" s="173" t="n"/>
      <c r="U176" s="174" t="n"/>
      <c r="V176" s="175" t="n"/>
      <c r="W176" s="176" t="n"/>
      <c r="X176" s="172" t="n"/>
      <c r="Z176" s="177" t="n"/>
    </row>
    <row r="177" ht="16" customHeight="1" s="162" thickBot="1">
      <c r="A177" s="235" t="n"/>
      <c r="B177" s="164" t="n"/>
      <c r="C177" s="150" t="n"/>
      <c r="D177" s="3" t="n"/>
      <c r="E177" s="4" t="n"/>
      <c r="F177" s="5" t="n"/>
      <c r="G177" s="4" t="n"/>
      <c r="H177" s="66" t="n"/>
      <c r="I177" s="66" t="n"/>
      <c r="J177" s="66" t="n"/>
      <c r="K177" s="67" t="n"/>
      <c r="L177" s="166" t="n"/>
      <c r="M177" s="167" t="n"/>
      <c r="N177" s="168" t="n"/>
      <c r="O177" s="169" t="n"/>
      <c r="P177" s="170" t="n"/>
      <c r="Q177" s="171" t="n"/>
      <c r="R177" s="172" t="n"/>
      <c r="S177" s="172" t="n"/>
      <c r="T177" s="173" t="n"/>
      <c r="U177" s="174" t="n"/>
      <c r="V177" s="175" t="n"/>
      <c r="W177" s="176" t="n"/>
      <c r="X177" s="172" t="n"/>
      <c r="Z177" s="177" t="n"/>
    </row>
    <row r="178" ht="16" customFormat="1" customHeight="1" s="120" thickBot="1">
      <c r="A178" s="236" t="n"/>
      <c r="B178" s="237" t="n"/>
      <c r="C178" s="151" t="n"/>
      <c r="D178" s="102" t="n"/>
      <c r="E178" s="103" t="n"/>
      <c r="F178" s="104" t="n"/>
      <c r="G178" s="103" t="n"/>
      <c r="H178" s="105" t="n"/>
      <c r="I178" s="105" t="n"/>
      <c r="J178" s="105" t="n"/>
      <c r="K178" s="106" t="n"/>
      <c r="L178" s="238" t="n"/>
      <c r="M178" s="239" t="n"/>
      <c r="N178" s="240" t="n"/>
      <c r="O178" s="241" t="n"/>
      <c r="P178" s="242" t="n"/>
      <c r="Q178" s="243">
        <f>SUM(Q103:Q177)</f>
        <v/>
      </c>
      <c r="R178" s="244" t="n"/>
      <c r="S178" s="244">
        <f>SUM(S103:S177)</f>
        <v/>
      </c>
      <c r="T178" s="245" t="n"/>
      <c r="U178" s="246" t="n"/>
      <c r="V178" s="247" t="n"/>
      <c r="W178" s="248">
        <f>SUM(W103:W177)</f>
        <v/>
      </c>
      <c r="X178" s="244">
        <f>W178-S178-Q178</f>
        <v/>
      </c>
      <c r="Y178" s="118" t="n"/>
      <c r="Z178" s="249">
        <f>SUM(Z103:Z177)</f>
        <v/>
      </c>
    </row>
    <row r="179" ht="16" customHeight="1" s="162">
      <c r="A179" s="235" t="n"/>
      <c r="B179" s="164" t="n"/>
      <c r="C179" s="150" t="n"/>
      <c r="D179" s="3" t="n"/>
      <c r="E179" s="4" t="n"/>
      <c r="F179" s="5" t="n"/>
      <c r="G179" s="4" t="n"/>
      <c r="H179" s="66" t="n"/>
      <c r="I179" s="66" t="n"/>
      <c r="J179" s="66" t="n"/>
      <c r="K179" s="67" t="n"/>
      <c r="L179" s="166" t="n"/>
      <c r="M179" s="167" t="n"/>
      <c r="N179" s="168" t="n"/>
      <c r="O179" s="169" t="n"/>
      <c r="P179" s="170" t="n"/>
      <c r="Q179" s="171" t="n">
        <v>0</v>
      </c>
      <c r="R179" s="172" t="n"/>
      <c r="S179" s="172" t="n"/>
      <c r="T179" s="173" t="n"/>
      <c r="U179" s="174" t="n"/>
      <c r="V179" s="175" t="n"/>
      <c r="W179" s="176" t="n"/>
      <c r="X179" s="172" t="n"/>
      <c r="Z179" s="177" t="n"/>
    </row>
    <row r="180" ht="16" customFormat="1" customHeight="1" s="68">
      <c r="A180" s="206" t="n">
        <v>2603</v>
      </c>
      <c r="B180" s="164" t="n">
        <v>46084</v>
      </c>
      <c r="C180" s="161" t="inlineStr">
        <is>
          <t>hpw3200</t>
        </is>
      </c>
      <c r="D180" s="145" t="inlineStr">
        <is>
          <t>라임기모</t>
        </is>
      </c>
      <c r="E180" s="4" t="inlineStr">
        <is>
          <t>대한실업</t>
        </is>
      </c>
      <c r="F180" s="5" t="inlineStr">
        <is>
          <t>sofa</t>
        </is>
      </c>
      <c r="G180" s="4" t="inlineStr">
        <is>
          <t>오아시스</t>
        </is>
      </c>
      <c r="H180" s="66" t="inlineStr">
        <is>
          <t>HPW3200-SWD</t>
        </is>
      </c>
      <c r="I180" s="66" t="inlineStr">
        <is>
          <t>#604 라이트브라운</t>
        </is>
      </c>
      <c r="J180" s="66" t="n"/>
      <c r="K180" s="67" t="n"/>
      <c r="L180" s="166" t="n"/>
      <c r="M180" s="167" t="n"/>
      <c r="N180" s="168" t="n"/>
      <c r="O180" s="169" t="n">
        <v>796</v>
      </c>
      <c r="P180" s="170" t="n"/>
      <c r="Q180" s="171" t="n"/>
      <c r="R180" s="172" t="n">
        <v>4870</v>
      </c>
      <c r="S180" s="172">
        <f>O180*R180</f>
        <v/>
      </c>
      <c r="T180" s="173" t="n"/>
      <c r="U180" s="174" t="n"/>
      <c r="V180" s="175" t="n"/>
      <c r="W180" s="176" t="n"/>
      <c r="X180" s="172" t="n"/>
      <c r="Y180" s="22" t="inlineStr">
        <is>
          <t>상품</t>
        </is>
      </c>
      <c r="Z180" s="177">
        <f>W180-S180-Q180</f>
        <v/>
      </c>
      <c r="AA180" s="0" t="n"/>
      <c r="AB180" s="0" t="n"/>
      <c r="AC180" s="0" t="n"/>
      <c r="AD180" s="0" t="n"/>
      <c r="AE180" s="0" t="n"/>
      <c r="AF180" s="0" t="n"/>
      <c r="AG180" s="0" t="n"/>
      <c r="AH180" s="0" t="n"/>
      <c r="AI180" s="0" t="n"/>
      <c r="AJ180" s="0" t="n"/>
      <c r="AK180" s="0" t="n"/>
      <c r="AL180" s="0" t="n"/>
      <c r="AM180" s="0" t="n"/>
      <c r="AN180" s="0" t="n"/>
      <c r="AO180" s="0" t="n"/>
      <c r="AP180" s="0" t="n"/>
      <c r="AQ180" s="0" t="n"/>
      <c r="AR180" s="0" t="n"/>
      <c r="AS180" s="0" t="n"/>
      <c r="AT180" s="0" t="n"/>
      <c r="AU180" s="0" t="n"/>
      <c r="AV180" s="0" t="n"/>
      <c r="AW180" s="0" t="n"/>
      <c r="AX180" s="0" t="n"/>
      <c r="AY180" s="0" t="n"/>
      <c r="AZ180" s="0" t="n"/>
      <c r="BA180" s="0" t="n"/>
      <c r="BB180" s="0" t="n"/>
      <c r="BC180" s="0" t="n"/>
      <c r="BD180" s="0" t="n"/>
      <c r="BE180" s="0" t="n"/>
      <c r="BF180" s="0" t="n"/>
      <c r="BG180" s="0" t="n"/>
      <c r="BH180" s="0" t="n"/>
      <c r="BI180" s="0" t="n"/>
      <c r="BJ180" s="0" t="n"/>
      <c r="BK180" s="0" t="n"/>
      <c r="BL180" s="0" t="n"/>
      <c r="BM180" s="0" t="n"/>
      <c r="BN180" s="0" t="n"/>
      <c r="BO180" s="0" t="n"/>
      <c r="BP180" s="0" t="n"/>
    </row>
    <row r="181" ht="16" customFormat="1" customHeight="1" s="68">
      <c r="A181" s="206" t="n">
        <v>2603</v>
      </c>
      <c r="B181" s="164" t="n">
        <v>46084</v>
      </c>
      <c r="C181" s="161" t="inlineStr">
        <is>
          <t>hpw3200</t>
        </is>
      </c>
      <c r="D181" s="145" t="inlineStr">
        <is>
          <t>라임기모</t>
        </is>
      </c>
      <c r="E181" s="4" t="inlineStr">
        <is>
          <t>대한실업</t>
        </is>
      </c>
      <c r="F181" s="5" t="inlineStr">
        <is>
          <t>sofa</t>
        </is>
      </c>
      <c r="G181" s="4" t="inlineStr">
        <is>
          <t>오아시스</t>
        </is>
      </c>
      <c r="H181" s="66" t="inlineStr">
        <is>
          <t>HPW3200-SWD</t>
        </is>
      </c>
      <c r="I181" s="66" t="inlineStr">
        <is>
          <t>#610 본</t>
        </is>
      </c>
      <c r="J181" s="66" t="n"/>
      <c r="K181" s="67" t="n"/>
      <c r="L181" s="166" t="n"/>
      <c r="M181" s="167" t="n"/>
      <c r="N181" s="168" t="n"/>
      <c r="O181" s="169" t="n">
        <v>409</v>
      </c>
      <c r="P181" s="170" t="n"/>
      <c r="Q181" s="171" t="n"/>
      <c r="R181" s="172" t="n">
        <v>4870</v>
      </c>
      <c r="S181" s="172">
        <f>O181*R181</f>
        <v/>
      </c>
      <c r="T181" s="173" t="n"/>
      <c r="U181" s="174" t="n"/>
      <c r="V181" s="175" t="n"/>
      <c r="W181" s="176" t="n"/>
      <c r="X181" s="172" t="n"/>
      <c r="Y181" s="22" t="inlineStr">
        <is>
          <t>상품</t>
        </is>
      </c>
      <c r="Z181" s="177">
        <f>W181-S181-Q181</f>
        <v/>
      </c>
      <c r="AA181" s="0" t="n"/>
      <c r="AB181" s="0" t="n"/>
      <c r="AC181" s="0" t="n"/>
      <c r="AD181" s="0" t="n"/>
      <c r="AE181" s="0" t="n"/>
      <c r="AF181" s="0" t="n"/>
      <c r="AG181" s="0" t="n"/>
      <c r="AH181" s="0" t="n"/>
      <c r="AI181" s="0" t="n"/>
      <c r="AJ181" s="0" t="n"/>
      <c r="AK181" s="0" t="n"/>
      <c r="AL181" s="0" t="n"/>
      <c r="AM181" s="0" t="n"/>
      <c r="AN181" s="0" t="n"/>
      <c r="AO181" s="0" t="n"/>
      <c r="AP181" s="0" t="n"/>
      <c r="AQ181" s="0" t="n"/>
      <c r="AR181" s="0" t="n"/>
      <c r="AS181" s="0" t="n"/>
      <c r="AT181" s="0" t="n"/>
      <c r="AU181" s="0" t="n"/>
      <c r="AV181" s="0" t="n"/>
      <c r="AW181" s="0" t="n"/>
      <c r="AX181" s="0" t="n"/>
      <c r="AY181" s="0" t="n"/>
      <c r="AZ181" s="0" t="n"/>
      <c r="BA181" s="0" t="n"/>
      <c r="BB181" s="0" t="n"/>
      <c r="BC181" s="0" t="n"/>
      <c r="BD181" s="0" t="n"/>
      <c r="BE181" s="0" t="n"/>
      <c r="BF181" s="0" t="n"/>
      <c r="BG181" s="0" t="n"/>
      <c r="BH181" s="0" t="n"/>
      <c r="BI181" s="0" t="n"/>
      <c r="BJ181" s="0" t="n"/>
      <c r="BK181" s="0" t="n"/>
      <c r="BL181" s="0" t="n"/>
      <c r="BM181" s="0" t="n"/>
      <c r="BN181" s="0" t="n"/>
      <c r="BO181" s="0" t="n"/>
      <c r="BP181" s="0" t="n"/>
    </row>
    <row r="182" ht="16" customFormat="1" customHeight="1" s="68">
      <c r="A182" s="206" t="n">
        <v>2603</v>
      </c>
      <c r="B182" s="207" t="n">
        <v>46112</v>
      </c>
      <c r="C182" s="159" t="inlineStr">
        <is>
          <t>30심지</t>
        </is>
      </c>
      <c r="D182" s="160" t="inlineStr">
        <is>
          <t>미래심지</t>
        </is>
      </c>
      <c r="E182" s="72" t="inlineStr">
        <is>
          <t>덕산엔터프라이즈</t>
        </is>
      </c>
      <c r="F182" s="73" t="inlineStr">
        <is>
          <t>back</t>
        </is>
      </c>
      <c r="G182" s="72" t="inlineStr">
        <is>
          <t>덕산엔터프라이즈</t>
        </is>
      </c>
      <c r="H182" s="74" t="inlineStr">
        <is>
          <t>30D INTERLOCK</t>
        </is>
      </c>
      <c r="I182" s="74" t="n">
        <v>30607</v>
      </c>
      <c r="J182" s="74" t="n"/>
      <c r="K182" s="75" t="n"/>
      <c r="L182" s="208" t="n"/>
      <c r="M182" s="209" t="n"/>
      <c r="N182" s="210" t="n">
        <v>8764</v>
      </c>
      <c r="O182" s="211" t="n">
        <v>8821</v>
      </c>
      <c r="P182" s="212" t="n"/>
      <c r="Q182" s="213" t="n"/>
      <c r="R182" s="215" t="n">
        <v>800</v>
      </c>
      <c r="S182" s="215">
        <f>N182*R182</f>
        <v/>
      </c>
      <c r="T182" s="216" t="n"/>
      <c r="U182" s="217" t="n"/>
      <c r="V182" s="218" t="n">
        <v>1313</v>
      </c>
      <c r="W182" s="219">
        <f>O182*V182</f>
        <v/>
      </c>
      <c r="X182" s="215" t="n"/>
      <c r="Y182" s="134" t="inlineStr">
        <is>
          <t>상품</t>
        </is>
      </c>
      <c r="Z182" s="221">
        <f>W182-S182-Q182</f>
        <v/>
      </c>
    </row>
    <row r="183" ht="16" customHeight="1" s="162">
      <c r="A183" s="206" t="n">
        <v>2603</v>
      </c>
      <c r="B183" s="207" t="n">
        <v>46112</v>
      </c>
      <c r="C183" s="159" t="inlineStr">
        <is>
          <t>30심지</t>
        </is>
      </c>
      <c r="D183" s="160" t="inlineStr">
        <is>
          <t>미래심지</t>
        </is>
      </c>
      <c r="E183" s="72" t="inlineStr">
        <is>
          <t>덕산엔터프라이즈</t>
        </is>
      </c>
      <c r="F183" s="73" t="inlineStr">
        <is>
          <t>back</t>
        </is>
      </c>
      <c r="G183" s="72" t="inlineStr">
        <is>
          <t>덕산엔터프라이즈</t>
        </is>
      </c>
      <c r="H183" s="74" t="inlineStr">
        <is>
          <t>30D INTERLOCK</t>
        </is>
      </c>
      <c r="I183" s="74" t="n">
        <v>80933</v>
      </c>
      <c r="J183" s="74" t="n"/>
      <c r="K183" s="75" t="n"/>
      <c r="L183" s="208" t="n"/>
      <c r="M183" s="209" t="n"/>
      <c r="N183" s="210" t="n">
        <v>865</v>
      </c>
      <c r="O183" s="211" t="n">
        <v>1330</v>
      </c>
      <c r="P183" s="212" t="n"/>
      <c r="Q183" s="213" t="n"/>
      <c r="R183" s="215" t="n">
        <v>870</v>
      </c>
      <c r="S183" s="215">
        <f>N183*R183</f>
        <v/>
      </c>
      <c r="T183" s="216" t="n"/>
      <c r="U183" s="217" t="n"/>
      <c r="V183" s="218" t="n">
        <v>1313</v>
      </c>
      <c r="W183" s="219">
        <f>O183*V183</f>
        <v/>
      </c>
      <c r="X183" s="215" t="n"/>
      <c r="Y183" s="134" t="inlineStr">
        <is>
          <t>상품</t>
        </is>
      </c>
      <c r="Z183" s="221">
        <f>W183-S183-Q183</f>
        <v/>
      </c>
      <c r="AA183" s="68" t="n"/>
      <c r="AB183" s="68" t="n"/>
      <c r="AC183" s="68" t="n"/>
      <c r="AD183" s="68" t="n"/>
      <c r="AE183" s="68" t="n"/>
      <c r="AF183" s="68" t="n"/>
      <c r="AG183" s="68" t="n"/>
      <c r="AH183" s="68" t="n"/>
      <c r="AI183" s="68" t="n"/>
      <c r="AJ183" s="68" t="n"/>
      <c r="AK183" s="68" t="n"/>
      <c r="AL183" s="68" t="n"/>
      <c r="AM183" s="68" t="n"/>
      <c r="AN183" s="68" t="n"/>
      <c r="AO183" s="68" t="n"/>
      <c r="AP183" s="68" t="n"/>
      <c r="AQ183" s="68" t="n"/>
      <c r="AR183" s="68" t="n"/>
      <c r="AS183" s="68" t="n"/>
      <c r="AT183" s="68" t="n"/>
      <c r="AU183" s="68" t="n"/>
      <c r="AV183" s="68" t="n"/>
      <c r="AW183" s="68" t="n"/>
      <c r="AX183" s="68" t="n"/>
      <c r="AY183" s="68" t="n"/>
      <c r="AZ183" s="68" t="n"/>
      <c r="BA183" s="68" t="n"/>
      <c r="BB183" s="68" t="n"/>
      <c r="BC183" s="68" t="n"/>
      <c r="BD183" s="68" t="n"/>
      <c r="BE183" s="68" t="n"/>
      <c r="BF183" s="68" t="n"/>
      <c r="BG183" s="68" t="n"/>
      <c r="BH183" s="68" t="n"/>
      <c r="BI183" s="68" t="n"/>
      <c r="BJ183" s="68" t="n"/>
      <c r="BK183" s="68" t="n"/>
      <c r="BL183" s="68" t="n"/>
      <c r="BM183" s="68" t="n"/>
      <c r="BN183" s="68" t="n"/>
      <c r="BO183" s="68" t="n"/>
      <c r="BP183" s="68" t="n"/>
    </row>
    <row r="184" ht="16" customHeight="1" s="162">
      <c r="A184" s="206" t="n">
        <v>2603</v>
      </c>
      <c r="B184" s="207" t="n">
        <v>46112</v>
      </c>
      <c r="C184" s="159" t="inlineStr">
        <is>
          <t>30심지</t>
        </is>
      </c>
      <c r="D184" s="160" t="inlineStr">
        <is>
          <t>미래심지</t>
        </is>
      </c>
      <c r="E184" s="72" t="inlineStr">
        <is>
          <t>덕산엔터프라이즈</t>
        </is>
      </c>
      <c r="F184" s="73" t="inlineStr">
        <is>
          <t>back</t>
        </is>
      </c>
      <c r="G184" s="72" t="inlineStr">
        <is>
          <t>덕산엔터프라이즈</t>
        </is>
      </c>
      <c r="H184" s="74" t="inlineStr">
        <is>
          <t>30D INTERLOCK</t>
        </is>
      </c>
      <c r="I184" s="74" t="n">
        <v>90312</v>
      </c>
      <c r="J184" s="74" t="n"/>
      <c r="K184" s="75" t="n"/>
      <c r="L184" s="208" t="n"/>
      <c r="M184" s="209" t="n"/>
      <c r="N184" s="210" t="n">
        <v>854</v>
      </c>
      <c r="O184" s="211" t="n">
        <v>1454</v>
      </c>
      <c r="P184" s="212" t="n"/>
      <c r="Q184" s="213" t="n"/>
      <c r="R184" s="215" t="n">
        <v>870</v>
      </c>
      <c r="S184" s="215">
        <f>N184*R184</f>
        <v/>
      </c>
      <c r="T184" s="216" t="n"/>
      <c r="U184" s="217" t="n"/>
      <c r="V184" s="218" t="n">
        <v>1313</v>
      </c>
      <c r="W184" s="219">
        <f>O184*V184</f>
        <v/>
      </c>
      <c r="X184" s="215" t="n"/>
      <c r="Y184" s="134" t="inlineStr">
        <is>
          <t>상품</t>
        </is>
      </c>
      <c r="Z184" s="221">
        <f>W184-S184-Q184</f>
        <v/>
      </c>
      <c r="AA184" s="68" t="n"/>
      <c r="AB184" s="68" t="n"/>
      <c r="AC184" s="68" t="n"/>
      <c r="AD184" s="68" t="n"/>
      <c r="AE184" s="68" t="n"/>
      <c r="AF184" s="68" t="n"/>
      <c r="AG184" s="68" t="n"/>
      <c r="AH184" s="68" t="n"/>
      <c r="AI184" s="68" t="n"/>
      <c r="AJ184" s="68" t="n"/>
      <c r="AK184" s="68" t="n"/>
      <c r="AL184" s="68" t="n"/>
      <c r="AM184" s="68" t="n"/>
      <c r="AN184" s="68" t="n"/>
      <c r="AO184" s="68" t="n"/>
      <c r="AP184" s="68" t="n"/>
      <c r="AQ184" s="68" t="n"/>
      <c r="AR184" s="68" t="n"/>
      <c r="AS184" s="68" t="n"/>
      <c r="AT184" s="68" t="n"/>
      <c r="AU184" s="68" t="n"/>
      <c r="AV184" s="68" t="n"/>
      <c r="AW184" s="68" t="n"/>
      <c r="AX184" s="68" t="n"/>
      <c r="AY184" s="68" t="n"/>
      <c r="AZ184" s="68" t="n"/>
      <c r="BA184" s="68" t="n"/>
      <c r="BB184" s="68" t="n"/>
      <c r="BC184" s="68" t="n"/>
      <c r="BD184" s="68" t="n"/>
      <c r="BE184" s="68" t="n"/>
      <c r="BF184" s="68" t="n"/>
      <c r="BG184" s="68" t="n"/>
      <c r="BH184" s="68" t="n"/>
      <c r="BI184" s="68" t="n"/>
      <c r="BJ184" s="68" t="n"/>
      <c r="BK184" s="68" t="n"/>
      <c r="BL184" s="68" t="n"/>
      <c r="BM184" s="68" t="n"/>
      <c r="BN184" s="68" t="n"/>
      <c r="BO184" s="68" t="n"/>
      <c r="BP184" s="68" t="n"/>
    </row>
    <row r="185" ht="16" customHeight="1" s="162">
      <c r="A185" s="206" t="n">
        <v>2603</v>
      </c>
      <c r="B185" s="207" t="n">
        <v>46112</v>
      </c>
      <c r="C185" s="159" t="inlineStr">
        <is>
          <t>30심지</t>
        </is>
      </c>
      <c r="D185" s="160" t="inlineStr">
        <is>
          <t>미래심지</t>
        </is>
      </c>
      <c r="E185" s="72" t="inlineStr">
        <is>
          <t>덕산엔터프라이즈</t>
        </is>
      </c>
      <c r="F185" s="73" t="inlineStr">
        <is>
          <t>back</t>
        </is>
      </c>
      <c r="G185" s="72" t="inlineStr">
        <is>
          <t>덕산엔터프라이즈</t>
        </is>
      </c>
      <c r="H185" s="74" t="inlineStr">
        <is>
          <t>30D INTERLOCK</t>
        </is>
      </c>
      <c r="I185" s="74" t="n">
        <v>90840</v>
      </c>
      <c r="J185" s="74" t="n"/>
      <c r="K185" s="75" t="n"/>
      <c r="L185" s="208" t="n"/>
      <c r="M185" s="209" t="n"/>
      <c r="N185" s="210" t="n">
        <v>4125</v>
      </c>
      <c r="O185" s="211" t="n">
        <v>3770</v>
      </c>
      <c r="P185" s="212" t="n"/>
      <c r="Q185" s="213" t="n"/>
      <c r="R185" s="215" t="n">
        <v>800</v>
      </c>
      <c r="S185" s="215">
        <f>N185*R185</f>
        <v/>
      </c>
      <c r="T185" s="216" t="n"/>
      <c r="U185" s="217" t="n"/>
      <c r="V185" s="218" t="n">
        <v>1313</v>
      </c>
      <c r="W185" s="219">
        <f>O185*V185</f>
        <v/>
      </c>
      <c r="X185" s="215" t="n"/>
      <c r="Y185" s="134" t="inlineStr">
        <is>
          <t>상품</t>
        </is>
      </c>
      <c r="Z185" s="221">
        <f>W185-S185-Q185</f>
        <v/>
      </c>
      <c r="AA185" s="68" t="n"/>
      <c r="AB185" s="68" t="n"/>
      <c r="AC185" s="68" t="n"/>
      <c r="AD185" s="68" t="n"/>
      <c r="AE185" s="68" t="n"/>
      <c r="AF185" s="68" t="n"/>
      <c r="AG185" s="68" t="n"/>
      <c r="AH185" s="68" t="n"/>
      <c r="AI185" s="68" t="n"/>
      <c r="AJ185" s="68" t="n"/>
      <c r="AK185" s="68" t="n"/>
      <c r="AL185" s="68" t="n"/>
      <c r="AM185" s="68" t="n"/>
      <c r="AN185" s="68" t="n"/>
      <c r="AO185" s="68" t="n"/>
      <c r="AP185" s="68" t="n"/>
      <c r="AQ185" s="68" t="n"/>
      <c r="AR185" s="68" t="n"/>
      <c r="AS185" s="68" t="n"/>
      <c r="AT185" s="68" t="n"/>
      <c r="AU185" s="68" t="n"/>
      <c r="AV185" s="68" t="n"/>
      <c r="AW185" s="68" t="n"/>
      <c r="AX185" s="68" t="n"/>
      <c r="AY185" s="68" t="n"/>
      <c r="AZ185" s="68" t="n"/>
      <c r="BA185" s="68" t="n"/>
      <c r="BB185" s="68" t="n"/>
      <c r="BC185" s="68" t="n"/>
      <c r="BD185" s="68" t="n"/>
      <c r="BE185" s="68" t="n"/>
      <c r="BF185" s="68" t="n"/>
      <c r="BG185" s="68" t="n"/>
      <c r="BH185" s="68" t="n"/>
      <c r="BI185" s="68" t="n"/>
      <c r="BJ185" s="68" t="n"/>
      <c r="BK185" s="68" t="n"/>
      <c r="BL185" s="68" t="n"/>
      <c r="BM185" s="68" t="n"/>
      <c r="BN185" s="68" t="n"/>
      <c r="BO185" s="68" t="n"/>
      <c r="BP185" s="68" t="n"/>
    </row>
    <row r="186" ht="16" customHeight="1" s="162">
      <c r="A186" s="206" t="n">
        <v>2603</v>
      </c>
      <c r="B186" s="207" t="n">
        <v>46112</v>
      </c>
      <c r="C186" s="159" t="inlineStr">
        <is>
          <t>30심지</t>
        </is>
      </c>
      <c r="D186" s="160" t="inlineStr">
        <is>
          <t>미래심지</t>
        </is>
      </c>
      <c r="E186" s="72" t="inlineStr">
        <is>
          <t>덕산엔터프라이즈</t>
        </is>
      </c>
      <c r="F186" s="73" t="inlineStr">
        <is>
          <t>back</t>
        </is>
      </c>
      <c r="G186" s="72" t="inlineStr">
        <is>
          <t>덕산엔터프라이즈</t>
        </is>
      </c>
      <c r="H186" s="74" t="inlineStr">
        <is>
          <t>30D INTERLOCK</t>
        </is>
      </c>
      <c r="I186" s="74" t="n">
        <v>94010</v>
      </c>
      <c r="J186" s="74" t="n"/>
      <c r="K186" s="75" t="n"/>
      <c r="L186" s="208" t="n"/>
      <c r="M186" s="209" t="n"/>
      <c r="N186" s="210" t="n">
        <v>6090</v>
      </c>
      <c r="O186" s="211" t="n">
        <v>5564</v>
      </c>
      <c r="P186" s="212" t="n"/>
      <c r="Q186" s="213" t="n"/>
      <c r="R186" s="215" t="n">
        <v>800</v>
      </c>
      <c r="S186" s="215">
        <f>N186*R186</f>
        <v/>
      </c>
      <c r="T186" s="216" t="n"/>
      <c r="U186" s="217" t="n"/>
      <c r="V186" s="218" t="n">
        <v>1313</v>
      </c>
      <c r="W186" s="219">
        <f>O186*V186</f>
        <v/>
      </c>
      <c r="X186" s="215" t="n"/>
      <c r="Y186" s="134" t="inlineStr">
        <is>
          <t>상품</t>
        </is>
      </c>
      <c r="Z186" s="221">
        <f>W186-S186-Q186</f>
        <v/>
      </c>
      <c r="AA186" s="68" t="n"/>
      <c r="AB186" s="68" t="n"/>
      <c r="AC186" s="68" t="n"/>
      <c r="AD186" s="68" t="n"/>
      <c r="AE186" s="68" t="n"/>
      <c r="AF186" s="68" t="n"/>
      <c r="AG186" s="68" t="n"/>
      <c r="AH186" s="68" t="n"/>
      <c r="AI186" s="68" t="n"/>
      <c r="AJ186" s="68" t="n"/>
      <c r="AK186" s="68" t="n"/>
      <c r="AL186" s="68" t="n"/>
      <c r="AM186" s="68" t="n"/>
      <c r="AN186" s="68" t="n"/>
      <c r="AO186" s="68" t="n"/>
      <c r="AP186" s="68" t="n"/>
      <c r="AQ186" s="68" t="n"/>
      <c r="AR186" s="68" t="n"/>
      <c r="AS186" s="68" t="n"/>
      <c r="AT186" s="68" t="n"/>
      <c r="AU186" s="68" t="n"/>
      <c r="AV186" s="68" t="n"/>
      <c r="AW186" s="68" t="n"/>
      <c r="AX186" s="68" t="n"/>
      <c r="AY186" s="68" t="n"/>
      <c r="AZ186" s="68" t="n"/>
      <c r="BA186" s="68" t="n"/>
      <c r="BB186" s="68" t="n"/>
      <c r="BC186" s="68" t="n"/>
      <c r="BD186" s="68" t="n"/>
      <c r="BE186" s="68" t="n"/>
      <c r="BF186" s="68" t="n"/>
      <c r="BG186" s="68" t="n"/>
      <c r="BH186" s="68" t="n"/>
      <c r="BI186" s="68" t="n"/>
      <c r="BJ186" s="68" t="n"/>
      <c r="BK186" s="68" t="n"/>
      <c r="BL186" s="68" t="n"/>
      <c r="BM186" s="68" t="n"/>
      <c r="BN186" s="68" t="n"/>
      <c r="BO186" s="68" t="n"/>
      <c r="BP186" s="68" t="n"/>
    </row>
    <row r="187" ht="16" customHeight="1" s="162">
      <c r="A187" s="206" t="n">
        <v>2603</v>
      </c>
      <c r="B187" s="164" t="n">
        <v>46084</v>
      </c>
      <c r="C187" s="161" t="inlineStr">
        <is>
          <t>하이젠540</t>
        </is>
      </c>
      <c r="D187" s="145" t="inlineStr">
        <is>
          <t>안국섬유</t>
        </is>
      </c>
      <c r="E187" s="4" t="inlineStr">
        <is>
          <t>동우섬유</t>
        </is>
      </c>
      <c r="F187" s="5" t="inlineStr">
        <is>
          <t>cleaner</t>
        </is>
      </c>
      <c r="G187" s="4" t="inlineStr">
        <is>
          <t>티에이케이</t>
        </is>
      </c>
      <c r="H187" s="66" t="inlineStr">
        <is>
          <t>NP150/3합</t>
        </is>
      </c>
      <c r="I187" s="66" t="n"/>
      <c r="J187" s="66" t="n"/>
      <c r="K187" s="67" t="n"/>
      <c r="L187" s="166" t="n">
        <v>4</v>
      </c>
      <c r="M187" s="167" t="n">
        <v>1452.5</v>
      </c>
      <c r="N187" s="168" t="n"/>
      <c r="O187" s="169" t="n"/>
      <c r="P187" s="170" t="n"/>
      <c r="Q187" s="171" t="n"/>
      <c r="R187" s="172" t="n">
        <v>1050</v>
      </c>
      <c r="S187" s="172">
        <f>M187*R187</f>
        <v/>
      </c>
      <c r="T187" s="173" t="n"/>
      <c r="U187" s="174" t="n"/>
      <c r="V187" s="175" t="n"/>
      <c r="W187" s="176" t="n"/>
      <c r="X187" s="172" t="n"/>
      <c r="Y187" s="22" t="inlineStr">
        <is>
          <t>연사</t>
        </is>
      </c>
      <c r="Z187" s="177">
        <f>W187-S187-Q187</f>
        <v/>
      </c>
    </row>
    <row r="188" ht="16" customFormat="1" customHeight="1" s="68">
      <c r="A188" s="206" t="n">
        <v>2603</v>
      </c>
      <c r="B188" s="164" t="n">
        <v>46084</v>
      </c>
      <c r="C188" s="161" t="inlineStr">
        <is>
          <t>하이젠540</t>
        </is>
      </c>
      <c r="D188" s="145" t="inlineStr">
        <is>
          <t>안국섬유</t>
        </is>
      </c>
      <c r="E188" s="4" t="inlineStr">
        <is>
          <t>동우섬유</t>
        </is>
      </c>
      <c r="F188" s="5" t="inlineStr">
        <is>
          <t>cleaner</t>
        </is>
      </c>
      <c r="G188" s="4" t="inlineStr">
        <is>
          <t>티에이케이</t>
        </is>
      </c>
      <c r="H188" s="66" t="inlineStr">
        <is>
          <t>P150/3합</t>
        </is>
      </c>
      <c r="I188" s="66" t="n"/>
      <c r="J188" s="66" t="n"/>
      <c r="K188" s="67" t="n"/>
      <c r="L188" s="166" t="n">
        <v>2</v>
      </c>
      <c r="M188" s="167" t="n">
        <v>822.5</v>
      </c>
      <c r="N188" s="168" t="n"/>
      <c r="O188" s="169" t="n"/>
      <c r="P188" s="170" t="n"/>
      <c r="Q188" s="171" t="n"/>
      <c r="R188" s="172" t="n">
        <v>1050</v>
      </c>
      <c r="S188" s="172">
        <f>M188*R188</f>
        <v/>
      </c>
      <c r="T188" s="173" t="n"/>
      <c r="U188" s="174" t="n"/>
      <c r="V188" s="175" t="n"/>
      <c r="W188" s="176" t="n"/>
      <c r="X188" s="172" t="n"/>
      <c r="Y188" s="22" t="inlineStr">
        <is>
          <t>연사</t>
        </is>
      </c>
      <c r="Z188" s="177">
        <f>W188-S188-Q188</f>
        <v/>
      </c>
      <c r="AA188" s="0" t="n"/>
      <c r="AB188" s="0" t="n"/>
      <c r="AC188" s="0" t="n"/>
      <c r="AD188" s="0" t="n"/>
      <c r="AE188" s="0" t="n"/>
      <c r="AF188" s="0" t="n"/>
      <c r="AG188" s="0" t="n"/>
      <c r="AH188" s="0" t="n"/>
      <c r="AI188" s="0" t="n"/>
      <c r="AJ188" s="0" t="n"/>
      <c r="AK188" s="0" t="n"/>
      <c r="AL188" s="0" t="n"/>
      <c r="AM188" s="0" t="n"/>
      <c r="AN188" s="0" t="n"/>
      <c r="AO188" s="0" t="n"/>
      <c r="AP188" s="0" t="n"/>
      <c r="AQ188" s="0" t="n"/>
      <c r="AR188" s="0" t="n"/>
      <c r="AS188" s="0" t="n"/>
      <c r="AT188" s="0" t="n"/>
      <c r="AU188" s="0" t="n"/>
      <c r="AV188" s="0" t="n"/>
      <c r="AW188" s="0" t="n"/>
      <c r="AX188" s="0" t="n"/>
      <c r="AY188" s="0" t="n"/>
      <c r="AZ188" s="0" t="n"/>
      <c r="BA188" s="0" t="n"/>
      <c r="BB188" s="0" t="n"/>
      <c r="BC188" s="0" t="n"/>
      <c r="BD188" s="0" t="n"/>
      <c r="BE188" s="0" t="n"/>
      <c r="BF188" s="0" t="n"/>
      <c r="BG188" s="0" t="n"/>
      <c r="BH188" s="0" t="n"/>
      <c r="BI188" s="0" t="n"/>
      <c r="BJ188" s="0" t="n"/>
      <c r="BK188" s="0" t="n"/>
      <c r="BL188" s="0" t="n"/>
      <c r="BM188" s="0" t="n"/>
      <c r="BN188" s="0" t="n"/>
      <c r="BO188" s="0" t="n"/>
      <c r="BP188" s="0" t="n"/>
    </row>
    <row r="189" ht="16" customHeight="1" s="162">
      <c r="A189" s="206" t="n">
        <v>2603</v>
      </c>
      <c r="B189" s="164" t="n">
        <v>46084</v>
      </c>
      <c r="C189" s="161" t="inlineStr">
        <is>
          <t>하이젠540</t>
        </is>
      </c>
      <c r="D189" s="145" t="inlineStr">
        <is>
          <t>안국섬유</t>
        </is>
      </c>
      <c r="E189" s="4" t="inlineStr">
        <is>
          <t>동우섬유</t>
        </is>
      </c>
      <c r="F189" s="5" t="inlineStr">
        <is>
          <t>cleaner</t>
        </is>
      </c>
      <c r="G189" s="4" t="inlineStr">
        <is>
          <t>티에이케이</t>
        </is>
      </c>
      <c r="H189" s="66" t="inlineStr">
        <is>
          <t>PP450D</t>
        </is>
      </c>
      <c r="I189" s="66" t="n"/>
      <c r="J189" s="66" t="n"/>
      <c r="K189" s="67" t="n"/>
      <c r="L189" s="166" t="n">
        <v>1</v>
      </c>
      <c r="M189" s="167" t="n">
        <v>358.75</v>
      </c>
      <c r="N189" s="168" t="n"/>
      <c r="O189" s="169" t="n"/>
      <c r="P189" s="170" t="n"/>
      <c r="Q189" s="171" t="n"/>
      <c r="R189" s="172" t="n">
        <v>1050</v>
      </c>
      <c r="S189" s="172">
        <f>M189*R189</f>
        <v/>
      </c>
      <c r="T189" s="173" t="n"/>
      <c r="U189" s="174" t="n"/>
      <c r="V189" s="175" t="n"/>
      <c r="W189" s="176" t="n"/>
      <c r="X189" s="172" t="n"/>
      <c r="Y189" s="22" t="inlineStr">
        <is>
          <t>연사</t>
        </is>
      </c>
      <c r="Z189" s="177">
        <f>W189-S189-Q189</f>
        <v/>
      </c>
    </row>
    <row r="190" ht="16" customHeight="1" s="162">
      <c r="A190" s="206" t="n">
        <v>2603</v>
      </c>
      <c r="B190" s="164" t="n">
        <v>46099</v>
      </c>
      <c r="C190" s="161" t="inlineStr">
        <is>
          <t>하이젠540</t>
        </is>
      </c>
      <c r="D190" s="145" t="inlineStr">
        <is>
          <t>안국섬유</t>
        </is>
      </c>
      <c r="E190" s="4" t="inlineStr">
        <is>
          <t>동우섬유</t>
        </is>
      </c>
      <c r="F190" s="5" t="inlineStr">
        <is>
          <t>cleaner</t>
        </is>
      </c>
      <c r="G190" s="4" t="inlineStr">
        <is>
          <t>티에이케이</t>
        </is>
      </c>
      <c r="H190" s="66" t="inlineStr">
        <is>
          <t>NP150/3합</t>
        </is>
      </c>
      <c r="I190" s="66" t="n"/>
      <c r="J190" s="66" t="n"/>
      <c r="K190" s="121" t="n"/>
      <c r="L190" s="166" t="n"/>
      <c r="M190" s="167" t="n">
        <v>437.5</v>
      </c>
      <c r="N190" s="168" t="n"/>
      <c r="O190" s="169" t="n"/>
      <c r="P190" s="170" t="n"/>
      <c r="Q190" s="171" t="n"/>
      <c r="R190" s="172" t="n">
        <v>1000</v>
      </c>
      <c r="S190" s="227">
        <f>R190*M190</f>
        <v/>
      </c>
      <c r="T190" s="173" t="n"/>
      <c r="U190" s="174" t="n"/>
      <c r="V190" s="175" t="n"/>
      <c r="W190" s="176" t="n"/>
      <c r="X190" s="172" t="n"/>
      <c r="Y190" s="22" t="inlineStr">
        <is>
          <t>연사</t>
        </is>
      </c>
      <c r="Z190" s="177">
        <f>W190-R190-Q190</f>
        <v/>
      </c>
    </row>
    <row r="191" ht="16" customHeight="1" s="162">
      <c r="A191" s="206" t="n">
        <v>2603</v>
      </c>
      <c r="B191" s="164" t="n">
        <v>46099</v>
      </c>
      <c r="C191" s="161" t="inlineStr">
        <is>
          <t>하이젠540</t>
        </is>
      </c>
      <c r="D191" s="145" t="inlineStr">
        <is>
          <t>안국섬유</t>
        </is>
      </c>
      <c r="E191" s="4" t="inlineStr">
        <is>
          <t>동우섬유</t>
        </is>
      </c>
      <c r="F191" s="5" t="inlineStr">
        <is>
          <t>cleaner</t>
        </is>
      </c>
      <c r="G191" s="4" t="inlineStr">
        <is>
          <t>티에이케이</t>
        </is>
      </c>
      <c r="H191" s="66" t="inlineStr">
        <is>
          <t>P150/3합</t>
        </is>
      </c>
      <c r="I191" s="66" t="n"/>
      <c r="J191" s="66" t="n"/>
      <c r="K191" s="121" t="n"/>
      <c r="L191" s="166" t="n">
        <v>2</v>
      </c>
      <c r="M191" s="167" t="n">
        <v>822.5</v>
      </c>
      <c r="N191" s="168" t="n"/>
      <c r="O191" s="169" t="n"/>
      <c r="P191" s="170" t="n"/>
      <c r="Q191" s="171" t="n"/>
      <c r="R191" s="172" t="n">
        <v>1000</v>
      </c>
      <c r="S191" s="227">
        <f>R191*M191</f>
        <v/>
      </c>
      <c r="T191" s="173" t="n"/>
      <c r="U191" s="174" t="n"/>
      <c r="V191" s="175" t="n"/>
      <c r="W191" s="176" t="n"/>
      <c r="X191" s="172" t="n"/>
      <c r="Y191" s="22" t="inlineStr">
        <is>
          <t>연사</t>
        </is>
      </c>
      <c r="Z191" s="177">
        <f>W191-S191-Q191</f>
        <v/>
      </c>
    </row>
    <row r="192" ht="16" customHeight="1" s="162">
      <c r="A192" s="206" t="n">
        <v>2603</v>
      </c>
      <c r="B192" s="164" t="n">
        <v>46102</v>
      </c>
      <c r="C192" s="161" t="inlineStr">
        <is>
          <t>하이젠540</t>
        </is>
      </c>
      <c r="D192" s="145" t="inlineStr">
        <is>
          <t>안국섬유</t>
        </is>
      </c>
      <c r="E192" s="4" t="inlineStr">
        <is>
          <t>동우섬유</t>
        </is>
      </c>
      <c r="F192" s="5" t="inlineStr">
        <is>
          <t>CLEANER</t>
        </is>
      </c>
      <c r="G192" s="4" t="inlineStr">
        <is>
          <t>티에이케이</t>
        </is>
      </c>
      <c r="H192" s="66" t="inlineStr">
        <is>
          <t>NP150/3합</t>
        </is>
      </c>
      <c r="I192" s="66" t="n"/>
      <c r="J192" s="66" t="n"/>
      <c r="K192" s="121" t="n"/>
      <c r="L192" s="166" t="n">
        <v>3</v>
      </c>
      <c r="M192" s="167" t="n">
        <v>1312.5</v>
      </c>
      <c r="N192" s="168" t="n"/>
      <c r="O192" s="169" t="n"/>
      <c r="P192" s="170" t="n"/>
      <c r="Q192" s="171" t="n"/>
      <c r="R192" s="172" t="n">
        <v>1050</v>
      </c>
      <c r="S192" s="172">
        <f>M192*R192</f>
        <v/>
      </c>
      <c r="T192" s="173" t="n"/>
      <c r="U192" s="174" t="n"/>
      <c r="V192" s="175" t="n"/>
      <c r="W192" s="176" t="n"/>
      <c r="X192" s="172" t="n"/>
      <c r="Y192" s="22" t="inlineStr">
        <is>
          <t>연사</t>
        </is>
      </c>
      <c r="Z192" s="177">
        <f>W192-S192-Q192</f>
        <v/>
      </c>
    </row>
    <row r="193" ht="16" customHeight="1" s="162">
      <c r="A193" s="206" t="n">
        <v>2603</v>
      </c>
      <c r="B193" s="164" t="n">
        <v>46097</v>
      </c>
      <c r="C193" s="161" t="inlineStr">
        <is>
          <t>20D PTR</t>
        </is>
      </c>
      <c r="D193" s="145" t="inlineStr">
        <is>
          <t>유진트레이딩</t>
        </is>
      </c>
      <c r="E193" s="4" t="inlineStr">
        <is>
          <t>디케이티앤씨</t>
        </is>
      </c>
      <c r="F193" s="5" t="inlineStr">
        <is>
          <t>tape</t>
        </is>
      </c>
      <c r="G193" s="4" t="inlineStr">
        <is>
          <t>하이멜</t>
        </is>
      </c>
      <c r="H193" s="66" t="inlineStr">
        <is>
          <t>20D PTR</t>
        </is>
      </c>
      <c r="I193" s="66" t="n"/>
      <c r="J193" s="66" t="n"/>
      <c r="K193" s="121" t="n"/>
      <c r="L193" s="166" t="n">
        <v>6</v>
      </c>
      <c r="M193" s="167" t="n">
        <v>106</v>
      </c>
      <c r="N193" s="168" t="n">
        <v>2079</v>
      </c>
      <c r="O193" s="169" t="n"/>
      <c r="P193" s="170" t="n"/>
      <c r="Q193" s="171" t="n"/>
      <c r="R193" s="172" t="n"/>
      <c r="S193" s="172" t="n"/>
      <c r="T193" s="173" t="n"/>
      <c r="U193" s="174" t="n"/>
      <c r="V193" s="175" t="n"/>
      <c r="W193" s="176" t="n"/>
      <c r="X193" s="172" t="n"/>
      <c r="Y193" s="22" t="inlineStr">
        <is>
          <t>원료</t>
        </is>
      </c>
      <c r="Z193" s="177">
        <f>W193-S193-Q193</f>
        <v/>
      </c>
    </row>
    <row r="194" ht="16" customHeight="1" s="162">
      <c r="A194" s="206" t="n">
        <v>2603</v>
      </c>
      <c r="B194" s="207" t="n">
        <v>46101</v>
      </c>
      <c r="C194" s="159" t="inlineStr">
        <is>
          <t>hpk3042-sj</t>
        </is>
      </c>
      <c r="D194" s="160" t="inlineStr">
        <is>
          <t>풍아산업</t>
        </is>
      </c>
      <c r="E194" s="72" t="inlineStr">
        <is>
          <t>디케이티앤씨</t>
        </is>
      </c>
      <c r="F194" s="73" t="inlineStr">
        <is>
          <t>back</t>
        </is>
      </c>
      <c r="G194" s="72" t="inlineStr">
        <is>
          <t>디케이티앤씨</t>
        </is>
      </c>
      <c r="H194" s="74" t="inlineStr">
        <is>
          <t>HPK3042-SJ</t>
        </is>
      </c>
      <c r="I194" s="74" t="inlineStr">
        <is>
          <t>BLACK</t>
        </is>
      </c>
      <c r="J194" s="74" t="n"/>
      <c r="K194" s="85" t="n"/>
      <c r="L194" s="208" t="n">
        <v>1</v>
      </c>
      <c r="M194" s="209" t="n">
        <v>15.9</v>
      </c>
      <c r="N194" s="210" t="n">
        <v>226</v>
      </c>
      <c r="O194" s="211" t="n"/>
      <c r="P194" s="212" t="n"/>
      <c r="Q194" s="213" t="n"/>
      <c r="R194" s="215" t="n">
        <v>550</v>
      </c>
      <c r="S194" s="215">
        <f>N194*R194</f>
        <v/>
      </c>
      <c r="T194" s="216" t="n"/>
      <c r="U194" s="217" t="n"/>
      <c r="V194" s="218" t="n">
        <v>2100</v>
      </c>
      <c r="W194" s="219">
        <f>N194*V194</f>
        <v/>
      </c>
      <c r="X194" s="215" t="n"/>
      <c r="Y194" s="134" t="inlineStr">
        <is>
          <t>염색</t>
        </is>
      </c>
      <c r="Z194" s="221">
        <f>W194-S194-Q194</f>
        <v/>
      </c>
      <c r="AA194" s="68" t="n"/>
      <c r="AB194" s="68" t="n"/>
      <c r="AC194" s="68" t="n"/>
      <c r="AD194" s="68" t="n"/>
      <c r="AE194" s="68" t="n"/>
      <c r="AF194" s="68" t="n"/>
      <c r="AG194" s="68" t="n"/>
      <c r="AH194" s="68" t="n"/>
      <c r="AI194" s="68" t="n"/>
      <c r="AJ194" s="68" t="n"/>
      <c r="AK194" s="68" t="n"/>
      <c r="AL194" s="68" t="n"/>
      <c r="AM194" s="68" t="n"/>
      <c r="AN194" s="68" t="n"/>
      <c r="AO194" s="68" t="n"/>
      <c r="AP194" s="68" t="n"/>
      <c r="AQ194" s="68" t="n"/>
      <c r="AR194" s="68" t="n"/>
      <c r="AS194" s="68" t="n"/>
      <c r="AT194" s="68" t="n"/>
      <c r="AU194" s="68" t="n"/>
      <c r="AV194" s="68" t="n"/>
      <c r="AW194" s="68" t="n"/>
      <c r="AX194" s="68" t="n"/>
      <c r="AY194" s="68" t="n"/>
      <c r="AZ194" s="68" t="n"/>
      <c r="BA194" s="68" t="n"/>
      <c r="BB194" s="68" t="n"/>
      <c r="BC194" s="68" t="n"/>
      <c r="BD194" s="68" t="n"/>
      <c r="BE194" s="68" t="n"/>
      <c r="BF194" s="68" t="n"/>
      <c r="BG194" s="68" t="n"/>
      <c r="BH194" s="68" t="n"/>
      <c r="BI194" s="68" t="n"/>
      <c r="BJ194" s="68" t="n"/>
      <c r="BK194" s="68" t="n"/>
      <c r="BL194" s="68" t="n"/>
      <c r="BM194" s="68" t="n"/>
      <c r="BN194" s="68" t="n"/>
      <c r="BO194" s="68" t="n"/>
      <c r="BP194" s="68" t="n"/>
    </row>
    <row r="195" ht="16" customHeight="1" s="162">
      <c r="A195" s="206" t="n">
        <v>2603</v>
      </c>
      <c r="B195" s="164" t="n">
        <v>46104</v>
      </c>
      <c r="C195" s="161" t="inlineStr">
        <is>
          <t xml:space="preserve">recycle 30심지 </t>
        </is>
      </c>
      <c r="D195" s="145" t="inlineStr">
        <is>
          <t>원창머티어리얼</t>
        </is>
      </c>
      <c r="E195" s="4" t="inlineStr">
        <is>
          <t>미래심지</t>
        </is>
      </c>
      <c r="F195" s="5" t="inlineStr">
        <is>
          <t>back</t>
        </is>
      </c>
      <c r="G195" s="4" t="inlineStr">
        <is>
          <t>원창머티어리얼</t>
        </is>
      </c>
      <c r="H195" s="66" t="inlineStr">
        <is>
          <t>RECYCLE P30D WOVEN</t>
        </is>
      </c>
      <c r="I195" s="66" t="inlineStr">
        <is>
          <t>GREY1</t>
        </is>
      </c>
      <c r="J195" s="66" t="inlineStr">
        <is>
          <t>반품</t>
        </is>
      </c>
      <c r="K195" s="121" t="n"/>
      <c r="L195" s="166" t="n">
        <v>39</v>
      </c>
      <c r="M195" s="167" t="n"/>
      <c r="N195" s="168" t="n">
        <v>10729</v>
      </c>
      <c r="O195" s="169" t="n"/>
      <c r="P195" s="170" t="n"/>
      <c r="Q195" s="171" t="n"/>
      <c r="R195" s="172" t="inlineStr">
        <is>
          <t>XXXX</t>
        </is>
      </c>
      <c r="S195" s="172" t="n"/>
      <c r="T195" s="173" t="n"/>
      <c r="U195" s="174" t="n"/>
      <c r="V195" s="175" t="n"/>
      <c r="W195" s="176" t="n"/>
      <c r="X195" s="172" t="n"/>
      <c r="Z195" s="177">
        <f>W195-S195-Q195</f>
        <v/>
      </c>
    </row>
    <row r="196" ht="16" customFormat="1" customHeight="1" s="68">
      <c r="A196" s="206" t="n">
        <v>2603</v>
      </c>
      <c r="B196" s="164" t="n">
        <v>46091</v>
      </c>
      <c r="C196" s="161" t="inlineStr">
        <is>
          <t>hpk3042-sj</t>
        </is>
      </c>
      <c r="D196" s="145" t="inlineStr">
        <is>
          <t>풍아산업</t>
        </is>
      </c>
      <c r="E196" s="4" t="inlineStr">
        <is>
          <t>성일티앤씨</t>
        </is>
      </c>
      <c r="F196" s="5" t="inlineStr">
        <is>
          <t>tape</t>
        </is>
      </c>
      <c r="G196" s="4" t="inlineStr">
        <is>
          <t>실론</t>
        </is>
      </c>
      <c r="H196" s="66" t="inlineStr">
        <is>
          <t>HPK3042-SJ</t>
        </is>
      </c>
      <c r="I196" s="66" t="inlineStr">
        <is>
          <t>DIM GREY</t>
        </is>
      </c>
      <c r="J196" s="66" t="n"/>
      <c r="K196" s="121" t="n">
        <v>1</v>
      </c>
      <c r="L196" s="166" t="n">
        <v>5</v>
      </c>
      <c r="M196" s="167" t="n">
        <v>45</v>
      </c>
      <c r="N196" s="168" t="n">
        <v>674</v>
      </c>
      <c r="O196" s="169" t="n"/>
      <c r="P196" s="170" t="n"/>
      <c r="Q196" s="171" t="n"/>
      <c r="R196" s="172" t="n">
        <v>500</v>
      </c>
      <c r="S196" s="172">
        <f>N196*R196</f>
        <v/>
      </c>
      <c r="T196" s="173" t="n"/>
      <c r="U196" s="174" t="n"/>
      <c r="V196" s="175" t="n"/>
      <c r="W196" s="176" t="n"/>
      <c r="X196" s="172" t="n"/>
      <c r="Y196" s="22" t="inlineStr">
        <is>
          <t>염색</t>
        </is>
      </c>
      <c r="Z196" s="177">
        <f>W196-S196-Q196</f>
        <v/>
      </c>
      <c r="AA196" s="0" t="n"/>
      <c r="AB196" s="0" t="n"/>
      <c r="AC196" s="0" t="n"/>
      <c r="AD196" s="0" t="n"/>
      <c r="AE196" s="0" t="n"/>
      <c r="AF196" s="0" t="n"/>
      <c r="AG196" s="0" t="n"/>
      <c r="AH196" s="0" t="n"/>
      <c r="AI196" s="0" t="n"/>
      <c r="AJ196" s="0" t="n"/>
      <c r="AK196" s="0" t="n"/>
      <c r="AL196" s="0" t="n"/>
      <c r="AM196" s="0" t="n"/>
      <c r="AN196" s="0" t="n"/>
      <c r="AO196" s="0" t="n"/>
      <c r="AP196" s="0" t="n"/>
      <c r="AQ196" s="0" t="n"/>
      <c r="AR196" s="0" t="n"/>
      <c r="AS196" s="0" t="n"/>
      <c r="AT196" s="0" t="n"/>
      <c r="AU196" s="0" t="n"/>
      <c r="AV196" s="0" t="n"/>
      <c r="AW196" s="0" t="n"/>
      <c r="AX196" s="0" t="n"/>
      <c r="AY196" s="0" t="n"/>
      <c r="AZ196" s="0" t="n"/>
      <c r="BA196" s="0" t="n"/>
      <c r="BB196" s="0" t="n"/>
      <c r="BC196" s="0" t="n"/>
      <c r="BD196" s="0" t="n"/>
      <c r="BE196" s="0" t="n"/>
      <c r="BF196" s="0" t="n"/>
      <c r="BG196" s="0" t="n"/>
      <c r="BH196" s="0" t="n"/>
      <c r="BI196" s="0" t="n"/>
      <c r="BJ196" s="0" t="n"/>
      <c r="BK196" s="0" t="n"/>
      <c r="BL196" s="0" t="n"/>
      <c r="BM196" s="0" t="n"/>
      <c r="BN196" s="0" t="n"/>
      <c r="BO196" s="0" t="n"/>
      <c r="BP196" s="0" t="n"/>
    </row>
    <row r="197" ht="16" customFormat="1" customHeight="1" s="68">
      <c r="A197" s="206" t="n">
        <v>2603</v>
      </c>
      <c r="B197" s="164" t="n">
        <v>46091</v>
      </c>
      <c r="C197" s="161" t="inlineStr">
        <is>
          <t>hpk3042-sj</t>
        </is>
      </c>
      <c r="D197" s="145" t="inlineStr">
        <is>
          <t>풍아산업</t>
        </is>
      </c>
      <c r="E197" s="4" t="inlineStr">
        <is>
          <t>성일티앤씨</t>
        </is>
      </c>
      <c r="F197" s="5" t="inlineStr">
        <is>
          <t>tape</t>
        </is>
      </c>
      <c r="G197" s="4" t="inlineStr">
        <is>
          <t>실론</t>
        </is>
      </c>
      <c r="H197" s="66" t="inlineStr">
        <is>
          <t>HPK3042-SJ</t>
        </is>
      </c>
      <c r="I197" s="66" t="inlineStr">
        <is>
          <t>DIM GREY</t>
        </is>
      </c>
      <c r="J197" s="66" t="n"/>
      <c r="K197" s="121" t="n">
        <v>2</v>
      </c>
      <c r="L197" s="166" t="n">
        <v>15</v>
      </c>
      <c r="M197" s="167" t="n">
        <v>164</v>
      </c>
      <c r="N197" s="168" t="n">
        <v>2370</v>
      </c>
      <c r="O197" s="169" t="n"/>
      <c r="P197" s="170" t="n"/>
      <c r="Q197" s="171" t="n"/>
      <c r="R197" s="172" t="n">
        <v>500</v>
      </c>
      <c r="S197" s="172">
        <f>N197*R197</f>
        <v/>
      </c>
      <c r="T197" s="173" t="n"/>
      <c r="U197" s="174" t="n"/>
      <c r="V197" s="175" t="n"/>
      <c r="W197" s="176" t="n"/>
      <c r="X197" s="172" t="n"/>
      <c r="Y197" s="22" t="inlineStr">
        <is>
          <t>염색</t>
        </is>
      </c>
      <c r="Z197" s="177">
        <f>W197-S197-Q197</f>
        <v/>
      </c>
      <c r="AA197" s="0" t="n"/>
      <c r="AB197" s="0" t="n"/>
      <c r="AC197" s="0" t="n"/>
      <c r="AD197" s="0" t="n"/>
      <c r="AE197" s="0" t="n"/>
      <c r="AF197" s="0" t="n"/>
      <c r="AG197" s="0" t="n"/>
      <c r="AH197" s="0" t="n"/>
      <c r="AI197" s="0" t="n"/>
      <c r="AJ197" s="0" t="n"/>
      <c r="AK197" s="0" t="n"/>
      <c r="AL197" s="0" t="n"/>
      <c r="AM197" s="0" t="n"/>
      <c r="AN197" s="0" t="n"/>
      <c r="AO197" s="0" t="n"/>
      <c r="AP197" s="0" t="n"/>
      <c r="AQ197" s="0" t="n"/>
      <c r="AR197" s="0" t="n"/>
      <c r="AS197" s="0" t="n"/>
      <c r="AT197" s="0" t="n"/>
      <c r="AU197" s="0" t="n"/>
      <c r="AV197" s="0" t="n"/>
      <c r="AW197" s="0" t="n"/>
      <c r="AX197" s="0" t="n"/>
      <c r="AY197" s="0" t="n"/>
      <c r="AZ197" s="0" t="n"/>
      <c r="BA197" s="0" t="n"/>
      <c r="BB197" s="0" t="n"/>
      <c r="BC197" s="0" t="n"/>
      <c r="BD197" s="0" t="n"/>
      <c r="BE197" s="0" t="n"/>
      <c r="BF197" s="0" t="n"/>
      <c r="BG197" s="0" t="n"/>
      <c r="BH197" s="0" t="n"/>
      <c r="BI197" s="0" t="n"/>
      <c r="BJ197" s="0" t="n"/>
      <c r="BK197" s="0" t="n"/>
      <c r="BL197" s="0" t="n"/>
      <c r="BM197" s="0" t="n"/>
      <c r="BN197" s="0" t="n"/>
      <c r="BO197" s="0" t="n"/>
      <c r="BP197" s="0" t="n"/>
    </row>
    <row r="198" ht="16" customFormat="1" customHeight="1" s="68">
      <c r="A198" s="206" t="n">
        <v>2603</v>
      </c>
      <c r="B198" s="164" t="n">
        <v>46094</v>
      </c>
      <c r="C198" s="161" t="inlineStr">
        <is>
          <t>HPK3042-SJ</t>
        </is>
      </c>
      <c r="D198" s="145" t="inlineStr">
        <is>
          <t>풍아산업</t>
        </is>
      </c>
      <c r="E198" s="4" t="inlineStr">
        <is>
          <t>성일티앤씨</t>
        </is>
      </c>
      <c r="F198" s="5" t="inlineStr">
        <is>
          <t>tape</t>
        </is>
      </c>
      <c r="G198" s="4" t="inlineStr">
        <is>
          <t>실론</t>
        </is>
      </c>
      <c r="H198" s="66" t="inlineStr">
        <is>
          <t>HPK3042-SJ</t>
        </is>
      </c>
      <c r="I198" s="66" t="inlineStr">
        <is>
          <t>BLACK</t>
        </is>
      </c>
      <c r="J198" s="66" t="n"/>
      <c r="K198" s="121" t="n">
        <v>46</v>
      </c>
      <c r="L198" s="166" t="n">
        <v>7</v>
      </c>
      <c r="M198" s="167" t="n">
        <v>93</v>
      </c>
      <c r="N198" s="168" t="n">
        <v>1419</v>
      </c>
      <c r="O198" s="169" t="n"/>
      <c r="P198" s="170" t="n"/>
      <c r="Q198" s="171" t="n"/>
      <c r="R198" s="172" t="n">
        <v>550</v>
      </c>
      <c r="S198" s="172">
        <f>N198*R198</f>
        <v/>
      </c>
      <c r="T198" s="173" t="n"/>
      <c r="U198" s="174" t="n"/>
      <c r="V198" s="175" t="n"/>
      <c r="W198" s="176" t="n"/>
      <c r="X198" s="172" t="n"/>
      <c r="Y198" s="22" t="inlineStr">
        <is>
          <t>염색</t>
        </is>
      </c>
      <c r="Z198" s="177">
        <f>W198-S198-Q198</f>
        <v/>
      </c>
      <c r="AA198" s="0" t="n"/>
      <c r="AB198" s="0" t="n"/>
      <c r="AC198" s="0" t="n"/>
      <c r="AD198" s="0" t="n"/>
      <c r="AE198" s="0" t="n"/>
      <c r="AF198" s="0" t="n"/>
      <c r="AG198" s="0" t="n"/>
      <c r="AH198" s="0" t="n"/>
      <c r="AI198" s="0" t="n"/>
      <c r="AJ198" s="0" t="n"/>
      <c r="AK198" s="0" t="n"/>
      <c r="AL198" s="0" t="n"/>
      <c r="AM198" s="0" t="n"/>
      <c r="AN198" s="0" t="n"/>
      <c r="AO198" s="0" t="n"/>
      <c r="AP198" s="0" t="n"/>
      <c r="AQ198" s="0" t="n"/>
      <c r="AR198" s="0" t="n"/>
      <c r="AS198" s="0" t="n"/>
      <c r="AT198" s="0" t="n"/>
      <c r="AU198" s="0" t="n"/>
      <c r="AV198" s="0" t="n"/>
      <c r="AW198" s="0" t="n"/>
      <c r="AX198" s="0" t="n"/>
      <c r="AY198" s="0" t="n"/>
      <c r="AZ198" s="0" t="n"/>
      <c r="BA198" s="0" t="n"/>
      <c r="BB198" s="0" t="n"/>
      <c r="BC198" s="0" t="n"/>
      <c r="BD198" s="0" t="n"/>
      <c r="BE198" s="0" t="n"/>
      <c r="BF198" s="0" t="n"/>
      <c r="BG198" s="0" t="n"/>
      <c r="BH198" s="0" t="n"/>
      <c r="BI198" s="0" t="n"/>
      <c r="BJ198" s="0" t="n"/>
      <c r="BK198" s="0" t="n"/>
      <c r="BL198" s="0" t="n"/>
      <c r="BM198" s="0" t="n"/>
      <c r="BN198" s="0" t="n"/>
      <c r="BO198" s="0" t="n"/>
      <c r="BP198" s="0" t="n"/>
    </row>
    <row r="199" ht="16" customFormat="1" customHeight="1" s="68">
      <c r="A199" s="206" t="n">
        <v>2603</v>
      </c>
      <c r="B199" s="164" t="n">
        <v>46094</v>
      </c>
      <c r="C199" s="161" t="inlineStr">
        <is>
          <t>HPK3042-SJ</t>
        </is>
      </c>
      <c r="D199" s="145" t="inlineStr">
        <is>
          <t>풍아산업</t>
        </is>
      </c>
      <c r="E199" s="4" t="inlineStr">
        <is>
          <t>성일티앤씨</t>
        </is>
      </c>
      <c r="F199" s="5" t="inlineStr">
        <is>
          <t>tape</t>
        </is>
      </c>
      <c r="G199" s="4" t="inlineStr">
        <is>
          <t>실론</t>
        </is>
      </c>
      <c r="H199" s="66" t="inlineStr">
        <is>
          <t>HPK3042-SJ</t>
        </is>
      </c>
      <c r="I199" s="66" t="inlineStr">
        <is>
          <t>QUITE SHADE</t>
        </is>
      </c>
      <c r="J199" s="66" t="n"/>
      <c r="K199" s="121" t="n">
        <v>35</v>
      </c>
      <c r="L199" s="166" t="n">
        <v>6</v>
      </c>
      <c r="M199" s="167" t="n">
        <v>91.2</v>
      </c>
      <c r="N199" s="168" t="n">
        <v>1440</v>
      </c>
      <c r="O199" s="169" t="n"/>
      <c r="P199" s="170" t="n"/>
      <c r="Q199" s="171" t="n"/>
      <c r="R199" s="172" t="n">
        <v>500</v>
      </c>
      <c r="S199" s="172">
        <f>N199*R199</f>
        <v/>
      </c>
      <c r="T199" s="173" t="n"/>
      <c r="U199" s="174" t="n"/>
      <c r="V199" s="175" t="n"/>
      <c r="W199" s="176" t="n"/>
      <c r="X199" s="172" t="n"/>
      <c r="Y199" s="22" t="inlineStr">
        <is>
          <t>염색</t>
        </is>
      </c>
      <c r="Z199" s="177">
        <f>W199-S199-Q199</f>
        <v/>
      </c>
      <c r="AA199" s="0" t="n"/>
      <c r="AB199" s="0" t="n"/>
      <c r="AC199" s="0" t="n"/>
      <c r="AD199" s="0" t="n"/>
      <c r="AE199" s="0" t="n"/>
      <c r="AF199" s="0" t="n"/>
      <c r="AG199" s="0" t="n"/>
      <c r="AH199" s="0" t="n"/>
      <c r="AI199" s="0" t="n"/>
      <c r="AJ199" s="0" t="n"/>
      <c r="AK199" s="0" t="n"/>
      <c r="AL199" s="0" t="n"/>
      <c r="AM199" s="0" t="n"/>
      <c r="AN199" s="0" t="n"/>
      <c r="AO199" s="0" t="n"/>
      <c r="AP199" s="0" t="n"/>
      <c r="AQ199" s="0" t="n"/>
      <c r="AR199" s="0" t="n"/>
      <c r="AS199" s="0" t="n"/>
      <c r="AT199" s="0" t="n"/>
      <c r="AU199" s="0" t="n"/>
      <c r="AV199" s="0" t="n"/>
      <c r="AW199" s="0" t="n"/>
      <c r="AX199" s="0" t="n"/>
      <c r="AY199" s="0" t="n"/>
      <c r="AZ199" s="0" t="n"/>
      <c r="BA199" s="0" t="n"/>
      <c r="BB199" s="0" t="n"/>
      <c r="BC199" s="0" t="n"/>
      <c r="BD199" s="0" t="n"/>
      <c r="BE199" s="0" t="n"/>
      <c r="BF199" s="0" t="n"/>
      <c r="BG199" s="0" t="n"/>
      <c r="BH199" s="0" t="n"/>
      <c r="BI199" s="0" t="n"/>
      <c r="BJ199" s="0" t="n"/>
      <c r="BK199" s="0" t="n"/>
      <c r="BL199" s="0" t="n"/>
      <c r="BM199" s="0" t="n"/>
      <c r="BN199" s="0" t="n"/>
      <c r="BO199" s="0" t="n"/>
      <c r="BP199" s="0" t="n"/>
    </row>
    <row r="200" ht="16" customFormat="1" customHeight="1" s="68">
      <c r="A200" s="206" t="n">
        <v>2603</v>
      </c>
      <c r="B200" s="164" t="n">
        <v>46094</v>
      </c>
      <c r="C200" s="161" t="inlineStr">
        <is>
          <t>HPK3042-SJ</t>
        </is>
      </c>
      <c r="D200" s="145" t="inlineStr">
        <is>
          <t>풍아산업</t>
        </is>
      </c>
      <c r="E200" s="4" t="inlineStr">
        <is>
          <t>성일티앤씨</t>
        </is>
      </c>
      <c r="F200" s="5" t="inlineStr">
        <is>
          <t>tape</t>
        </is>
      </c>
      <c r="G200" s="4" t="inlineStr">
        <is>
          <t>실론</t>
        </is>
      </c>
      <c r="H200" s="66" t="inlineStr">
        <is>
          <t>HPK3042-SJ</t>
        </is>
      </c>
      <c r="I200" s="66" t="inlineStr">
        <is>
          <t>QUITE SHADE</t>
        </is>
      </c>
      <c r="J200" s="66" t="n"/>
      <c r="K200" s="121" t="n">
        <v>34</v>
      </c>
      <c r="L200" s="166" t="n">
        <v>6</v>
      </c>
      <c r="M200" s="167" t="n">
        <v>90.8</v>
      </c>
      <c r="N200" s="168" t="n">
        <v>1427</v>
      </c>
      <c r="O200" s="169" t="n"/>
      <c r="P200" s="170" t="n"/>
      <c r="Q200" s="171" t="n"/>
      <c r="R200" s="172" t="n">
        <v>500</v>
      </c>
      <c r="S200" s="172">
        <f>N200*R200</f>
        <v/>
      </c>
      <c r="T200" s="173" t="n"/>
      <c r="U200" s="174" t="n"/>
      <c r="V200" s="175" t="n"/>
      <c r="W200" s="176" t="n"/>
      <c r="X200" s="172" t="n"/>
      <c r="Y200" s="22" t="inlineStr">
        <is>
          <t>염색</t>
        </is>
      </c>
      <c r="Z200" s="177">
        <f>W200-S200-Q200</f>
        <v/>
      </c>
      <c r="AA200" s="0" t="n"/>
      <c r="AB200" s="0" t="n"/>
      <c r="AC200" s="0" t="n"/>
      <c r="AD200" s="0" t="n"/>
      <c r="AE200" s="0" t="n"/>
      <c r="AF200" s="0" t="n"/>
      <c r="AG200" s="0" t="n"/>
      <c r="AH200" s="0" t="n"/>
      <c r="AI200" s="0" t="n"/>
      <c r="AJ200" s="0" t="n"/>
      <c r="AK200" s="0" t="n"/>
      <c r="AL200" s="0" t="n"/>
      <c r="AM200" s="0" t="n"/>
      <c r="AN200" s="0" t="n"/>
      <c r="AO200" s="0" t="n"/>
      <c r="AP200" s="0" t="n"/>
      <c r="AQ200" s="0" t="n"/>
      <c r="AR200" s="0" t="n"/>
      <c r="AS200" s="0" t="n"/>
      <c r="AT200" s="0" t="n"/>
      <c r="AU200" s="0" t="n"/>
      <c r="AV200" s="0" t="n"/>
      <c r="AW200" s="0" t="n"/>
      <c r="AX200" s="0" t="n"/>
      <c r="AY200" s="0" t="n"/>
      <c r="AZ200" s="0" t="n"/>
      <c r="BA200" s="0" t="n"/>
      <c r="BB200" s="0" t="n"/>
      <c r="BC200" s="0" t="n"/>
      <c r="BD200" s="0" t="n"/>
      <c r="BE200" s="0" t="n"/>
      <c r="BF200" s="0" t="n"/>
      <c r="BG200" s="0" t="n"/>
      <c r="BH200" s="0" t="n"/>
      <c r="BI200" s="0" t="n"/>
      <c r="BJ200" s="0" t="n"/>
      <c r="BK200" s="0" t="n"/>
      <c r="BL200" s="0" t="n"/>
      <c r="BM200" s="0" t="n"/>
      <c r="BN200" s="0" t="n"/>
      <c r="BO200" s="0" t="n"/>
      <c r="BP200" s="0" t="n"/>
    </row>
    <row r="201" ht="16" customFormat="1" customHeight="1" s="68">
      <c r="A201" s="206" t="n">
        <v>2603</v>
      </c>
      <c r="B201" s="164" t="n">
        <v>46101</v>
      </c>
      <c r="C201" s="161" t="inlineStr">
        <is>
          <t>HPK3042-SJ</t>
        </is>
      </c>
      <c r="D201" s="145" t="inlineStr">
        <is>
          <t>풍아산업</t>
        </is>
      </c>
      <c r="E201" s="4" t="inlineStr">
        <is>
          <t>성일티앤씨</t>
        </is>
      </c>
      <c r="F201" s="5" t="inlineStr">
        <is>
          <t>TAPE</t>
        </is>
      </c>
      <c r="G201" s="4" t="inlineStr">
        <is>
          <t>실론</t>
        </is>
      </c>
      <c r="H201" s="66" t="inlineStr">
        <is>
          <t>HPK3042-SJ</t>
        </is>
      </c>
      <c r="I201" s="66" t="inlineStr">
        <is>
          <t>BLACK</t>
        </is>
      </c>
      <c r="J201" s="66" t="n"/>
      <c r="K201" s="121" t="n">
        <v>47</v>
      </c>
      <c r="L201" s="166" t="n">
        <v>7</v>
      </c>
      <c r="M201" s="167" t="n">
        <v>76.90000000000001</v>
      </c>
      <c r="N201" s="168" t="n">
        <v>1092</v>
      </c>
      <c r="O201" s="169" t="n"/>
      <c r="P201" s="170" t="n"/>
      <c r="Q201" s="171" t="n"/>
      <c r="R201" s="172" t="n">
        <v>550</v>
      </c>
      <c r="S201" s="172">
        <f>N201*R201</f>
        <v/>
      </c>
      <c r="T201" s="173" t="n"/>
      <c r="U201" s="174" t="n"/>
      <c r="V201" s="175" t="n"/>
      <c r="W201" s="176" t="n"/>
      <c r="X201" s="172" t="n"/>
      <c r="Y201" s="22" t="inlineStr">
        <is>
          <t>염색</t>
        </is>
      </c>
      <c r="Z201" s="177">
        <f>W201-S201-Q201</f>
        <v/>
      </c>
      <c r="AA201" s="0" t="n"/>
      <c r="AB201" s="0" t="n"/>
      <c r="AC201" s="0" t="n"/>
      <c r="AD201" s="0" t="n"/>
      <c r="AE201" s="0" t="n"/>
      <c r="AF201" s="0" t="n"/>
      <c r="AG201" s="0" t="n"/>
      <c r="AH201" s="0" t="n"/>
      <c r="AI201" s="0" t="n"/>
      <c r="AJ201" s="0" t="n"/>
      <c r="AK201" s="0" t="n"/>
      <c r="AL201" s="0" t="n"/>
      <c r="AM201" s="0" t="n"/>
      <c r="AN201" s="0" t="n"/>
      <c r="AO201" s="0" t="n"/>
      <c r="AP201" s="0" t="n"/>
      <c r="AQ201" s="0" t="n"/>
      <c r="AR201" s="0" t="n"/>
      <c r="AS201" s="0" t="n"/>
      <c r="AT201" s="0" t="n"/>
      <c r="AU201" s="0" t="n"/>
      <c r="AV201" s="0" t="n"/>
      <c r="AW201" s="0" t="n"/>
      <c r="AX201" s="0" t="n"/>
      <c r="AY201" s="0" t="n"/>
      <c r="AZ201" s="0" t="n"/>
      <c r="BA201" s="0" t="n"/>
      <c r="BB201" s="0" t="n"/>
      <c r="BC201" s="0" t="n"/>
      <c r="BD201" s="0" t="n"/>
      <c r="BE201" s="0" t="n"/>
      <c r="BF201" s="0" t="n"/>
      <c r="BG201" s="0" t="n"/>
      <c r="BH201" s="0" t="n"/>
      <c r="BI201" s="0" t="n"/>
      <c r="BJ201" s="0" t="n"/>
      <c r="BK201" s="0" t="n"/>
      <c r="BL201" s="0" t="n"/>
      <c r="BM201" s="0" t="n"/>
      <c r="BN201" s="0" t="n"/>
      <c r="BO201" s="0" t="n"/>
      <c r="BP201" s="0" t="n"/>
    </row>
    <row r="202" ht="16" customFormat="1" customHeight="1" s="68">
      <c r="A202" s="206" t="n">
        <v>2603</v>
      </c>
      <c r="B202" s="164" t="n">
        <v>46101</v>
      </c>
      <c r="C202" s="161" t="inlineStr">
        <is>
          <t>HPK3042-SJ</t>
        </is>
      </c>
      <c r="D202" s="145" t="inlineStr">
        <is>
          <t>풍아산업</t>
        </is>
      </c>
      <c r="E202" s="4" t="inlineStr">
        <is>
          <t>성일티앤씨</t>
        </is>
      </c>
      <c r="F202" s="5" t="inlineStr">
        <is>
          <t>TAPE</t>
        </is>
      </c>
      <c r="G202" s="4" t="inlineStr">
        <is>
          <t>실론</t>
        </is>
      </c>
      <c r="H202" s="66" t="inlineStr">
        <is>
          <t>HPK3042-SJ</t>
        </is>
      </c>
      <c r="I202" s="66" t="inlineStr">
        <is>
          <t>BLACK</t>
        </is>
      </c>
      <c r="J202" s="66" t="n"/>
      <c r="K202" s="121" t="n">
        <v>48</v>
      </c>
      <c r="L202" s="166" t="n">
        <v>8</v>
      </c>
      <c r="M202" s="167" t="n">
        <v>94.8</v>
      </c>
      <c r="N202" s="168" t="n">
        <v>1359</v>
      </c>
      <c r="O202" s="169" t="n"/>
      <c r="P202" s="170" t="n"/>
      <c r="Q202" s="171" t="n"/>
      <c r="R202" s="172" t="n">
        <v>550</v>
      </c>
      <c r="S202" s="172">
        <f>N202*R202</f>
        <v/>
      </c>
      <c r="T202" s="173" t="n"/>
      <c r="U202" s="174" t="n"/>
      <c r="V202" s="175" t="n"/>
      <c r="W202" s="176" t="n"/>
      <c r="X202" s="172" t="n"/>
      <c r="Y202" s="22" t="inlineStr">
        <is>
          <t>염색</t>
        </is>
      </c>
      <c r="Z202" s="177">
        <f>W202-S202-Q202</f>
        <v/>
      </c>
      <c r="AA202" s="0" t="n"/>
      <c r="AB202" s="0" t="n"/>
      <c r="AC202" s="0" t="n"/>
      <c r="AD202" s="0" t="n"/>
      <c r="AE202" s="0" t="n"/>
      <c r="AF202" s="0" t="n"/>
      <c r="AG202" s="0" t="n"/>
      <c r="AH202" s="0" t="n"/>
      <c r="AI202" s="0" t="n"/>
      <c r="AJ202" s="0" t="n"/>
      <c r="AK202" s="0" t="n"/>
      <c r="AL202" s="0" t="n"/>
      <c r="AM202" s="0" t="n"/>
      <c r="AN202" s="0" t="n"/>
      <c r="AO202" s="0" t="n"/>
      <c r="AP202" s="0" t="n"/>
      <c r="AQ202" s="0" t="n"/>
      <c r="AR202" s="0" t="n"/>
      <c r="AS202" s="0" t="n"/>
      <c r="AT202" s="0" t="n"/>
      <c r="AU202" s="0" t="n"/>
      <c r="AV202" s="0" t="n"/>
      <c r="AW202" s="0" t="n"/>
      <c r="AX202" s="0" t="n"/>
      <c r="AY202" s="0" t="n"/>
      <c r="AZ202" s="0" t="n"/>
      <c r="BA202" s="0" t="n"/>
      <c r="BB202" s="0" t="n"/>
      <c r="BC202" s="0" t="n"/>
      <c r="BD202" s="0" t="n"/>
      <c r="BE202" s="0" t="n"/>
      <c r="BF202" s="0" t="n"/>
      <c r="BG202" s="0" t="n"/>
      <c r="BH202" s="0" t="n"/>
      <c r="BI202" s="0" t="n"/>
      <c r="BJ202" s="0" t="n"/>
      <c r="BK202" s="0" t="n"/>
      <c r="BL202" s="0" t="n"/>
      <c r="BM202" s="0" t="n"/>
      <c r="BN202" s="0" t="n"/>
      <c r="BO202" s="0" t="n"/>
      <c r="BP202" s="0" t="n"/>
    </row>
    <row r="203" ht="16" customFormat="1" customHeight="1" s="68">
      <c r="A203" s="206" t="n">
        <v>2603</v>
      </c>
      <c r="B203" s="164" t="n">
        <v>46101</v>
      </c>
      <c r="C203" s="161" t="inlineStr">
        <is>
          <t>HPK3042-SJ</t>
        </is>
      </c>
      <c r="D203" s="145" t="inlineStr">
        <is>
          <t>풍아산업</t>
        </is>
      </c>
      <c r="E203" s="4" t="inlineStr">
        <is>
          <t>성일티앤씨</t>
        </is>
      </c>
      <c r="F203" s="5" t="inlineStr">
        <is>
          <t>TAPE</t>
        </is>
      </c>
      <c r="G203" s="4" t="inlineStr">
        <is>
          <t>실론</t>
        </is>
      </c>
      <c r="H203" s="66" t="inlineStr">
        <is>
          <t>HPK3042-SJ</t>
        </is>
      </c>
      <c r="I203" s="66" t="inlineStr">
        <is>
          <t>BLACK</t>
        </is>
      </c>
      <c r="J203" s="66" t="n"/>
      <c r="K203" s="121" t="n">
        <v>49</v>
      </c>
      <c r="L203" s="166" t="n">
        <v>4</v>
      </c>
      <c r="M203" s="167" t="n">
        <v>48.9</v>
      </c>
      <c r="N203" s="168" t="n">
        <v>718</v>
      </c>
      <c r="O203" s="169" t="n"/>
      <c r="P203" s="170" t="n"/>
      <c r="Q203" s="171" t="n"/>
      <c r="R203" s="172" t="n">
        <v>550</v>
      </c>
      <c r="S203" s="172">
        <f>N203*R203</f>
        <v/>
      </c>
      <c r="T203" s="173" t="n"/>
      <c r="U203" s="174" t="n"/>
      <c r="V203" s="175" t="n"/>
      <c r="W203" s="176" t="n"/>
      <c r="X203" s="172" t="n"/>
      <c r="Y203" s="22" t="inlineStr">
        <is>
          <t>염색</t>
        </is>
      </c>
      <c r="Z203" s="177">
        <f>W203-S203-Q203</f>
        <v/>
      </c>
      <c r="AA203" s="0" t="n"/>
      <c r="AB203" s="0" t="n"/>
      <c r="AC203" s="0" t="n"/>
      <c r="AD203" s="0" t="n"/>
      <c r="AE203" s="0" t="n"/>
      <c r="AF203" s="0" t="n"/>
      <c r="AG203" s="0" t="n"/>
      <c r="AH203" s="0" t="n"/>
      <c r="AI203" s="0" t="n"/>
      <c r="AJ203" s="0" t="n"/>
      <c r="AK203" s="0" t="n"/>
      <c r="AL203" s="0" t="n"/>
      <c r="AM203" s="0" t="n"/>
      <c r="AN203" s="0" t="n"/>
      <c r="AO203" s="0" t="n"/>
      <c r="AP203" s="0" t="n"/>
      <c r="AQ203" s="0" t="n"/>
      <c r="AR203" s="0" t="n"/>
      <c r="AS203" s="0" t="n"/>
      <c r="AT203" s="0" t="n"/>
      <c r="AU203" s="0" t="n"/>
      <c r="AV203" s="0" t="n"/>
      <c r="AW203" s="0" t="n"/>
      <c r="AX203" s="0" t="n"/>
      <c r="AY203" s="0" t="n"/>
      <c r="AZ203" s="0" t="n"/>
      <c r="BA203" s="0" t="n"/>
      <c r="BB203" s="0" t="n"/>
      <c r="BC203" s="0" t="n"/>
      <c r="BD203" s="0" t="n"/>
      <c r="BE203" s="0" t="n"/>
      <c r="BF203" s="0" t="n"/>
      <c r="BG203" s="0" t="n"/>
      <c r="BH203" s="0" t="n"/>
      <c r="BI203" s="0" t="n"/>
      <c r="BJ203" s="0" t="n"/>
      <c r="BK203" s="0" t="n"/>
      <c r="BL203" s="0" t="n"/>
      <c r="BM203" s="0" t="n"/>
      <c r="BN203" s="0" t="n"/>
      <c r="BO203" s="0" t="n"/>
      <c r="BP203" s="0" t="n"/>
    </row>
    <row r="204" ht="16" customFormat="1" customHeight="1" s="68">
      <c r="A204" s="206" t="n">
        <v>2603</v>
      </c>
      <c r="B204" s="164" t="n">
        <v>46104</v>
      </c>
      <c r="C204" s="161" t="inlineStr">
        <is>
          <t>HPK3042-SJ</t>
        </is>
      </c>
      <c r="D204" s="145" t="inlineStr">
        <is>
          <t>풍아산업</t>
        </is>
      </c>
      <c r="E204" s="4" t="inlineStr">
        <is>
          <t>성일티앤씨</t>
        </is>
      </c>
      <c r="F204" s="5" t="inlineStr">
        <is>
          <t>TAPE</t>
        </is>
      </c>
      <c r="G204" s="4" t="inlineStr">
        <is>
          <t>실론</t>
        </is>
      </c>
      <c r="H204" s="66" t="inlineStr">
        <is>
          <t>HPK3042-SJ</t>
        </is>
      </c>
      <c r="I204" s="66" t="inlineStr">
        <is>
          <t>BLACK</t>
        </is>
      </c>
      <c r="J204" s="66" t="n"/>
      <c r="K204" s="121" t="n">
        <v>50</v>
      </c>
      <c r="L204" s="166" t="n">
        <v>4</v>
      </c>
      <c r="M204" s="167" t="n">
        <v>43.9</v>
      </c>
      <c r="N204" s="168" t="n">
        <v>673</v>
      </c>
      <c r="O204" s="169" t="n"/>
      <c r="P204" s="170" t="n"/>
      <c r="Q204" s="171" t="n"/>
      <c r="R204" s="172" t="n">
        <v>550</v>
      </c>
      <c r="S204" s="172">
        <f>N204*R204</f>
        <v/>
      </c>
      <c r="T204" s="173" t="n"/>
      <c r="U204" s="174" t="n"/>
      <c r="V204" s="175" t="n"/>
      <c r="W204" s="176" t="n"/>
      <c r="X204" s="172" t="n"/>
      <c r="Y204" s="22" t="inlineStr">
        <is>
          <t>염색</t>
        </is>
      </c>
      <c r="Z204" s="177">
        <f>W204-S204-Q204</f>
        <v/>
      </c>
      <c r="AA204" s="0" t="n"/>
      <c r="AB204" s="0" t="n"/>
      <c r="AC204" s="0" t="n"/>
      <c r="AD204" s="0" t="n"/>
      <c r="AE204" s="0" t="n"/>
      <c r="AF204" s="0" t="n"/>
      <c r="AG204" s="0" t="n"/>
      <c r="AH204" s="0" t="n"/>
      <c r="AI204" s="0" t="n"/>
      <c r="AJ204" s="0" t="n"/>
      <c r="AK204" s="0" t="n"/>
      <c r="AL204" s="0" t="n"/>
      <c r="AM204" s="0" t="n"/>
      <c r="AN204" s="0" t="n"/>
      <c r="AO204" s="0" t="n"/>
      <c r="AP204" s="0" t="n"/>
      <c r="AQ204" s="0" t="n"/>
      <c r="AR204" s="0" t="n"/>
      <c r="AS204" s="0" t="n"/>
      <c r="AT204" s="0" t="n"/>
      <c r="AU204" s="0" t="n"/>
      <c r="AV204" s="0" t="n"/>
      <c r="AW204" s="0" t="n"/>
      <c r="AX204" s="0" t="n"/>
      <c r="AY204" s="0" t="n"/>
      <c r="AZ204" s="0" t="n"/>
      <c r="BA204" s="0" t="n"/>
      <c r="BB204" s="0" t="n"/>
      <c r="BC204" s="0" t="n"/>
      <c r="BD204" s="0" t="n"/>
      <c r="BE204" s="0" t="n"/>
      <c r="BF204" s="0" t="n"/>
      <c r="BG204" s="0" t="n"/>
      <c r="BH204" s="0" t="n"/>
      <c r="BI204" s="0" t="n"/>
      <c r="BJ204" s="0" t="n"/>
      <c r="BK204" s="0" t="n"/>
      <c r="BL204" s="0" t="n"/>
      <c r="BM204" s="0" t="n"/>
      <c r="BN204" s="0" t="n"/>
      <c r="BO204" s="0" t="n"/>
      <c r="BP204" s="0" t="n"/>
    </row>
    <row r="205" ht="16" customFormat="1" customHeight="1" s="68">
      <c r="A205" s="206" t="n">
        <v>2603</v>
      </c>
      <c r="B205" s="164" t="n">
        <v>46098</v>
      </c>
      <c r="C205" s="161" t="inlineStr">
        <is>
          <t>하이젠540</t>
        </is>
      </c>
      <c r="D205" s="145" t="inlineStr">
        <is>
          <t>안국섬유</t>
        </is>
      </c>
      <c r="E205" s="4" t="inlineStr">
        <is>
          <t>승진섬유</t>
        </is>
      </c>
      <c r="F205" s="5" t="inlineStr">
        <is>
          <t>cleaner</t>
        </is>
      </c>
      <c r="G205" s="4" t="inlineStr">
        <is>
          <t>티에이케이</t>
        </is>
      </c>
      <c r="H205" s="66" t="inlineStr">
        <is>
          <t>NP150D</t>
        </is>
      </c>
      <c r="I205" s="66" t="inlineStr">
        <is>
          <t>원사이송</t>
        </is>
      </c>
      <c r="J205" s="66" t="n"/>
      <c r="K205" s="121" t="n"/>
      <c r="L205" s="166" t="n">
        <v>162</v>
      </c>
      <c r="M205" s="167" t="n">
        <v>5005.8</v>
      </c>
      <c r="N205" s="168" t="n"/>
      <c r="O205" s="169" t="n"/>
      <c r="P205" s="170" t="n"/>
      <c r="Q205" s="171" t="n"/>
      <c r="R205" s="172" t="inlineStr">
        <is>
          <t>원사이송</t>
        </is>
      </c>
      <c r="S205" s="172" t="n"/>
      <c r="T205" s="173" t="n"/>
      <c r="U205" s="174" t="n"/>
      <c r="V205" s="175" t="n"/>
      <c r="W205" s="176" t="n"/>
      <c r="X205" s="172" t="n"/>
      <c r="Y205" s="22" t="inlineStr">
        <is>
          <t>연사</t>
        </is>
      </c>
      <c r="Z205" s="177">
        <f>W205-S205-Q205</f>
        <v/>
      </c>
      <c r="AA205" s="0" t="n"/>
      <c r="AB205" s="0" t="n"/>
      <c r="AC205" s="0" t="n"/>
      <c r="AD205" s="0" t="n"/>
      <c r="AE205" s="0" t="n"/>
      <c r="AF205" s="0" t="n"/>
      <c r="AG205" s="0" t="n"/>
      <c r="AH205" s="0" t="n"/>
      <c r="AI205" s="0" t="n"/>
      <c r="AJ205" s="0" t="n"/>
      <c r="AK205" s="0" t="n"/>
      <c r="AL205" s="0" t="n"/>
      <c r="AM205" s="0" t="n"/>
      <c r="AN205" s="0" t="n"/>
      <c r="AO205" s="0" t="n"/>
      <c r="AP205" s="0" t="n"/>
      <c r="AQ205" s="0" t="n"/>
      <c r="AR205" s="0" t="n"/>
      <c r="AS205" s="0" t="n"/>
      <c r="AT205" s="0" t="n"/>
      <c r="AU205" s="0" t="n"/>
      <c r="AV205" s="0" t="n"/>
      <c r="AW205" s="0" t="n"/>
      <c r="AX205" s="0" t="n"/>
      <c r="AY205" s="0" t="n"/>
      <c r="AZ205" s="0" t="n"/>
      <c r="BA205" s="0" t="n"/>
      <c r="BB205" s="0" t="n"/>
      <c r="BC205" s="0" t="n"/>
      <c r="BD205" s="0" t="n"/>
      <c r="BE205" s="0" t="n"/>
      <c r="BF205" s="0" t="n"/>
      <c r="BG205" s="0" t="n"/>
      <c r="BH205" s="0" t="n"/>
      <c r="BI205" s="0" t="n"/>
      <c r="BJ205" s="0" t="n"/>
      <c r="BK205" s="0" t="n"/>
      <c r="BL205" s="0" t="n"/>
      <c r="BM205" s="0" t="n"/>
      <c r="BN205" s="0" t="n"/>
      <c r="BO205" s="0" t="n"/>
      <c r="BP205" s="0" t="n"/>
    </row>
    <row r="206" ht="16" customFormat="1" customHeight="1" s="68">
      <c r="A206" s="206" t="n">
        <v>2603</v>
      </c>
      <c r="B206" s="164" t="n">
        <v>46097</v>
      </c>
      <c r="C206" s="161" t="inlineStr">
        <is>
          <t>하이젠540</t>
        </is>
      </c>
      <c r="D206" s="145" t="inlineStr">
        <is>
          <t>두성섬유</t>
        </is>
      </c>
      <c r="E206" s="4" t="inlineStr">
        <is>
          <t>승진섬유</t>
        </is>
      </c>
      <c r="F206" s="5" t="inlineStr">
        <is>
          <t>cleaner</t>
        </is>
      </c>
      <c r="G206" s="4" t="inlineStr">
        <is>
          <t>티에이케이</t>
        </is>
      </c>
      <c r="H206" s="66" t="inlineStr">
        <is>
          <t>P150D</t>
        </is>
      </c>
      <c r="I206" s="66" t="n"/>
      <c r="J206" s="66" t="inlineStr">
        <is>
          <t>AA</t>
        </is>
      </c>
      <c r="K206" s="121" t="n"/>
      <c r="L206" s="166" t="n">
        <v>5</v>
      </c>
      <c r="M206" s="167" t="n">
        <v>1875</v>
      </c>
      <c r="N206" s="168" t="n"/>
      <c r="O206" s="169" t="n"/>
      <c r="P206" s="170" t="n">
        <v>2205</v>
      </c>
      <c r="Q206" s="171">
        <f>M206*P206</f>
        <v/>
      </c>
      <c r="R206" s="172" t="n"/>
      <c r="S206" s="172" t="n"/>
      <c r="T206" s="173" t="n"/>
      <c r="U206" s="174" t="n"/>
      <c r="V206" s="175" t="n"/>
      <c r="W206" s="176" t="n"/>
      <c r="X206" s="172" t="n"/>
      <c r="Y206" s="22" t="inlineStr">
        <is>
          <t>원료</t>
        </is>
      </c>
      <c r="Z206" s="177">
        <f>W206-S206-Q206</f>
        <v/>
      </c>
      <c r="AA206" s="0" t="n"/>
      <c r="AB206" s="0" t="n"/>
      <c r="AC206" s="0" t="n"/>
      <c r="AD206" s="0" t="n"/>
      <c r="AE206" s="0" t="n"/>
      <c r="AF206" s="0" t="n"/>
      <c r="AG206" s="0" t="n"/>
      <c r="AH206" s="0" t="n"/>
      <c r="AI206" s="0" t="n"/>
      <c r="AJ206" s="0" t="n"/>
      <c r="AK206" s="0" t="n"/>
      <c r="AL206" s="0" t="n"/>
      <c r="AM206" s="0" t="n"/>
      <c r="AN206" s="0" t="n"/>
      <c r="AO206" s="0" t="n"/>
      <c r="AP206" s="0" t="n"/>
      <c r="AQ206" s="0" t="n"/>
      <c r="AR206" s="0" t="n"/>
      <c r="AS206" s="0" t="n"/>
      <c r="AT206" s="0" t="n"/>
      <c r="AU206" s="0" t="n"/>
      <c r="AV206" s="0" t="n"/>
      <c r="AW206" s="0" t="n"/>
      <c r="AX206" s="0" t="n"/>
      <c r="AY206" s="0" t="n"/>
      <c r="AZ206" s="0" t="n"/>
      <c r="BA206" s="0" t="n"/>
      <c r="BB206" s="0" t="n"/>
      <c r="BC206" s="0" t="n"/>
      <c r="BD206" s="0" t="n"/>
      <c r="BE206" s="0" t="n"/>
      <c r="BF206" s="0" t="n"/>
      <c r="BG206" s="0" t="n"/>
      <c r="BH206" s="0" t="n"/>
      <c r="BI206" s="0" t="n"/>
      <c r="BJ206" s="0" t="n"/>
      <c r="BK206" s="0" t="n"/>
      <c r="BL206" s="0" t="n"/>
      <c r="BM206" s="0" t="n"/>
      <c r="BN206" s="0" t="n"/>
      <c r="BO206" s="0" t="n"/>
      <c r="BP206" s="0" t="n"/>
    </row>
    <row r="207" ht="16" customFormat="1" customHeight="1" s="68">
      <c r="A207" s="206" t="n">
        <v>2603</v>
      </c>
      <c r="B207" s="164" t="n">
        <v>46097</v>
      </c>
      <c r="C207" s="161" t="inlineStr">
        <is>
          <t>하이젠540</t>
        </is>
      </c>
      <c r="D207" s="145" t="inlineStr">
        <is>
          <t>두성섬유</t>
        </is>
      </c>
      <c r="E207" s="4" t="inlineStr">
        <is>
          <t>승진섬유</t>
        </is>
      </c>
      <c r="F207" s="5" t="inlineStr">
        <is>
          <t>cleaner</t>
        </is>
      </c>
      <c r="G207" s="4" t="inlineStr">
        <is>
          <t>티에이케이</t>
        </is>
      </c>
      <c r="H207" s="66" t="inlineStr">
        <is>
          <t>P150D</t>
        </is>
      </c>
      <c r="I207" s="66" t="n"/>
      <c r="J207" s="66" t="inlineStr">
        <is>
          <t>A</t>
        </is>
      </c>
      <c r="K207" s="121" t="n"/>
      <c r="L207" s="166" t="n">
        <v>1</v>
      </c>
      <c r="M207" s="167" t="n">
        <v>383.7</v>
      </c>
      <c r="N207" s="168" t="n"/>
      <c r="O207" s="169" t="n"/>
      <c r="P207" s="170" t="n">
        <v>1874</v>
      </c>
      <c r="Q207" s="171">
        <f>M207*P207</f>
        <v/>
      </c>
      <c r="R207" s="172" t="n"/>
      <c r="S207" s="172" t="n"/>
      <c r="T207" s="173" t="n"/>
      <c r="U207" s="174" t="n"/>
      <c r="V207" s="175" t="n"/>
      <c r="W207" s="176" t="n"/>
      <c r="X207" s="172" t="n"/>
      <c r="Y207" s="22" t="inlineStr">
        <is>
          <t>원료</t>
        </is>
      </c>
      <c r="Z207" s="177">
        <f>W207-S207-Q207</f>
        <v/>
      </c>
      <c r="AA207" s="0" t="n"/>
      <c r="AB207" s="0" t="n"/>
      <c r="AC207" s="0" t="n"/>
      <c r="AD207" s="0" t="n"/>
      <c r="AE207" s="0" t="n"/>
      <c r="AF207" s="0" t="n"/>
      <c r="AG207" s="0" t="n"/>
      <c r="AH207" s="0" t="n"/>
      <c r="AI207" s="0" t="n"/>
      <c r="AJ207" s="0" t="n"/>
      <c r="AK207" s="0" t="n"/>
      <c r="AL207" s="0" t="n"/>
      <c r="AM207" s="0" t="n"/>
      <c r="AN207" s="0" t="n"/>
      <c r="AO207" s="0" t="n"/>
      <c r="AP207" s="0" t="n"/>
      <c r="AQ207" s="0" t="n"/>
      <c r="AR207" s="0" t="n"/>
      <c r="AS207" s="0" t="n"/>
      <c r="AT207" s="0" t="n"/>
      <c r="AU207" s="0" t="n"/>
      <c r="AV207" s="0" t="n"/>
      <c r="AW207" s="0" t="n"/>
      <c r="AX207" s="0" t="n"/>
      <c r="AY207" s="0" t="n"/>
      <c r="AZ207" s="0" t="n"/>
      <c r="BA207" s="0" t="n"/>
      <c r="BB207" s="0" t="n"/>
      <c r="BC207" s="0" t="n"/>
      <c r="BD207" s="0" t="n"/>
      <c r="BE207" s="0" t="n"/>
      <c r="BF207" s="0" t="n"/>
      <c r="BG207" s="0" t="n"/>
      <c r="BH207" s="0" t="n"/>
      <c r="BI207" s="0" t="n"/>
      <c r="BJ207" s="0" t="n"/>
      <c r="BK207" s="0" t="n"/>
      <c r="BL207" s="0" t="n"/>
      <c r="BM207" s="0" t="n"/>
      <c r="BN207" s="0" t="n"/>
      <c r="BO207" s="0" t="n"/>
      <c r="BP207" s="0" t="n"/>
    </row>
    <row r="208" ht="16" customFormat="1" customHeight="1" s="68">
      <c r="A208" s="206" t="n">
        <v>2603</v>
      </c>
      <c r="B208" s="164" t="n">
        <v>46106</v>
      </c>
      <c r="C208" s="161" t="inlineStr">
        <is>
          <t>하이젠540</t>
        </is>
      </c>
      <c r="D208" s="145" t="inlineStr">
        <is>
          <t>아주피피얀</t>
        </is>
      </c>
      <c r="E208" s="4" t="inlineStr">
        <is>
          <t>승진섬유</t>
        </is>
      </c>
      <c r="F208" s="5" t="inlineStr">
        <is>
          <t>cleaner</t>
        </is>
      </c>
      <c r="G208" s="4" t="inlineStr">
        <is>
          <t>티에이케이</t>
        </is>
      </c>
      <c r="H208" s="66" t="inlineStr">
        <is>
          <t>PP450D</t>
        </is>
      </c>
      <c r="I208" s="66" t="n"/>
      <c r="J208" s="66" t="n"/>
      <c r="K208" s="121" t="n"/>
      <c r="L208" s="166" t="n">
        <v>63</v>
      </c>
      <c r="M208" s="167" t="n">
        <v>1891.7</v>
      </c>
      <c r="N208" s="168" t="n"/>
      <c r="O208" s="169" t="n"/>
      <c r="P208" s="170" t="n">
        <v>4000</v>
      </c>
      <c r="Q208" s="171">
        <f>M208*P208</f>
        <v/>
      </c>
      <c r="R208" s="172" t="n"/>
      <c r="S208" s="172" t="n"/>
      <c r="T208" s="173" t="n"/>
      <c r="U208" s="174" t="n"/>
      <c r="V208" s="175" t="n"/>
      <c r="W208" s="176" t="n"/>
      <c r="X208" s="172" t="n"/>
      <c r="Y208" s="22" t="inlineStr">
        <is>
          <t>원료</t>
        </is>
      </c>
      <c r="Z208" s="177">
        <f>W208-S208-Q208</f>
        <v/>
      </c>
      <c r="AA208" s="0" t="n"/>
      <c r="AB208" s="0" t="n"/>
      <c r="AC208" s="0" t="n"/>
      <c r="AD208" s="0" t="n"/>
      <c r="AE208" s="0" t="n"/>
      <c r="AF208" s="0" t="n"/>
      <c r="AG208" s="0" t="n"/>
      <c r="AH208" s="0" t="n"/>
      <c r="AI208" s="0" t="n"/>
      <c r="AJ208" s="0" t="n"/>
      <c r="AK208" s="0" t="n"/>
      <c r="AL208" s="0" t="n"/>
      <c r="AM208" s="0" t="n"/>
      <c r="AN208" s="0" t="n"/>
      <c r="AO208" s="0" t="n"/>
      <c r="AP208" s="0" t="n"/>
      <c r="AQ208" s="0" t="n"/>
      <c r="AR208" s="0" t="n"/>
      <c r="AS208" s="0" t="n"/>
      <c r="AT208" s="0" t="n"/>
      <c r="AU208" s="0" t="n"/>
      <c r="AV208" s="0" t="n"/>
      <c r="AW208" s="0" t="n"/>
      <c r="AX208" s="0" t="n"/>
      <c r="AY208" s="0" t="n"/>
      <c r="AZ208" s="0" t="n"/>
      <c r="BA208" s="0" t="n"/>
      <c r="BB208" s="0" t="n"/>
      <c r="BC208" s="0" t="n"/>
      <c r="BD208" s="0" t="n"/>
      <c r="BE208" s="0" t="n"/>
      <c r="BF208" s="0" t="n"/>
      <c r="BG208" s="0" t="n"/>
      <c r="BH208" s="0" t="n"/>
      <c r="BI208" s="0" t="n"/>
      <c r="BJ208" s="0" t="n"/>
      <c r="BK208" s="0" t="n"/>
      <c r="BL208" s="0" t="n"/>
      <c r="BM208" s="0" t="n"/>
      <c r="BN208" s="0" t="n"/>
      <c r="BO208" s="0" t="n"/>
      <c r="BP208" s="0" t="n"/>
    </row>
    <row r="209" ht="16" customHeight="1" s="162">
      <c r="A209" s="206" t="n">
        <v>2603</v>
      </c>
      <c r="B209" s="207" t="n">
        <v>46085</v>
      </c>
      <c r="C209" s="159" t="inlineStr">
        <is>
          <t>hpk4112</t>
        </is>
      </c>
      <c r="D209" s="160" t="inlineStr">
        <is>
          <t>건국니트</t>
        </is>
      </c>
      <c r="E209" s="72" t="inlineStr">
        <is>
          <t>실론</t>
        </is>
      </c>
      <c r="F209" s="73" t="inlineStr">
        <is>
          <t>tape</t>
        </is>
      </c>
      <c r="G209" s="72" t="inlineStr">
        <is>
          <t>실론</t>
        </is>
      </c>
      <c r="H209" s="74" t="inlineStr">
        <is>
          <t>HPK4112-NS</t>
        </is>
      </c>
      <c r="I209" s="74" t="n"/>
      <c r="J209" s="74" t="n"/>
      <c r="K209" s="75" t="n"/>
      <c r="L209" s="208" t="n">
        <v>1</v>
      </c>
      <c r="M209" s="209" t="n"/>
      <c r="N209" s="210" t="n">
        <v>30</v>
      </c>
      <c r="O209" s="211" t="n">
        <v>27</v>
      </c>
      <c r="P209" s="212" t="n"/>
      <c r="Q209" s="213" t="n"/>
      <c r="R209" s="215" t="n">
        <v>5000</v>
      </c>
      <c r="S209" s="215">
        <f>N209*R209</f>
        <v/>
      </c>
      <c r="T209" s="216" t="n"/>
      <c r="U209" s="217" t="n"/>
      <c r="V209" s="218" t="n"/>
      <c r="W209" s="219" t="n"/>
      <c r="X209" s="215" t="n"/>
      <c r="Y209" s="134" t="inlineStr">
        <is>
          <t>원료</t>
        </is>
      </c>
      <c r="Z209" s="221">
        <f>W209-S209-Q209</f>
        <v/>
      </c>
      <c r="AA209" s="68" t="n"/>
      <c r="AB209" s="68" t="n"/>
      <c r="AC209" s="68" t="n"/>
      <c r="AD209" s="68" t="n"/>
      <c r="AE209" s="68" t="n"/>
      <c r="AF209" s="68" t="n"/>
      <c r="AG209" s="68" t="n"/>
      <c r="AH209" s="68" t="n"/>
      <c r="AI209" s="68" t="n"/>
      <c r="AJ209" s="68" t="n"/>
      <c r="AK209" s="68" t="n"/>
      <c r="AL209" s="68" t="n"/>
      <c r="AM209" s="68" t="n"/>
      <c r="AN209" s="68" t="n"/>
      <c r="AO209" s="68" t="n"/>
      <c r="AP209" s="68" t="n"/>
      <c r="AQ209" s="68" t="n"/>
      <c r="AR209" s="68" t="n"/>
      <c r="AS209" s="68" t="n"/>
      <c r="AT209" s="68" t="n"/>
      <c r="AU209" s="68" t="n"/>
      <c r="AV209" s="68" t="n"/>
      <c r="AW209" s="68" t="n"/>
      <c r="AX209" s="68" t="n"/>
      <c r="AY209" s="68" t="n"/>
      <c r="AZ209" s="68" t="n"/>
      <c r="BA209" s="68" t="n"/>
      <c r="BB209" s="68" t="n"/>
      <c r="BC209" s="68" t="n"/>
      <c r="BD209" s="68" t="n"/>
      <c r="BE209" s="68" t="n"/>
      <c r="BF209" s="68" t="n"/>
      <c r="BG209" s="68" t="n"/>
      <c r="BH209" s="68" t="n"/>
      <c r="BI209" s="68" t="n"/>
      <c r="BJ209" s="68" t="n"/>
      <c r="BK209" s="68" t="n"/>
      <c r="BL209" s="68" t="n"/>
      <c r="BM209" s="68" t="n"/>
      <c r="BN209" s="68" t="n"/>
      <c r="BO209" s="68" t="n"/>
      <c r="BP209" s="68" t="n"/>
    </row>
    <row r="210" ht="16" customFormat="1" customHeight="1" s="68">
      <c r="A210" s="206" t="n">
        <v>2603</v>
      </c>
      <c r="B210" s="207" t="n">
        <v>46097</v>
      </c>
      <c r="C210" s="159" t="inlineStr">
        <is>
          <t>HPK3042-SJ</t>
        </is>
      </c>
      <c r="D210" s="160" t="inlineStr">
        <is>
          <t>성일티앤씨</t>
        </is>
      </c>
      <c r="E210" s="72" t="inlineStr">
        <is>
          <t>실론</t>
        </is>
      </c>
      <c r="F210" s="73" t="inlineStr">
        <is>
          <t>tape</t>
        </is>
      </c>
      <c r="G210" s="72" t="inlineStr">
        <is>
          <t>실론</t>
        </is>
      </c>
      <c r="H210" s="74" t="inlineStr">
        <is>
          <t>DIM GREY/WHITE</t>
        </is>
      </c>
      <c r="I210" s="74" t="n"/>
      <c r="J210" s="74" t="n"/>
      <c r="K210" s="85" t="n"/>
      <c r="L210" s="208" t="n">
        <v>10</v>
      </c>
      <c r="M210" s="209" t="n"/>
      <c r="N210" s="210" t="n"/>
      <c r="O210" s="211" t="n">
        <v>2894</v>
      </c>
      <c r="P210" s="212" t="n"/>
      <c r="Q210" s="213" t="n"/>
      <c r="R210" s="215" t="n">
        <v>2400</v>
      </c>
      <c r="S210" s="215">
        <f>O210*R210</f>
        <v/>
      </c>
      <c r="T210" s="216" t="n"/>
      <c r="U210" s="217" t="n"/>
      <c r="V210" s="218" t="n">
        <v>4700</v>
      </c>
      <c r="W210" s="219">
        <f>O210*V210</f>
        <v/>
      </c>
      <c r="X210" s="215" t="n"/>
      <c r="Y210" s="134" t="inlineStr">
        <is>
          <t>가공</t>
        </is>
      </c>
      <c r="Z210" s="221">
        <f>W210-S210-Q210</f>
        <v/>
      </c>
    </row>
    <row r="211" ht="16" customFormat="1" customHeight="1" s="68">
      <c r="A211" s="206" t="n">
        <v>2603</v>
      </c>
      <c r="B211" s="207" t="n">
        <v>46101</v>
      </c>
      <c r="C211" s="159" t="inlineStr">
        <is>
          <t>HPK3042-SJ</t>
        </is>
      </c>
      <c r="D211" s="160" t="inlineStr">
        <is>
          <t>성일티앤씨</t>
        </is>
      </c>
      <c r="E211" s="72" t="inlineStr">
        <is>
          <t>실론</t>
        </is>
      </c>
      <c r="F211" s="73" t="inlineStr">
        <is>
          <t>tape</t>
        </is>
      </c>
      <c r="G211" s="72" t="inlineStr">
        <is>
          <t>실론</t>
        </is>
      </c>
      <c r="H211" s="74" t="inlineStr">
        <is>
          <t>SEALON 633</t>
        </is>
      </c>
      <c r="I211" s="74" t="inlineStr">
        <is>
          <t>QUITE SHADE/WHITE</t>
        </is>
      </c>
      <c r="J211" s="74" t="n"/>
      <c r="K211" s="85" t="n"/>
      <c r="L211" s="208" t="n"/>
      <c r="M211" s="209" t="n"/>
      <c r="N211" s="210" t="n"/>
      <c r="O211" s="211" t="n">
        <v>2616</v>
      </c>
      <c r="P211" s="212" t="n"/>
      <c r="Q211" s="213" t="n"/>
      <c r="R211" s="215" t="n">
        <v>2400</v>
      </c>
      <c r="S211" s="215">
        <f>O211*R211</f>
        <v/>
      </c>
      <c r="T211" s="216" t="n"/>
      <c r="U211" s="217" t="n"/>
      <c r="V211" s="218" t="n">
        <v>4700</v>
      </c>
      <c r="W211" s="219">
        <f>O211*V211</f>
        <v/>
      </c>
      <c r="X211" s="215" t="n"/>
      <c r="Y211" s="134" t="inlineStr">
        <is>
          <t>가공</t>
        </is>
      </c>
      <c r="Z211" s="221">
        <f>W211-S211-Q211</f>
        <v/>
      </c>
    </row>
    <row r="212" ht="16" customFormat="1" customHeight="1" s="68">
      <c r="A212" s="206" t="n">
        <v>2603</v>
      </c>
      <c r="B212" s="207" t="n">
        <v>46101</v>
      </c>
      <c r="C212" s="159" t="inlineStr">
        <is>
          <t>HPK3042-SJ</t>
        </is>
      </c>
      <c r="D212" s="160" t="inlineStr">
        <is>
          <t>성일티앤씨</t>
        </is>
      </c>
      <c r="E212" s="72" t="inlineStr">
        <is>
          <t>실론</t>
        </is>
      </c>
      <c r="F212" s="73" t="inlineStr">
        <is>
          <t>tape</t>
        </is>
      </c>
      <c r="G212" s="72" t="inlineStr">
        <is>
          <t>실론</t>
        </is>
      </c>
      <c r="H212" s="74" t="inlineStr">
        <is>
          <t>SEALON 633</t>
        </is>
      </c>
      <c r="I212" s="74" t="inlineStr">
        <is>
          <t>BLACK/WHITE</t>
        </is>
      </c>
      <c r="J212" s="74" t="n"/>
      <c r="K212" s="85" t="n"/>
      <c r="L212" s="208" t="n"/>
      <c r="M212" s="209" t="n"/>
      <c r="N212" s="210" t="n"/>
      <c r="O212" s="211" t="n">
        <v>1284</v>
      </c>
      <c r="P212" s="212" t="n"/>
      <c r="Q212" s="213" t="n"/>
      <c r="R212" s="215" t="n">
        <v>2400</v>
      </c>
      <c r="S212" s="215">
        <f>O212*R212</f>
        <v/>
      </c>
      <c r="T212" s="216" t="n"/>
      <c r="U212" s="217" t="n"/>
      <c r="V212" s="218" t="n">
        <v>4700</v>
      </c>
      <c r="W212" s="219">
        <f>O212*V212</f>
        <v/>
      </c>
      <c r="X212" s="215" t="n"/>
      <c r="Y212" s="134" t="inlineStr">
        <is>
          <t>가공</t>
        </is>
      </c>
      <c r="Z212" s="221">
        <f>W212-S212-Q212</f>
        <v/>
      </c>
    </row>
    <row r="213" ht="16" customFormat="1" customHeight="1" s="68">
      <c r="A213" s="206" t="n">
        <v>2603</v>
      </c>
      <c r="B213" s="164" t="n">
        <v>46097</v>
      </c>
      <c r="C213" s="161" t="inlineStr">
        <is>
          <t>하이젠540</t>
        </is>
      </c>
      <c r="D213" s="145" t="inlineStr">
        <is>
          <t>SUZHOU ROMROL FASHION</t>
        </is>
      </c>
      <c r="E213" s="4" t="inlineStr">
        <is>
          <t>안국섬유</t>
        </is>
      </c>
      <c r="F213" s="5" t="inlineStr">
        <is>
          <t>cleaner</t>
        </is>
      </c>
      <c r="G213" s="4" t="inlineStr">
        <is>
          <t>티에이케이</t>
        </is>
      </c>
      <c r="H213" s="66" t="inlineStr">
        <is>
          <t>NP 150D</t>
        </is>
      </c>
      <c r="I213" s="66" t="n"/>
      <c r="J213" s="66" t="n"/>
      <c r="K213" s="121" t="n"/>
      <c r="L213" s="166" t="n">
        <v>670</v>
      </c>
      <c r="M213" s="167" t="n">
        <v>20511.7</v>
      </c>
      <c r="N213" s="168" t="n"/>
      <c r="O213" s="169" t="n"/>
      <c r="P213" s="170" t="n">
        <v>2755</v>
      </c>
      <c r="Q213" s="171">
        <f>M213*P213</f>
        <v/>
      </c>
      <c r="R213" s="172" t="n"/>
      <c r="S213" s="172" t="n"/>
      <c r="T213" s="173" t="n"/>
      <c r="U213" s="174" t="n"/>
      <c r="V213" s="175" t="n"/>
      <c r="W213" s="176" t="n"/>
      <c r="X213" s="172" t="n"/>
      <c r="Y213" s="22" t="inlineStr">
        <is>
          <t>원료</t>
        </is>
      </c>
      <c r="Z213" s="177">
        <f>W213-S213-Q213</f>
        <v/>
      </c>
      <c r="AA213" s="0" t="n"/>
      <c r="AB213" s="0" t="n"/>
      <c r="AC213" s="0" t="n"/>
      <c r="AD213" s="0" t="n"/>
      <c r="AE213" s="0" t="n"/>
      <c r="AF213" s="0" t="n"/>
      <c r="AG213" s="0" t="n"/>
      <c r="AH213" s="0" t="n"/>
      <c r="AI213" s="0" t="n"/>
      <c r="AJ213" s="0" t="n"/>
      <c r="AK213" s="0" t="n"/>
      <c r="AL213" s="0" t="n"/>
      <c r="AM213" s="0" t="n"/>
      <c r="AN213" s="0" t="n"/>
      <c r="AO213" s="0" t="n"/>
      <c r="AP213" s="0" t="n"/>
      <c r="AQ213" s="0" t="n"/>
      <c r="AR213" s="0" t="n"/>
      <c r="AS213" s="0" t="n"/>
      <c r="AT213" s="0" t="n"/>
      <c r="AU213" s="0" t="n"/>
      <c r="AV213" s="0" t="n"/>
      <c r="AW213" s="0" t="n"/>
      <c r="AX213" s="0" t="n"/>
      <c r="AY213" s="0" t="n"/>
      <c r="AZ213" s="0" t="n"/>
      <c r="BA213" s="0" t="n"/>
      <c r="BB213" s="0" t="n"/>
      <c r="BC213" s="0" t="n"/>
      <c r="BD213" s="0" t="n"/>
      <c r="BE213" s="0" t="n"/>
      <c r="BF213" s="0" t="n"/>
      <c r="BG213" s="0" t="n"/>
      <c r="BH213" s="0" t="n"/>
      <c r="BI213" s="0" t="n"/>
      <c r="BJ213" s="0" t="n"/>
      <c r="BK213" s="0" t="n"/>
      <c r="BL213" s="0" t="n"/>
      <c r="BM213" s="0" t="n"/>
      <c r="BN213" s="0" t="n"/>
      <c r="BO213" s="0" t="n"/>
      <c r="BP213" s="0" t="n"/>
    </row>
    <row r="214" ht="16" customFormat="1" customHeight="1" s="68">
      <c r="A214" s="206" t="n">
        <v>2603</v>
      </c>
      <c r="B214" s="207" t="n">
        <v>46097</v>
      </c>
      <c r="C214" s="159" t="inlineStr">
        <is>
          <t xml:space="preserve">recycle 30심지 </t>
        </is>
      </c>
      <c r="D214" s="160" t="inlineStr">
        <is>
          <t>미래심지</t>
        </is>
      </c>
      <c r="E214" s="72" t="inlineStr">
        <is>
          <t>에스제이인터내셔널</t>
        </is>
      </c>
      <c r="F214" s="73" t="inlineStr">
        <is>
          <t>back</t>
        </is>
      </c>
      <c r="G214" s="72" t="inlineStr">
        <is>
          <t>에스제이인터내셔널</t>
        </is>
      </c>
      <c r="H214" s="74" t="inlineStr">
        <is>
          <t>RECYCLE P30D WOVEN</t>
        </is>
      </c>
      <c r="I214" s="74" t="inlineStr">
        <is>
          <t>GREY 1</t>
        </is>
      </c>
      <c r="J214" s="74" t="n"/>
      <c r="K214" s="85" t="n"/>
      <c r="L214" s="208" t="n">
        <v>74</v>
      </c>
      <c r="M214" s="209" t="n"/>
      <c r="N214" s="210" t="n">
        <v>21507</v>
      </c>
      <c r="O214" s="211" t="n"/>
      <c r="P214" s="212" t="n"/>
      <c r="Q214" s="213" t="n"/>
      <c r="R214" s="215" t="n">
        <v>920</v>
      </c>
      <c r="S214" s="215">
        <f>R214*N214</f>
        <v/>
      </c>
      <c r="T214" s="216" t="n"/>
      <c r="U214" s="217" t="n"/>
      <c r="V214" s="218" t="n">
        <v>1400</v>
      </c>
      <c r="W214" s="219">
        <f>V214*N214</f>
        <v/>
      </c>
      <c r="X214" s="215" t="n"/>
      <c r="Y214" s="134" t="inlineStr">
        <is>
          <t>상품</t>
        </is>
      </c>
      <c r="Z214" s="221">
        <f>W214-S214-Q214</f>
        <v/>
      </c>
    </row>
    <row r="215" ht="16" customFormat="1" customHeight="1" s="68">
      <c r="A215" s="206" t="n">
        <v>2603</v>
      </c>
      <c r="B215" s="207" t="n">
        <v>46097</v>
      </c>
      <c r="C215" s="159" t="inlineStr">
        <is>
          <t>30심지</t>
        </is>
      </c>
      <c r="D215" s="160" t="inlineStr">
        <is>
          <t>미래심지</t>
        </is>
      </c>
      <c r="E215" s="72" t="inlineStr">
        <is>
          <t>에스제이인터내셔널</t>
        </is>
      </c>
      <c r="F215" s="73" t="inlineStr">
        <is>
          <t>back</t>
        </is>
      </c>
      <c r="G215" s="72" t="inlineStr">
        <is>
          <t>에스제이인터내셔널</t>
        </is>
      </c>
      <c r="H215" s="74" t="inlineStr">
        <is>
          <t>P30D WOVEN</t>
        </is>
      </c>
      <c r="I215" s="74" t="inlineStr">
        <is>
          <t>ICE GREY</t>
        </is>
      </c>
      <c r="J215" s="74" t="inlineStr">
        <is>
          <t>국내원산지증명</t>
        </is>
      </c>
      <c r="K215" s="85" t="n"/>
      <c r="L215" s="208" t="n">
        <v>37</v>
      </c>
      <c r="M215" s="209" t="n"/>
      <c r="N215" s="210" t="n">
        <v>10705</v>
      </c>
      <c r="O215" s="211" t="n"/>
      <c r="P215" s="212" t="n"/>
      <c r="Q215" s="213" t="n"/>
      <c r="R215" s="215" t="n">
        <v>880</v>
      </c>
      <c r="S215" s="215">
        <f>R215*N215</f>
        <v/>
      </c>
      <c r="T215" s="216" t="n"/>
      <c r="U215" s="217" t="n"/>
      <c r="V215" s="218" t="n">
        <v>1150</v>
      </c>
      <c r="W215" s="219">
        <f>V215*N215</f>
        <v/>
      </c>
      <c r="X215" s="215" t="n"/>
      <c r="Y215" s="134" t="inlineStr">
        <is>
          <t>상품</t>
        </is>
      </c>
      <c r="Z215" s="221">
        <f>W215-S215-Q215</f>
        <v/>
      </c>
    </row>
    <row r="216" ht="16" customFormat="1" customHeight="1" s="68">
      <c r="A216" s="206" t="n">
        <v>2603</v>
      </c>
      <c r="B216" s="164" t="n">
        <v>46090</v>
      </c>
      <c r="C216" s="161" t="inlineStr">
        <is>
          <t>뷰티-XO</t>
        </is>
      </c>
      <c r="D216" s="145" t="inlineStr">
        <is>
          <t>삼덕섬유</t>
        </is>
      </c>
      <c r="E216" s="4" t="inlineStr">
        <is>
          <t>에스티</t>
        </is>
      </c>
      <c r="F216" s="5" t="inlineStr">
        <is>
          <t>blind</t>
        </is>
      </c>
      <c r="G216" s="4" t="inlineStr">
        <is>
          <t>한국윈텍</t>
        </is>
      </c>
      <c r="H216" s="66" t="inlineStr">
        <is>
          <t>DTY 450/144</t>
        </is>
      </c>
      <c r="I216" s="66" t="n"/>
      <c r="J216" s="66" t="n"/>
      <c r="K216" s="121" t="n"/>
      <c r="L216" s="166" t="n"/>
      <c r="M216" s="167" t="n">
        <v>1548</v>
      </c>
      <c r="N216" s="168" t="n"/>
      <c r="O216" s="169" t="n"/>
      <c r="P216" s="170" t="n">
        <v>2304</v>
      </c>
      <c r="Q216" s="171">
        <f>M216*P216</f>
        <v/>
      </c>
      <c r="R216" s="172" t="n"/>
      <c r="S216" s="172" t="n"/>
      <c r="T216" s="173" t="n"/>
      <c r="U216" s="174" t="n"/>
      <c r="V216" s="175" t="n"/>
      <c r="W216" s="176" t="n"/>
      <c r="X216" s="172" t="n"/>
      <c r="Y216" s="22" t="inlineStr">
        <is>
          <t>원료</t>
        </is>
      </c>
      <c r="Z216" s="177">
        <f>W216-S216-Q216</f>
        <v/>
      </c>
      <c r="AA216" s="0" t="n"/>
      <c r="AB216" s="0" t="n"/>
      <c r="AC216" s="0" t="n"/>
      <c r="AD216" s="0" t="n"/>
      <c r="AE216" s="0" t="n"/>
      <c r="AF216" s="0" t="n"/>
      <c r="AG216" s="0" t="n"/>
      <c r="AH216" s="0" t="n"/>
      <c r="AI216" s="0" t="n"/>
      <c r="AJ216" s="0" t="n"/>
      <c r="AK216" s="0" t="n"/>
      <c r="AL216" s="0" t="n"/>
      <c r="AM216" s="0" t="n"/>
      <c r="AN216" s="0" t="n"/>
      <c r="AO216" s="0" t="n"/>
      <c r="AP216" s="0" t="n"/>
      <c r="AQ216" s="0" t="n"/>
      <c r="AR216" s="0" t="n"/>
      <c r="AS216" s="0" t="n"/>
      <c r="AT216" s="0" t="n"/>
      <c r="AU216" s="0" t="n"/>
      <c r="AV216" s="0" t="n"/>
      <c r="AW216" s="0" t="n"/>
      <c r="AX216" s="0" t="n"/>
      <c r="AY216" s="0" t="n"/>
      <c r="AZ216" s="0" t="n"/>
      <c r="BA216" s="0" t="n"/>
      <c r="BB216" s="0" t="n"/>
      <c r="BC216" s="0" t="n"/>
      <c r="BD216" s="0" t="n"/>
      <c r="BE216" s="0" t="n"/>
      <c r="BF216" s="0" t="n"/>
      <c r="BG216" s="0" t="n"/>
      <c r="BH216" s="0" t="n"/>
      <c r="BI216" s="0" t="n"/>
      <c r="BJ216" s="0" t="n"/>
      <c r="BK216" s="0" t="n"/>
      <c r="BL216" s="0" t="n"/>
      <c r="BM216" s="0" t="n"/>
      <c r="BN216" s="0" t="n"/>
      <c r="BO216" s="0" t="n"/>
      <c r="BP216" s="0" t="n"/>
    </row>
    <row r="217" ht="16" customFormat="1" customHeight="1" s="68">
      <c r="A217" s="206" t="n">
        <v>2603</v>
      </c>
      <c r="B217" s="164" t="n">
        <v>46090</v>
      </c>
      <c r="C217" s="161" t="inlineStr">
        <is>
          <t>뷰티-XO</t>
        </is>
      </c>
      <c r="D217" s="145" t="inlineStr">
        <is>
          <t>삼덕섬유</t>
        </is>
      </c>
      <c r="E217" s="4" t="inlineStr">
        <is>
          <t>에스티</t>
        </is>
      </c>
      <c r="F217" s="5" t="inlineStr">
        <is>
          <t>blind</t>
        </is>
      </c>
      <c r="G217" s="4" t="inlineStr">
        <is>
          <t>한국윈텍</t>
        </is>
      </c>
      <c r="H217" s="66" t="inlineStr">
        <is>
          <t>DTY 300/96</t>
        </is>
      </c>
      <c r="I217" s="66" t="n"/>
      <c r="J217" s="66" t="n"/>
      <c r="K217" s="121" t="n"/>
      <c r="L217" s="166" t="n"/>
      <c r="M217" s="167" t="n">
        <v>500</v>
      </c>
      <c r="N217" s="168" t="n"/>
      <c r="O217" s="169" t="n"/>
      <c r="P217" s="170" t="n">
        <v>2364</v>
      </c>
      <c r="Q217" s="171">
        <f>M217*P217</f>
        <v/>
      </c>
      <c r="R217" s="172" t="n"/>
      <c r="S217" s="172" t="n"/>
      <c r="T217" s="173" t="n"/>
      <c r="U217" s="174" t="n"/>
      <c r="V217" s="175" t="n"/>
      <c r="W217" s="176" t="n"/>
      <c r="X217" s="172" t="n"/>
      <c r="Y217" s="22" t="inlineStr">
        <is>
          <t>원료</t>
        </is>
      </c>
      <c r="Z217" s="177">
        <f>W217-S217-Q217</f>
        <v/>
      </c>
      <c r="AA217" s="0" t="n"/>
      <c r="AB217" s="0" t="n"/>
      <c r="AC217" s="0" t="n"/>
      <c r="AD217" s="0" t="n"/>
      <c r="AE217" s="0" t="n"/>
      <c r="AF217" s="0" t="n"/>
      <c r="AG217" s="0" t="n"/>
      <c r="AH217" s="0" t="n"/>
      <c r="AI217" s="0" t="n"/>
      <c r="AJ217" s="0" t="n"/>
      <c r="AK217" s="0" t="n"/>
      <c r="AL217" s="0" t="n"/>
      <c r="AM217" s="0" t="n"/>
      <c r="AN217" s="0" t="n"/>
      <c r="AO217" s="0" t="n"/>
      <c r="AP217" s="0" t="n"/>
      <c r="AQ217" s="0" t="n"/>
      <c r="AR217" s="0" t="n"/>
      <c r="AS217" s="0" t="n"/>
      <c r="AT217" s="0" t="n"/>
      <c r="AU217" s="0" t="n"/>
      <c r="AV217" s="0" t="n"/>
      <c r="AW217" s="0" t="n"/>
      <c r="AX217" s="0" t="n"/>
      <c r="AY217" s="0" t="n"/>
      <c r="AZ217" s="0" t="n"/>
      <c r="BA217" s="0" t="n"/>
      <c r="BB217" s="0" t="n"/>
      <c r="BC217" s="0" t="n"/>
      <c r="BD217" s="0" t="n"/>
      <c r="BE217" s="0" t="n"/>
      <c r="BF217" s="0" t="n"/>
      <c r="BG217" s="0" t="n"/>
      <c r="BH217" s="0" t="n"/>
      <c r="BI217" s="0" t="n"/>
      <c r="BJ217" s="0" t="n"/>
      <c r="BK217" s="0" t="n"/>
      <c r="BL217" s="0" t="n"/>
      <c r="BM217" s="0" t="n"/>
      <c r="BN217" s="0" t="n"/>
      <c r="BO217" s="0" t="n"/>
      <c r="BP217" s="0" t="n"/>
    </row>
    <row r="218" ht="16" customHeight="1" s="162">
      <c r="A218" s="206" t="n">
        <v>2603</v>
      </c>
      <c r="B218" s="164" t="n">
        <v>46084</v>
      </c>
      <c r="C218" s="161" t="inlineStr">
        <is>
          <t>하이젠540</t>
        </is>
      </c>
      <c r="D218" s="145" t="inlineStr">
        <is>
          <t>승진섬유</t>
        </is>
      </c>
      <c r="E218" s="4" t="inlineStr">
        <is>
          <t>에프에스</t>
        </is>
      </c>
      <c r="F218" s="5" t="inlineStr">
        <is>
          <t>cleaner</t>
        </is>
      </c>
      <c r="G218" s="4" t="inlineStr">
        <is>
          <t>티에이케이</t>
        </is>
      </c>
      <c r="H218" s="66" t="inlineStr">
        <is>
          <t>NP150/3합</t>
        </is>
      </c>
      <c r="I218" s="66" t="n"/>
      <c r="J218" s="66" t="n"/>
      <c r="K218" s="67" t="n"/>
      <c r="L218" s="166" t="n">
        <v>3</v>
      </c>
      <c r="M218" s="167" t="n">
        <v>1265.6</v>
      </c>
      <c r="N218" s="168" t="n"/>
      <c r="O218" s="169" t="n"/>
      <c r="P218" s="170" t="n"/>
      <c r="Q218" s="171" t="n"/>
      <c r="R218" s="172" t="n">
        <v>1000</v>
      </c>
      <c r="S218" s="172">
        <f>M218*R218</f>
        <v/>
      </c>
      <c r="T218" s="173" t="n"/>
      <c r="U218" s="174" t="n"/>
      <c r="V218" s="175" t="n"/>
      <c r="W218" s="176" t="n"/>
      <c r="X218" s="172" t="n"/>
      <c r="Y218" s="22" t="inlineStr">
        <is>
          <t>연사</t>
        </is>
      </c>
      <c r="Z218" s="177">
        <f>W218-S218-Q218</f>
        <v/>
      </c>
    </row>
    <row r="219" ht="16" customHeight="1" s="162">
      <c r="A219" s="206" t="n">
        <v>2603</v>
      </c>
      <c r="B219" s="164" t="n">
        <v>46085</v>
      </c>
      <c r="C219" s="161" t="inlineStr">
        <is>
          <t>하이젠540</t>
        </is>
      </c>
      <c r="D219" s="145" t="inlineStr">
        <is>
          <t>승진섬유</t>
        </is>
      </c>
      <c r="E219" s="4" t="inlineStr">
        <is>
          <t>에프에스</t>
        </is>
      </c>
      <c r="F219" s="5" t="inlineStr">
        <is>
          <t>cleaner</t>
        </is>
      </c>
      <c r="G219" s="4" t="inlineStr">
        <is>
          <t>티에이케이</t>
        </is>
      </c>
      <c r="H219" s="66" t="inlineStr">
        <is>
          <t>P150/3합</t>
        </is>
      </c>
      <c r="I219" s="66" t="n"/>
      <c r="J219" s="66" t="n"/>
      <c r="K219" s="67" t="n"/>
      <c r="L219" s="166" t="n">
        <v>6</v>
      </c>
      <c r="M219" s="167" t="n">
        <v>563.2</v>
      </c>
      <c r="N219" s="168" t="n"/>
      <c r="O219" s="169" t="n"/>
      <c r="P219" s="170" t="n"/>
      <c r="Q219" s="171" t="n"/>
      <c r="R219" s="172" t="n">
        <v>1000</v>
      </c>
      <c r="S219" s="172">
        <f>M219*R219</f>
        <v/>
      </c>
      <c r="T219" s="173" t="n"/>
      <c r="U219" s="174" t="n"/>
      <c r="V219" s="175" t="n"/>
      <c r="W219" s="176" t="n"/>
      <c r="X219" s="172" t="n"/>
      <c r="Y219" s="22" t="inlineStr">
        <is>
          <t>연사</t>
        </is>
      </c>
      <c r="Z219" s="177">
        <f>W219-S219-Q219</f>
        <v/>
      </c>
    </row>
    <row r="220" ht="16" customFormat="1" customHeight="1" s="68">
      <c r="A220" s="206" t="n">
        <v>2603</v>
      </c>
      <c r="B220" s="164" t="n">
        <v>46085</v>
      </c>
      <c r="C220" s="161" t="inlineStr">
        <is>
          <t>하이젠540</t>
        </is>
      </c>
      <c r="D220" s="145" t="inlineStr">
        <is>
          <t>승진섬유</t>
        </is>
      </c>
      <c r="E220" s="4" t="inlineStr">
        <is>
          <t>에프에스</t>
        </is>
      </c>
      <c r="F220" s="5" t="inlineStr">
        <is>
          <t>cleaner</t>
        </is>
      </c>
      <c r="G220" s="4" t="inlineStr">
        <is>
          <t>티에이케이</t>
        </is>
      </c>
      <c r="H220" s="66" t="inlineStr">
        <is>
          <t>PP450D</t>
        </is>
      </c>
      <c r="I220" s="66" t="n"/>
      <c r="J220" s="66" t="n"/>
      <c r="K220" s="67" t="n"/>
      <c r="L220" s="166" t="n">
        <v>1</v>
      </c>
      <c r="M220" s="167" t="n">
        <v>455.9</v>
      </c>
      <c r="N220" s="168" t="n"/>
      <c r="O220" s="169" t="n"/>
      <c r="P220" s="170" t="n"/>
      <c r="Q220" s="171" t="n"/>
      <c r="R220" s="172" t="n">
        <v>1000</v>
      </c>
      <c r="S220" s="172">
        <f>M220*R220</f>
        <v/>
      </c>
      <c r="T220" s="173" t="n"/>
      <c r="U220" s="174" t="n"/>
      <c r="V220" s="175" t="n"/>
      <c r="W220" s="176" t="n"/>
      <c r="X220" s="172" t="n"/>
      <c r="Y220" s="22" t="inlineStr">
        <is>
          <t>연사</t>
        </is>
      </c>
      <c r="Z220" s="177">
        <f>W220-S220-Q220</f>
        <v/>
      </c>
      <c r="AA220" s="0" t="n"/>
      <c r="AB220" s="0" t="n"/>
      <c r="AC220" s="0" t="n"/>
      <c r="AD220" s="0" t="n"/>
      <c r="AE220" s="0" t="n"/>
      <c r="AF220" s="0" t="n"/>
      <c r="AG220" s="0" t="n"/>
      <c r="AH220" s="0" t="n"/>
      <c r="AI220" s="0" t="n"/>
      <c r="AJ220" s="0" t="n"/>
      <c r="AK220" s="0" t="n"/>
      <c r="AL220" s="0" t="n"/>
      <c r="AM220" s="0" t="n"/>
      <c r="AN220" s="0" t="n"/>
      <c r="AO220" s="0" t="n"/>
      <c r="AP220" s="0" t="n"/>
      <c r="AQ220" s="0" t="n"/>
      <c r="AR220" s="0" t="n"/>
      <c r="AS220" s="0" t="n"/>
      <c r="AT220" s="0" t="n"/>
      <c r="AU220" s="0" t="n"/>
      <c r="AV220" s="0" t="n"/>
      <c r="AW220" s="0" t="n"/>
      <c r="AX220" s="0" t="n"/>
      <c r="AY220" s="0" t="n"/>
      <c r="AZ220" s="0" t="n"/>
      <c r="BA220" s="0" t="n"/>
      <c r="BB220" s="0" t="n"/>
      <c r="BC220" s="0" t="n"/>
      <c r="BD220" s="0" t="n"/>
      <c r="BE220" s="0" t="n"/>
      <c r="BF220" s="0" t="n"/>
      <c r="BG220" s="0" t="n"/>
      <c r="BH220" s="0" t="n"/>
      <c r="BI220" s="0" t="n"/>
      <c r="BJ220" s="0" t="n"/>
      <c r="BK220" s="0" t="n"/>
      <c r="BL220" s="0" t="n"/>
      <c r="BM220" s="0" t="n"/>
      <c r="BN220" s="0" t="n"/>
      <c r="BO220" s="0" t="n"/>
      <c r="BP220" s="0" t="n"/>
    </row>
    <row r="221" ht="16" customHeight="1" s="162">
      <c r="A221" s="206" t="n">
        <v>2603</v>
      </c>
      <c r="B221" s="164" t="n">
        <v>46105</v>
      </c>
      <c r="C221" s="161" t="inlineStr">
        <is>
          <t>하이젠540</t>
        </is>
      </c>
      <c r="D221" s="145" t="inlineStr">
        <is>
          <t>승진섬유</t>
        </is>
      </c>
      <c r="E221" s="4" t="inlineStr">
        <is>
          <t>에프에스</t>
        </is>
      </c>
      <c r="F221" s="5" t="inlineStr">
        <is>
          <t>cleaner</t>
        </is>
      </c>
      <c r="G221" s="4" t="inlineStr">
        <is>
          <t>티에이케이</t>
        </is>
      </c>
      <c r="H221" s="66" t="inlineStr">
        <is>
          <t>NP150/3합</t>
        </is>
      </c>
      <c r="I221" s="66" t="n"/>
      <c r="J221" s="66" t="n"/>
      <c r="K221" s="121" t="n"/>
      <c r="L221" s="166" t="n">
        <v>2</v>
      </c>
      <c r="M221" s="167" t="n">
        <v>838.4</v>
      </c>
      <c r="N221" s="168" t="n"/>
      <c r="O221" s="169" t="n"/>
      <c r="P221" s="170" t="n"/>
      <c r="Q221" s="171" t="n"/>
      <c r="R221" s="172" t="n">
        <v>1000</v>
      </c>
      <c r="S221" s="172">
        <f>M221*R221</f>
        <v/>
      </c>
      <c r="T221" s="173" t="n"/>
      <c r="U221" s="174" t="n"/>
      <c r="V221" s="175" t="n"/>
      <c r="W221" s="176" t="n"/>
      <c r="X221" s="172" t="n"/>
      <c r="Y221" s="22" t="inlineStr">
        <is>
          <t>연사</t>
        </is>
      </c>
      <c r="Z221" s="177">
        <f>W221-S221-Q221</f>
        <v/>
      </c>
    </row>
    <row r="222" ht="16" customHeight="1" s="162">
      <c r="A222" s="206" t="n">
        <v>2603</v>
      </c>
      <c r="B222" s="164" t="n">
        <v>46105</v>
      </c>
      <c r="C222" s="161" t="inlineStr">
        <is>
          <t>하이젠540</t>
        </is>
      </c>
      <c r="D222" s="145" t="inlineStr">
        <is>
          <t>승진섬유</t>
        </is>
      </c>
      <c r="E222" s="4" t="inlineStr">
        <is>
          <t>에프에스</t>
        </is>
      </c>
      <c r="F222" s="5" t="inlineStr">
        <is>
          <t>cleaner</t>
        </is>
      </c>
      <c r="G222" s="4" t="inlineStr">
        <is>
          <t>티에이케이</t>
        </is>
      </c>
      <c r="H222" s="66" t="inlineStr">
        <is>
          <t>P150/3합</t>
        </is>
      </c>
      <c r="I222" s="66" t="n"/>
      <c r="J222" s="66" t="n"/>
      <c r="K222" s="121" t="n"/>
      <c r="L222" s="166" t="n">
        <v>1</v>
      </c>
      <c r="M222" s="167" t="n">
        <v>420.9</v>
      </c>
      <c r="N222" s="168" t="n"/>
      <c r="O222" s="169" t="n"/>
      <c r="P222" s="170" t="n"/>
      <c r="Q222" s="171" t="n"/>
      <c r="R222" s="172" t="n">
        <v>1000</v>
      </c>
      <c r="S222" s="172">
        <f>M222*R222</f>
        <v/>
      </c>
      <c r="T222" s="173" t="n"/>
      <c r="U222" s="174" t="n"/>
      <c r="V222" s="175" t="n"/>
      <c r="W222" s="176" t="n"/>
      <c r="X222" s="172" t="n"/>
      <c r="Y222" s="22" t="inlineStr">
        <is>
          <t>연사</t>
        </is>
      </c>
      <c r="Z222" s="177">
        <f>W222-S222-Q222</f>
        <v/>
      </c>
    </row>
    <row r="223" ht="16" customFormat="1" customHeight="1" s="68">
      <c r="A223" s="206" t="n">
        <v>2603</v>
      </c>
      <c r="B223" s="164" t="n">
        <v>46104</v>
      </c>
      <c r="C223" s="161" t="inlineStr">
        <is>
          <t>하이젠540</t>
        </is>
      </c>
      <c r="D223" s="145" t="inlineStr">
        <is>
          <t>승진섬유</t>
        </is>
      </c>
      <c r="E223" s="4" t="inlineStr">
        <is>
          <t>에프에스</t>
        </is>
      </c>
      <c r="F223" s="5" t="inlineStr">
        <is>
          <t>cleaner</t>
        </is>
      </c>
      <c r="G223" s="4" t="inlineStr">
        <is>
          <t>티에이케이</t>
        </is>
      </c>
      <c r="H223" s="66" t="inlineStr">
        <is>
          <t>P150/3합</t>
        </is>
      </c>
      <c r="I223" s="66" t="n"/>
      <c r="J223" s="66" t="n"/>
      <c r="K223" s="121" t="n"/>
      <c r="L223" s="166" t="n">
        <v>1</v>
      </c>
      <c r="M223" s="167" t="n">
        <v>424.4</v>
      </c>
      <c r="N223" s="168" t="n"/>
      <c r="O223" s="169" t="n"/>
      <c r="P223" s="170" t="n"/>
      <c r="Q223" s="171" t="n"/>
      <c r="R223" s="172" t="n">
        <v>1000</v>
      </c>
      <c r="S223" s="172">
        <f>M223*R223</f>
        <v/>
      </c>
      <c r="T223" s="173" t="n"/>
      <c r="U223" s="174" t="n"/>
      <c r="V223" s="175" t="n"/>
      <c r="W223" s="176" t="n"/>
      <c r="X223" s="172" t="n"/>
      <c r="Y223" s="22" t="inlineStr">
        <is>
          <t>연사</t>
        </is>
      </c>
      <c r="Z223" s="177">
        <f>W223-S223-Q223</f>
        <v/>
      </c>
      <c r="AA223" s="0" t="n"/>
      <c r="AB223" s="0" t="n"/>
      <c r="AC223" s="0" t="n"/>
      <c r="AD223" s="0" t="n"/>
      <c r="AE223" s="0" t="n"/>
      <c r="AF223" s="0" t="n"/>
      <c r="AG223" s="0" t="n"/>
      <c r="AH223" s="0" t="n"/>
      <c r="AI223" s="0" t="n"/>
      <c r="AJ223" s="0" t="n"/>
      <c r="AK223" s="0" t="n"/>
      <c r="AL223" s="0" t="n"/>
      <c r="AM223" s="0" t="n"/>
      <c r="AN223" s="0" t="n"/>
      <c r="AO223" s="0" t="n"/>
      <c r="AP223" s="0" t="n"/>
      <c r="AQ223" s="0" t="n"/>
      <c r="AR223" s="0" t="n"/>
      <c r="AS223" s="0" t="n"/>
      <c r="AT223" s="0" t="n"/>
      <c r="AU223" s="0" t="n"/>
      <c r="AV223" s="0" t="n"/>
      <c r="AW223" s="0" t="n"/>
      <c r="AX223" s="0" t="n"/>
      <c r="AY223" s="0" t="n"/>
      <c r="AZ223" s="0" t="n"/>
      <c r="BA223" s="0" t="n"/>
      <c r="BB223" s="0" t="n"/>
      <c r="BC223" s="0" t="n"/>
      <c r="BD223" s="0" t="n"/>
      <c r="BE223" s="0" t="n"/>
      <c r="BF223" s="0" t="n"/>
      <c r="BG223" s="0" t="n"/>
      <c r="BH223" s="0" t="n"/>
      <c r="BI223" s="0" t="n"/>
      <c r="BJ223" s="0" t="n"/>
      <c r="BK223" s="0" t="n"/>
      <c r="BL223" s="0" t="n"/>
      <c r="BM223" s="0" t="n"/>
      <c r="BN223" s="0" t="n"/>
      <c r="BO223" s="0" t="n"/>
      <c r="BP223" s="0" t="n"/>
    </row>
    <row r="224" ht="16" customHeight="1" s="162">
      <c r="A224" s="206" t="n">
        <v>2603</v>
      </c>
      <c r="B224" s="164" t="n">
        <v>46104</v>
      </c>
      <c r="C224" s="161" t="inlineStr">
        <is>
          <t>하이젠540</t>
        </is>
      </c>
      <c r="D224" s="145" t="inlineStr">
        <is>
          <t>승진섬유</t>
        </is>
      </c>
      <c r="E224" s="4" t="inlineStr">
        <is>
          <t>에프에스</t>
        </is>
      </c>
      <c r="F224" s="5" t="inlineStr">
        <is>
          <t>cleaner</t>
        </is>
      </c>
      <c r="G224" s="4" t="inlineStr">
        <is>
          <t>티에이케이</t>
        </is>
      </c>
      <c r="H224" s="66" t="inlineStr">
        <is>
          <t>PP450D</t>
        </is>
      </c>
      <c r="I224" s="66" t="n"/>
      <c r="J224" s="66" t="n"/>
      <c r="K224" s="121" t="n"/>
      <c r="L224" s="166" t="n">
        <v>1</v>
      </c>
      <c r="M224" s="167" t="n">
        <v>226.1</v>
      </c>
      <c r="N224" s="168" t="n"/>
      <c r="O224" s="169" t="n"/>
      <c r="P224" s="170" t="n"/>
      <c r="Q224" s="171" t="n"/>
      <c r="R224" s="172" t="n">
        <v>1000</v>
      </c>
      <c r="S224" s="172">
        <f>M224*R224</f>
        <v/>
      </c>
      <c r="T224" s="173" t="n"/>
      <c r="U224" s="174" t="n"/>
      <c r="V224" s="175" t="n"/>
      <c r="W224" s="176" t="n"/>
      <c r="X224" s="172" t="n"/>
      <c r="Y224" s="22" t="inlineStr">
        <is>
          <t>연사</t>
        </is>
      </c>
      <c r="Z224" s="177">
        <f>W224-S224-Q224</f>
        <v/>
      </c>
    </row>
    <row r="225" ht="16" customHeight="1" s="162">
      <c r="A225" s="206" t="n">
        <v>2603</v>
      </c>
      <c r="B225" s="164" t="n">
        <v>46104</v>
      </c>
      <c r="C225" s="161" t="inlineStr">
        <is>
          <t>하이젠540</t>
        </is>
      </c>
      <c r="D225" s="145" t="inlineStr">
        <is>
          <t>승진섬유</t>
        </is>
      </c>
      <c r="E225" s="4" t="inlineStr">
        <is>
          <t>에프에스</t>
        </is>
      </c>
      <c r="F225" s="5" t="inlineStr">
        <is>
          <t>cleaner</t>
        </is>
      </c>
      <c r="G225" s="4" t="inlineStr">
        <is>
          <t>티에이케이</t>
        </is>
      </c>
      <c r="H225" s="66" t="inlineStr">
        <is>
          <t>NP150/3합</t>
        </is>
      </c>
      <c r="I225" s="66" t="n"/>
      <c r="J225" s="66" t="n"/>
      <c r="K225" s="121" t="n"/>
      <c r="L225" s="166" t="n">
        <v>1</v>
      </c>
      <c r="M225" s="167" t="n">
        <v>420.9</v>
      </c>
      <c r="N225" s="168" t="n"/>
      <c r="O225" s="169" t="n"/>
      <c r="P225" s="170" t="n"/>
      <c r="Q225" s="171" t="n"/>
      <c r="R225" s="172" t="n">
        <v>1000</v>
      </c>
      <c r="S225" s="172">
        <f>M225*R225</f>
        <v/>
      </c>
      <c r="T225" s="173" t="n"/>
      <c r="U225" s="174" t="n"/>
      <c r="V225" s="175" t="n"/>
      <c r="W225" s="176" t="n"/>
      <c r="X225" s="172" t="n"/>
      <c r="Y225" s="22" t="inlineStr">
        <is>
          <t>연사</t>
        </is>
      </c>
      <c r="Z225" s="177">
        <f>W225-S225-Q225</f>
        <v/>
      </c>
    </row>
    <row r="226" ht="16" customHeight="1" s="162">
      <c r="A226" s="206" t="n">
        <v>2603</v>
      </c>
      <c r="B226" s="207" t="n">
        <v>46085</v>
      </c>
      <c r="C226" s="159" t="inlineStr">
        <is>
          <t>hpw3200</t>
        </is>
      </c>
      <c r="D226" s="160" t="inlineStr">
        <is>
          <t>대한실업</t>
        </is>
      </c>
      <c r="E226" s="72" t="inlineStr">
        <is>
          <t>오아시스</t>
        </is>
      </c>
      <c r="F226" s="73" t="inlineStr">
        <is>
          <t>sofa</t>
        </is>
      </c>
      <c r="G226" s="72" t="inlineStr">
        <is>
          <t>오아시스</t>
        </is>
      </c>
      <c r="H226" s="74" t="inlineStr">
        <is>
          <t>HPW3200-SWD</t>
        </is>
      </c>
      <c r="I226" s="74" t="inlineStr">
        <is>
          <t>#604 라이트브라운</t>
        </is>
      </c>
      <c r="J226" s="74" t="inlineStr">
        <is>
          <t>밑지</t>
        </is>
      </c>
      <c r="K226" s="75" t="n"/>
      <c r="L226" s="208" t="n"/>
      <c r="M226" s="209" t="n"/>
      <c r="N226" s="210" t="n"/>
      <c r="O226" s="211" t="n">
        <v>788</v>
      </c>
      <c r="P226" s="212" t="n"/>
      <c r="Q226" s="213" t="n"/>
      <c r="R226" s="215" t="n">
        <v>170</v>
      </c>
      <c r="S226" s="215">
        <f>O226*R226</f>
        <v/>
      </c>
      <c r="T226" s="216" t="n"/>
      <c r="U226" s="217" t="n"/>
      <c r="V226" s="218" t="n">
        <v>6200</v>
      </c>
      <c r="W226" s="219">
        <f>O226*V226</f>
        <v/>
      </c>
      <c r="X226" s="215" t="n"/>
      <c r="Y226" s="134" t="inlineStr">
        <is>
          <t>가공</t>
        </is>
      </c>
      <c r="Z226" s="221">
        <f>W226-S226-Q226</f>
        <v/>
      </c>
      <c r="AA226" s="68" t="n"/>
      <c r="AB226" s="68" t="n"/>
      <c r="AC226" s="68" t="n"/>
      <c r="AD226" s="68" t="n"/>
      <c r="AE226" s="68" t="n"/>
      <c r="AF226" s="68" t="n"/>
      <c r="AG226" s="68" t="n"/>
      <c r="AH226" s="68" t="n"/>
      <c r="AI226" s="68" t="n"/>
      <c r="AJ226" s="68" t="n"/>
      <c r="AK226" s="68" t="n"/>
      <c r="AL226" s="68" t="n"/>
      <c r="AM226" s="68" t="n"/>
      <c r="AN226" s="68" t="n"/>
      <c r="AO226" s="68" t="n"/>
      <c r="AP226" s="68" t="n"/>
      <c r="AQ226" s="68" t="n"/>
      <c r="AR226" s="68" t="n"/>
      <c r="AS226" s="68" t="n"/>
      <c r="AT226" s="68" t="n"/>
      <c r="AU226" s="68" t="n"/>
      <c r="AV226" s="68" t="n"/>
      <c r="AW226" s="68" t="n"/>
      <c r="AX226" s="68" t="n"/>
      <c r="AY226" s="68" t="n"/>
      <c r="AZ226" s="68" t="n"/>
      <c r="BA226" s="68" t="n"/>
      <c r="BB226" s="68" t="n"/>
      <c r="BC226" s="68" t="n"/>
      <c r="BD226" s="68" t="n"/>
      <c r="BE226" s="68" t="n"/>
      <c r="BF226" s="68" t="n"/>
      <c r="BG226" s="68" t="n"/>
      <c r="BH226" s="68" t="n"/>
      <c r="BI226" s="68" t="n"/>
      <c r="BJ226" s="68" t="n"/>
      <c r="BK226" s="68" t="n"/>
      <c r="BL226" s="68" t="n"/>
      <c r="BM226" s="68" t="n"/>
      <c r="BN226" s="68" t="n"/>
      <c r="BO226" s="68" t="n"/>
      <c r="BP226" s="68" t="n"/>
    </row>
    <row r="227" ht="16" customHeight="1" s="162">
      <c r="A227" s="206" t="n">
        <v>2603</v>
      </c>
      <c r="B227" s="207" t="n">
        <v>46085</v>
      </c>
      <c r="C227" s="159" t="inlineStr">
        <is>
          <t>hpw3200</t>
        </is>
      </c>
      <c r="D227" s="160" t="inlineStr">
        <is>
          <t>대한실업</t>
        </is>
      </c>
      <c r="E227" s="72" t="inlineStr">
        <is>
          <t>오아시스</t>
        </is>
      </c>
      <c r="F227" s="73" t="inlineStr">
        <is>
          <t>sofa</t>
        </is>
      </c>
      <c r="G227" s="72" t="inlineStr">
        <is>
          <t>오아시스</t>
        </is>
      </c>
      <c r="H227" s="74" t="inlineStr">
        <is>
          <t>HPW3200-SWD</t>
        </is>
      </c>
      <c r="I227" s="74" t="inlineStr">
        <is>
          <t>#610  본</t>
        </is>
      </c>
      <c r="J227" s="74" t="inlineStr">
        <is>
          <t>밑지</t>
        </is>
      </c>
      <c r="K227" s="75" t="n"/>
      <c r="L227" s="208" t="n"/>
      <c r="M227" s="209" t="n"/>
      <c r="N227" s="210" t="n"/>
      <c r="O227" s="211" t="n">
        <v>402</v>
      </c>
      <c r="P227" s="212" t="n"/>
      <c r="Q227" s="213" t="n"/>
      <c r="R227" s="215" t="n">
        <v>170</v>
      </c>
      <c r="S227" s="215">
        <f>O227*R227</f>
        <v/>
      </c>
      <c r="T227" s="216" t="n"/>
      <c r="U227" s="217" t="n"/>
      <c r="V227" s="218" t="n">
        <v>6200</v>
      </c>
      <c r="W227" s="219">
        <f>O227*V227</f>
        <v/>
      </c>
      <c r="X227" s="215" t="n"/>
      <c r="Y227" s="134" t="inlineStr">
        <is>
          <t>가공</t>
        </is>
      </c>
      <c r="Z227" s="221">
        <f>W227-S227-Q227</f>
        <v/>
      </c>
      <c r="AA227" s="68" t="n"/>
      <c r="AB227" s="68" t="n"/>
      <c r="AC227" s="68" t="n"/>
      <c r="AD227" s="68" t="n"/>
      <c r="AE227" s="68" t="n"/>
      <c r="AF227" s="68" t="n"/>
      <c r="AG227" s="68" t="n"/>
      <c r="AH227" s="68" t="n"/>
      <c r="AI227" s="68" t="n"/>
      <c r="AJ227" s="68" t="n"/>
      <c r="AK227" s="68" t="n"/>
      <c r="AL227" s="68" t="n"/>
      <c r="AM227" s="68" t="n"/>
      <c r="AN227" s="68" t="n"/>
      <c r="AO227" s="68" t="n"/>
      <c r="AP227" s="68" t="n"/>
      <c r="AQ227" s="68" t="n"/>
      <c r="AR227" s="68" t="n"/>
      <c r="AS227" s="68" t="n"/>
      <c r="AT227" s="68" t="n"/>
      <c r="AU227" s="68" t="n"/>
      <c r="AV227" s="68" t="n"/>
      <c r="AW227" s="68" t="n"/>
      <c r="AX227" s="68" t="n"/>
      <c r="AY227" s="68" t="n"/>
      <c r="AZ227" s="68" t="n"/>
      <c r="BA227" s="68" t="n"/>
      <c r="BB227" s="68" t="n"/>
      <c r="BC227" s="68" t="n"/>
      <c r="BD227" s="68" t="n"/>
      <c r="BE227" s="68" t="n"/>
      <c r="BF227" s="68" t="n"/>
      <c r="BG227" s="68" t="n"/>
      <c r="BH227" s="68" t="n"/>
      <c r="BI227" s="68" t="n"/>
      <c r="BJ227" s="68" t="n"/>
      <c r="BK227" s="68" t="n"/>
      <c r="BL227" s="68" t="n"/>
      <c r="BM227" s="68" t="n"/>
      <c r="BN227" s="68" t="n"/>
      <c r="BO227" s="68" t="n"/>
      <c r="BP227" s="68" t="n"/>
    </row>
    <row r="228" ht="16" customFormat="1" customHeight="1" s="68">
      <c r="A228" s="206" t="n">
        <v>2603</v>
      </c>
      <c r="B228" s="207" t="n">
        <v>46085</v>
      </c>
      <c r="C228" s="159" t="inlineStr">
        <is>
          <t>hpw3200</t>
        </is>
      </c>
      <c r="D228" s="160" t="inlineStr">
        <is>
          <t>은호섬유</t>
        </is>
      </c>
      <c r="E228" s="72" t="inlineStr">
        <is>
          <t>오아시스</t>
        </is>
      </c>
      <c r="F228" s="73" t="inlineStr">
        <is>
          <t>sofa</t>
        </is>
      </c>
      <c r="G228" s="72" t="inlineStr">
        <is>
          <t>오아시스</t>
        </is>
      </c>
      <c r="H228" s="74" t="inlineStr">
        <is>
          <t>밑지</t>
        </is>
      </c>
      <c r="I228" s="74" t="inlineStr">
        <is>
          <t>#604</t>
        </is>
      </c>
      <c r="J228" s="74" t="n"/>
      <c r="K228" s="75" t="n"/>
      <c r="L228" s="208" t="n"/>
      <c r="M228" s="209" t="n">
        <v>171.8</v>
      </c>
      <c r="N228" s="210" t="n"/>
      <c r="O228" s="211" t="n">
        <v>911</v>
      </c>
      <c r="P228" s="212" t="n"/>
      <c r="Q228" s="213" t="n"/>
      <c r="R228" s="215" t="n">
        <v>1850</v>
      </c>
      <c r="S228" s="215">
        <f>M228*R228</f>
        <v/>
      </c>
      <c r="T228" s="216" t="n"/>
      <c r="U228" s="217" t="n"/>
      <c r="V228" s="218" t="n">
        <v>1270</v>
      </c>
      <c r="W228" s="219">
        <f>O228*V228</f>
        <v/>
      </c>
      <c r="X228" s="215" t="n"/>
      <c r="Y228" s="134" t="inlineStr">
        <is>
          <t>염색</t>
        </is>
      </c>
      <c r="Z228" s="221">
        <f>W228-S228-Q228</f>
        <v/>
      </c>
    </row>
    <row r="229" ht="16" customHeight="1" s="162">
      <c r="A229" s="206" t="n">
        <v>2603</v>
      </c>
      <c r="B229" s="207" t="n">
        <v>46084</v>
      </c>
      <c r="C229" s="159" t="inlineStr">
        <is>
          <t>hpw3200</t>
        </is>
      </c>
      <c r="D229" s="160" t="inlineStr">
        <is>
          <t>라임기모</t>
        </is>
      </c>
      <c r="E229" s="72" t="inlineStr">
        <is>
          <t>오아시스</t>
        </is>
      </c>
      <c r="F229" s="73" t="inlineStr">
        <is>
          <t>sofa</t>
        </is>
      </c>
      <c r="G229" s="72" t="inlineStr">
        <is>
          <t>오아시스</t>
        </is>
      </c>
      <c r="H229" s="74" t="inlineStr">
        <is>
          <t>탕비</t>
        </is>
      </c>
      <c r="I229" s="74" t="n"/>
      <c r="J229" s="74" t="n"/>
      <c r="K229" s="75" t="n"/>
      <c r="L229" s="208" t="n"/>
      <c r="M229" s="209" t="n"/>
      <c r="N229" s="210" t="n"/>
      <c r="O229" s="211" t="n">
        <v>1</v>
      </c>
      <c r="P229" s="212" t="n"/>
      <c r="Q229" s="213" t="n"/>
      <c r="R229" s="215" t="n"/>
      <c r="S229" s="215" t="n">
        <v>500000</v>
      </c>
      <c r="T229" s="216" t="n"/>
      <c r="U229" s="217" t="n"/>
      <c r="V229" s="218" t="n">
        <v>250000</v>
      </c>
      <c r="W229" s="219" t="n">
        <v>250000</v>
      </c>
      <c r="X229" s="215" t="n"/>
      <c r="Y229" s="134" t="inlineStr">
        <is>
          <t>상품</t>
        </is>
      </c>
      <c r="Z229" s="221">
        <f>W229-S229-Q229</f>
        <v/>
      </c>
      <c r="AA229" s="68" t="n"/>
      <c r="AB229" s="68" t="n"/>
      <c r="AC229" s="68" t="n"/>
      <c r="AD229" s="68" t="n"/>
      <c r="AE229" s="68" t="n"/>
      <c r="AF229" s="68" t="n"/>
      <c r="AG229" s="68" t="n"/>
      <c r="AH229" s="68" t="n"/>
      <c r="AI229" s="68" t="n"/>
      <c r="AJ229" s="68" t="n"/>
      <c r="AK229" s="68" t="n"/>
      <c r="AL229" s="68" t="n"/>
      <c r="AM229" s="68" t="n"/>
      <c r="AN229" s="68" t="n"/>
      <c r="AO229" s="68" t="n"/>
      <c r="AP229" s="68" t="n"/>
      <c r="AQ229" s="68" t="n"/>
      <c r="AR229" s="68" t="n"/>
      <c r="AS229" s="68" t="n"/>
      <c r="AT229" s="68" t="n"/>
      <c r="AU229" s="68" t="n"/>
      <c r="AV229" s="68" t="n"/>
      <c r="AW229" s="68" t="n"/>
      <c r="AX229" s="68" t="n"/>
      <c r="AY229" s="68" t="n"/>
      <c r="AZ229" s="68" t="n"/>
      <c r="BA229" s="68" t="n"/>
      <c r="BB229" s="68" t="n"/>
      <c r="BC229" s="68" t="n"/>
      <c r="BD229" s="68" t="n"/>
      <c r="BE229" s="68" t="n"/>
      <c r="BF229" s="68" t="n"/>
      <c r="BG229" s="68" t="n"/>
      <c r="BH229" s="68" t="n"/>
      <c r="BI229" s="68" t="n"/>
      <c r="BJ229" s="68" t="n"/>
      <c r="BK229" s="68" t="n"/>
      <c r="BL229" s="68" t="n"/>
      <c r="BM229" s="68" t="n"/>
      <c r="BN229" s="68" t="n"/>
      <c r="BO229" s="68" t="n"/>
      <c r="BP229" s="68" t="n"/>
    </row>
    <row r="230" ht="16" customHeight="1" s="162">
      <c r="A230" s="206" t="n">
        <v>2603</v>
      </c>
      <c r="B230" s="164" t="n">
        <v>46086</v>
      </c>
      <c r="C230" s="161" t="inlineStr">
        <is>
          <t>하이젠540</t>
        </is>
      </c>
      <c r="D230" s="145" t="inlineStr">
        <is>
          <t>에프에스</t>
        </is>
      </c>
      <c r="E230" s="4" t="inlineStr">
        <is>
          <t>은호섬유</t>
        </is>
      </c>
      <c r="F230" s="5" t="inlineStr">
        <is>
          <t>cleaner</t>
        </is>
      </c>
      <c r="G230" s="4" t="inlineStr">
        <is>
          <t>티에이케이</t>
        </is>
      </c>
      <c r="H230" s="66" t="inlineStr">
        <is>
          <t>하이젠540</t>
        </is>
      </c>
      <c r="I230" s="66" t="n"/>
      <c r="J230" s="66" t="n"/>
      <c r="K230" s="67" t="n"/>
      <c r="L230" s="166" t="n">
        <v>168</v>
      </c>
      <c r="M230" s="167" t="n">
        <v>2926</v>
      </c>
      <c r="N230" s="168" t="n"/>
      <c r="O230" s="169" t="n"/>
      <c r="P230" s="170" t="n"/>
      <c r="Q230" s="171" t="n"/>
      <c r="R230" s="172" t="n">
        <v>2000</v>
      </c>
      <c r="S230" s="172">
        <f>M230*R230</f>
        <v/>
      </c>
      <c r="T230" s="173" t="n"/>
      <c r="U230" s="174" t="n"/>
      <c r="V230" s="175" t="n"/>
      <c r="W230" s="176" t="n"/>
      <c r="X230" s="172" t="n"/>
      <c r="Y230" s="22" t="inlineStr">
        <is>
          <t>편직</t>
        </is>
      </c>
      <c r="Z230" s="177">
        <f>W230-S230-Q230</f>
        <v/>
      </c>
    </row>
    <row r="231" ht="16" customHeight="1" s="162">
      <c r="A231" s="206" t="n">
        <v>2603</v>
      </c>
      <c r="B231" s="164" t="n">
        <v>46085</v>
      </c>
      <c r="C231" s="161" t="inlineStr">
        <is>
          <t>하이젠540</t>
        </is>
      </c>
      <c r="D231" s="145" t="inlineStr">
        <is>
          <t>동우섬유</t>
        </is>
      </c>
      <c r="E231" s="4" t="inlineStr">
        <is>
          <t>은호섬유</t>
        </is>
      </c>
      <c r="F231" s="5" t="inlineStr">
        <is>
          <t>cleaner</t>
        </is>
      </c>
      <c r="G231" s="4" t="inlineStr">
        <is>
          <t>티에이케이</t>
        </is>
      </c>
      <c r="H231" s="66" t="inlineStr">
        <is>
          <t>하이젠540</t>
        </is>
      </c>
      <c r="I231" s="66" t="n"/>
      <c r="J231" s="66" t="n"/>
      <c r="K231" s="67" t="n"/>
      <c r="L231" s="166" t="n">
        <v>45</v>
      </c>
      <c r="M231" s="167" t="n">
        <v>938.2</v>
      </c>
      <c r="N231" s="168" t="n"/>
      <c r="O231" s="169" t="n"/>
      <c r="P231" s="170" t="n"/>
      <c r="Q231" s="171" t="n"/>
      <c r="R231" s="172" t="n">
        <v>2000</v>
      </c>
      <c r="S231" s="172">
        <f>M231*R231</f>
        <v/>
      </c>
      <c r="T231" s="173" t="n"/>
      <c r="U231" s="174" t="n"/>
      <c r="V231" s="175" t="n"/>
      <c r="W231" s="176" t="n"/>
      <c r="X231" s="172" t="n"/>
      <c r="Y231" s="22" t="inlineStr">
        <is>
          <t>편직</t>
        </is>
      </c>
      <c r="Z231" s="177">
        <f>W231-S231-Q231</f>
        <v/>
      </c>
    </row>
    <row r="232" ht="16" customHeight="1" s="162">
      <c r="A232" s="206" t="n">
        <v>2603</v>
      </c>
      <c r="B232" s="164" t="n">
        <v>46084</v>
      </c>
      <c r="C232" s="161" t="inlineStr">
        <is>
          <t>하이젠540</t>
        </is>
      </c>
      <c r="D232" s="145" t="inlineStr">
        <is>
          <t>에프에스</t>
        </is>
      </c>
      <c r="E232" s="4" t="inlineStr">
        <is>
          <t>은호섬유</t>
        </is>
      </c>
      <c r="F232" s="5" t="inlineStr">
        <is>
          <t>cleaner</t>
        </is>
      </c>
      <c r="G232" s="4" t="inlineStr">
        <is>
          <t>티에이케이</t>
        </is>
      </c>
      <c r="H232" s="66" t="inlineStr">
        <is>
          <t>하이젠540</t>
        </is>
      </c>
      <c r="I232" s="66" t="n"/>
      <c r="J232" s="66" t="n"/>
      <c r="K232" s="67" t="n"/>
      <c r="L232" s="166" t="n">
        <v>231</v>
      </c>
      <c r="M232" s="167" t="n">
        <v>4042.5</v>
      </c>
      <c r="N232" s="168" t="n"/>
      <c r="O232" s="169" t="n"/>
      <c r="P232" s="170" t="n"/>
      <c r="Q232" s="171" t="n"/>
      <c r="R232" s="172" t="n">
        <v>2000</v>
      </c>
      <c r="S232" s="172">
        <f>M232*R232</f>
        <v/>
      </c>
      <c r="T232" s="173" t="n"/>
      <c r="U232" s="174" t="n"/>
      <c r="V232" s="175" t="n"/>
      <c r="W232" s="176" t="n"/>
      <c r="X232" s="172" t="n"/>
      <c r="Y232" s="22" t="inlineStr">
        <is>
          <t>편직</t>
        </is>
      </c>
      <c r="Z232" s="177">
        <f>W232-S232-Q232</f>
        <v/>
      </c>
    </row>
    <row r="233" ht="16" customFormat="1" customHeight="1" s="68">
      <c r="A233" s="206" t="n">
        <v>2603</v>
      </c>
      <c r="B233" s="164" t="n">
        <v>46087</v>
      </c>
      <c r="C233" s="161" t="inlineStr">
        <is>
          <t>하이젠540</t>
        </is>
      </c>
      <c r="D233" s="145" t="inlineStr">
        <is>
          <t>동우섬유</t>
        </is>
      </c>
      <c r="E233" s="4" t="inlineStr">
        <is>
          <t>은호섬유</t>
        </is>
      </c>
      <c r="F233" s="5" t="inlineStr">
        <is>
          <t>cleaner</t>
        </is>
      </c>
      <c r="G233" s="4" t="inlineStr">
        <is>
          <t>티에이케이</t>
        </is>
      </c>
      <c r="H233" s="66" t="inlineStr">
        <is>
          <t>하이젠 540</t>
        </is>
      </c>
      <c r="I233" s="66" t="n"/>
      <c r="J233" s="66" t="n"/>
      <c r="K233" s="121" t="n"/>
      <c r="L233" s="166" t="n">
        <v>100</v>
      </c>
      <c r="M233" s="167" t="n">
        <v>2016.2</v>
      </c>
      <c r="N233" s="168" t="n"/>
      <c r="O233" s="169" t="n"/>
      <c r="P233" s="170" t="n"/>
      <c r="Q233" s="171" t="n"/>
      <c r="R233" s="172" t="n">
        <v>2000</v>
      </c>
      <c r="S233" s="172">
        <f>M233*R233</f>
        <v/>
      </c>
      <c r="T233" s="173" t="n"/>
      <c r="U233" s="174" t="n"/>
      <c r="V233" s="175" t="n"/>
      <c r="W233" s="176" t="n"/>
      <c r="X233" s="172" t="n"/>
      <c r="Y233" s="22" t="inlineStr">
        <is>
          <t>편직</t>
        </is>
      </c>
      <c r="Z233" s="177">
        <f>W233-S233-Q233</f>
        <v/>
      </c>
      <c r="AA233" s="0" t="n"/>
      <c r="AB233" s="0" t="n"/>
      <c r="AC233" s="0" t="n"/>
      <c r="AD233" s="0" t="n"/>
      <c r="AE233" s="0" t="n"/>
      <c r="AF233" s="0" t="n"/>
      <c r="AG233" s="0" t="n"/>
      <c r="AH233" s="0" t="n"/>
      <c r="AI233" s="0" t="n"/>
      <c r="AJ233" s="0" t="n"/>
      <c r="AK233" s="0" t="n"/>
      <c r="AL233" s="0" t="n"/>
      <c r="AM233" s="0" t="n"/>
      <c r="AN233" s="0" t="n"/>
      <c r="AO233" s="0" t="n"/>
      <c r="AP233" s="0" t="n"/>
      <c r="AQ233" s="0" t="n"/>
      <c r="AR233" s="0" t="n"/>
      <c r="AS233" s="0" t="n"/>
      <c r="AT233" s="0" t="n"/>
      <c r="AU233" s="0" t="n"/>
      <c r="AV233" s="0" t="n"/>
      <c r="AW233" s="0" t="n"/>
      <c r="AX233" s="0" t="n"/>
      <c r="AY233" s="0" t="n"/>
      <c r="AZ233" s="0" t="n"/>
      <c r="BA233" s="0" t="n"/>
      <c r="BB233" s="0" t="n"/>
      <c r="BC233" s="0" t="n"/>
      <c r="BD233" s="0" t="n"/>
      <c r="BE233" s="0" t="n"/>
      <c r="BF233" s="0" t="n"/>
      <c r="BG233" s="0" t="n"/>
      <c r="BH233" s="0" t="n"/>
      <c r="BI233" s="0" t="n"/>
      <c r="BJ233" s="0" t="n"/>
      <c r="BK233" s="0" t="n"/>
      <c r="BL233" s="0" t="n"/>
      <c r="BM233" s="0" t="n"/>
      <c r="BN233" s="0" t="n"/>
      <c r="BO233" s="0" t="n"/>
      <c r="BP233" s="0" t="n"/>
    </row>
    <row r="234" ht="16" customFormat="1" customHeight="1" s="68">
      <c r="A234" s="206" t="n">
        <v>2603</v>
      </c>
      <c r="B234" s="164" t="n">
        <v>46091</v>
      </c>
      <c r="C234" s="161" t="inlineStr">
        <is>
          <t>하이젠540</t>
        </is>
      </c>
      <c r="D234" s="145" t="inlineStr">
        <is>
          <t>동우섬유</t>
        </is>
      </c>
      <c r="E234" s="4" t="inlineStr">
        <is>
          <t>은호섬유</t>
        </is>
      </c>
      <c r="F234" s="5" t="inlineStr">
        <is>
          <t>cleaner</t>
        </is>
      </c>
      <c r="G234" s="4" t="inlineStr">
        <is>
          <t>티에이케이</t>
        </is>
      </c>
      <c r="H234" s="66" t="inlineStr">
        <is>
          <t>하이젠540</t>
        </is>
      </c>
      <c r="I234" s="66" t="n"/>
      <c r="J234" s="66" t="n"/>
      <c r="K234" s="121" t="n"/>
      <c r="L234" s="166" t="n">
        <v>89</v>
      </c>
      <c r="M234" s="167" t="n">
        <v>1833.8</v>
      </c>
      <c r="N234" s="168" t="n"/>
      <c r="O234" s="169" t="n"/>
      <c r="P234" s="170" t="n"/>
      <c r="Q234" s="171" t="n"/>
      <c r="R234" s="172" t="n">
        <v>2000</v>
      </c>
      <c r="S234" s="172">
        <f>M234*R234</f>
        <v/>
      </c>
      <c r="T234" s="173" t="n"/>
      <c r="U234" s="174" t="n"/>
      <c r="V234" s="175" t="n"/>
      <c r="W234" s="176" t="n"/>
      <c r="X234" s="172" t="n"/>
      <c r="Y234" s="22" t="inlineStr">
        <is>
          <t>편직</t>
        </is>
      </c>
      <c r="Z234" s="177">
        <f>W234-S234-Q234</f>
        <v/>
      </c>
      <c r="AA234" s="0" t="n"/>
      <c r="AB234" s="0" t="n"/>
      <c r="AC234" s="0" t="n"/>
      <c r="AD234" s="0" t="n"/>
      <c r="AE234" s="0" t="n"/>
      <c r="AF234" s="0" t="n"/>
      <c r="AG234" s="0" t="n"/>
      <c r="AH234" s="0" t="n"/>
      <c r="AI234" s="0" t="n"/>
      <c r="AJ234" s="0" t="n"/>
      <c r="AK234" s="0" t="n"/>
      <c r="AL234" s="0" t="n"/>
      <c r="AM234" s="0" t="n"/>
      <c r="AN234" s="0" t="n"/>
      <c r="AO234" s="0" t="n"/>
      <c r="AP234" s="0" t="n"/>
      <c r="AQ234" s="0" t="n"/>
      <c r="AR234" s="0" t="n"/>
      <c r="AS234" s="0" t="n"/>
      <c r="AT234" s="0" t="n"/>
      <c r="AU234" s="0" t="n"/>
      <c r="AV234" s="0" t="n"/>
      <c r="AW234" s="0" t="n"/>
      <c r="AX234" s="0" t="n"/>
      <c r="AY234" s="0" t="n"/>
      <c r="AZ234" s="0" t="n"/>
      <c r="BA234" s="0" t="n"/>
      <c r="BB234" s="0" t="n"/>
      <c r="BC234" s="0" t="n"/>
      <c r="BD234" s="0" t="n"/>
      <c r="BE234" s="0" t="n"/>
      <c r="BF234" s="0" t="n"/>
      <c r="BG234" s="0" t="n"/>
      <c r="BH234" s="0" t="n"/>
      <c r="BI234" s="0" t="n"/>
      <c r="BJ234" s="0" t="n"/>
      <c r="BK234" s="0" t="n"/>
      <c r="BL234" s="0" t="n"/>
      <c r="BM234" s="0" t="n"/>
      <c r="BN234" s="0" t="n"/>
      <c r="BO234" s="0" t="n"/>
      <c r="BP234" s="0" t="n"/>
    </row>
    <row r="235" ht="16" customFormat="1" customHeight="1" s="68">
      <c r="A235" s="206" t="n">
        <v>2603</v>
      </c>
      <c r="B235" s="164" t="n">
        <v>46093</v>
      </c>
      <c r="C235" s="161" t="inlineStr">
        <is>
          <t>하이젠540</t>
        </is>
      </c>
      <c r="D235" s="145" t="inlineStr">
        <is>
          <t>에프에스</t>
        </is>
      </c>
      <c r="E235" s="4" t="inlineStr">
        <is>
          <t>은호섬유</t>
        </is>
      </c>
      <c r="F235" s="5" t="inlineStr">
        <is>
          <t>cleaner</t>
        </is>
      </c>
      <c r="G235" s="4" t="inlineStr">
        <is>
          <t>티에이케이</t>
        </is>
      </c>
      <c r="H235" s="66" t="inlineStr">
        <is>
          <t>ZIG MOP</t>
        </is>
      </c>
      <c r="I235" s="66" t="n"/>
      <c r="J235" s="66" t="n"/>
      <c r="K235" s="121" t="n"/>
      <c r="L235" s="166" t="n">
        <v>81</v>
      </c>
      <c r="M235" s="167" t="n">
        <v>1417.5</v>
      </c>
      <c r="N235" s="168" t="n"/>
      <c r="O235" s="169" t="n"/>
      <c r="P235" s="170" t="n"/>
      <c r="Q235" s="171" t="n"/>
      <c r="R235" s="172" t="n">
        <v>2000</v>
      </c>
      <c r="S235" s="172">
        <f>M235*R235</f>
        <v/>
      </c>
      <c r="T235" s="173" t="n"/>
      <c r="U235" s="174" t="n"/>
      <c r="V235" s="175" t="n"/>
      <c r="W235" s="176" t="n"/>
      <c r="X235" s="172" t="n"/>
      <c r="Y235" s="22" t="inlineStr">
        <is>
          <t>편직</t>
        </is>
      </c>
      <c r="Z235" s="177">
        <f>W235-S235-Q235</f>
        <v/>
      </c>
      <c r="AA235" s="0" t="n"/>
      <c r="AB235" s="0" t="n"/>
      <c r="AC235" s="0" t="n"/>
      <c r="AD235" s="0" t="n"/>
      <c r="AE235" s="0" t="n"/>
      <c r="AF235" s="0" t="n"/>
      <c r="AG235" s="0" t="n"/>
      <c r="AH235" s="0" t="n"/>
      <c r="AI235" s="0" t="n"/>
      <c r="AJ235" s="0" t="n"/>
      <c r="AK235" s="0" t="n"/>
      <c r="AL235" s="0" t="n"/>
      <c r="AM235" s="0" t="n"/>
      <c r="AN235" s="0" t="n"/>
      <c r="AO235" s="0" t="n"/>
      <c r="AP235" s="0" t="n"/>
      <c r="AQ235" s="0" t="n"/>
      <c r="AR235" s="0" t="n"/>
      <c r="AS235" s="0" t="n"/>
      <c r="AT235" s="0" t="n"/>
      <c r="AU235" s="0" t="n"/>
      <c r="AV235" s="0" t="n"/>
      <c r="AW235" s="0" t="n"/>
      <c r="AX235" s="0" t="n"/>
      <c r="AY235" s="0" t="n"/>
      <c r="AZ235" s="0" t="n"/>
      <c r="BA235" s="0" t="n"/>
      <c r="BB235" s="0" t="n"/>
      <c r="BC235" s="0" t="n"/>
      <c r="BD235" s="0" t="n"/>
      <c r="BE235" s="0" t="n"/>
      <c r="BF235" s="0" t="n"/>
      <c r="BG235" s="0" t="n"/>
      <c r="BH235" s="0" t="n"/>
      <c r="BI235" s="0" t="n"/>
      <c r="BJ235" s="0" t="n"/>
      <c r="BK235" s="0" t="n"/>
      <c r="BL235" s="0" t="n"/>
      <c r="BM235" s="0" t="n"/>
      <c r="BN235" s="0" t="n"/>
      <c r="BO235" s="0" t="n"/>
      <c r="BP235" s="0" t="n"/>
    </row>
    <row r="236" ht="16" customHeight="1" s="162">
      <c r="A236" s="206" t="n">
        <v>2603</v>
      </c>
      <c r="B236" s="164" t="n">
        <v>46101</v>
      </c>
      <c r="C236" s="161" t="inlineStr">
        <is>
          <t>하이젠540</t>
        </is>
      </c>
      <c r="D236" s="145" t="inlineStr">
        <is>
          <t>에프에스</t>
        </is>
      </c>
      <c r="E236" s="4" t="inlineStr">
        <is>
          <t>은호섬유</t>
        </is>
      </c>
      <c r="F236" s="5" t="inlineStr">
        <is>
          <t>cleaner</t>
        </is>
      </c>
      <c r="G236" s="4" t="inlineStr">
        <is>
          <t>티에이케이</t>
        </is>
      </c>
      <c r="H236" s="66" t="inlineStr">
        <is>
          <t>ZIG MOP</t>
        </is>
      </c>
      <c r="I236" s="66" t="n"/>
      <c r="J236" s="66" t="n"/>
      <c r="K236" s="121" t="n"/>
      <c r="L236" s="166" t="n">
        <v>64</v>
      </c>
      <c r="M236" s="167" t="n">
        <v>1120</v>
      </c>
      <c r="N236" s="168" t="n"/>
      <c r="O236" s="169" t="n"/>
      <c r="P236" s="170" t="n"/>
      <c r="Q236" s="171" t="n"/>
      <c r="R236" s="172" t="n">
        <v>2000</v>
      </c>
      <c r="S236" s="172">
        <f>M236*R236</f>
        <v/>
      </c>
      <c r="T236" s="173" t="n"/>
      <c r="U236" s="174" t="n"/>
      <c r="V236" s="175" t="n"/>
      <c r="W236" s="176" t="n"/>
      <c r="X236" s="172" t="n"/>
      <c r="Y236" s="22" t="inlineStr">
        <is>
          <t>편직</t>
        </is>
      </c>
      <c r="Z236" s="177">
        <f>W236-S236-Q236</f>
        <v/>
      </c>
    </row>
    <row r="237" ht="16" customHeight="1" s="162">
      <c r="A237" s="206" t="n">
        <v>2603</v>
      </c>
      <c r="B237" s="207" t="n">
        <v>46094</v>
      </c>
      <c r="C237" s="159" t="inlineStr">
        <is>
          <t>30심지</t>
        </is>
      </c>
      <c r="D237" s="160" t="inlineStr">
        <is>
          <t>미래심지</t>
        </is>
      </c>
      <c r="E237" s="72" t="inlineStr">
        <is>
          <t>진영텍스코</t>
        </is>
      </c>
      <c r="F237" s="73" t="inlineStr">
        <is>
          <t>back</t>
        </is>
      </c>
      <c r="G237" s="72" t="inlineStr">
        <is>
          <t>진영텍스코</t>
        </is>
      </c>
      <c r="H237" s="74" t="inlineStr">
        <is>
          <t>P30D WOVEN</t>
        </is>
      </c>
      <c r="I237" s="74" t="inlineStr">
        <is>
          <t>JIN GREY</t>
        </is>
      </c>
      <c r="J237" s="74" t="n"/>
      <c r="K237" s="85" t="n"/>
      <c r="L237" s="208" t="n">
        <v>6</v>
      </c>
      <c r="M237" s="209" t="n"/>
      <c r="N237" s="210" t="n">
        <v>1653</v>
      </c>
      <c r="O237" s="211" t="n"/>
      <c r="P237" s="212" t="n"/>
      <c r="Q237" s="213" t="n"/>
      <c r="R237" s="215" t="n">
        <v>800</v>
      </c>
      <c r="S237" s="215">
        <f>R237*N237</f>
        <v/>
      </c>
      <c r="T237" s="216" t="n"/>
      <c r="U237" s="217" t="n"/>
      <c r="V237" s="218" t="n">
        <v>1200</v>
      </c>
      <c r="W237" s="219">
        <f>N237*V237</f>
        <v/>
      </c>
      <c r="X237" s="215" t="n"/>
      <c r="Y237" s="134" t="inlineStr">
        <is>
          <t>상품</t>
        </is>
      </c>
      <c r="Z237" s="221">
        <f>W237-S237-Q237</f>
        <v/>
      </c>
      <c r="AA237" s="68" t="n"/>
      <c r="AB237" s="68" t="n"/>
      <c r="AC237" s="68" t="n"/>
      <c r="AD237" s="68" t="n"/>
      <c r="AE237" s="68" t="n"/>
      <c r="AF237" s="68" t="n"/>
      <c r="AG237" s="68" t="n"/>
      <c r="AH237" s="68" t="n"/>
      <c r="AI237" s="68" t="n"/>
      <c r="AJ237" s="68" t="n"/>
      <c r="AK237" s="68" t="n"/>
      <c r="AL237" s="68" t="n"/>
      <c r="AM237" s="68" t="n"/>
      <c r="AN237" s="68" t="n"/>
      <c r="AO237" s="68" t="n"/>
      <c r="AP237" s="68" t="n"/>
      <c r="AQ237" s="68" t="n"/>
      <c r="AR237" s="68" t="n"/>
      <c r="AS237" s="68" t="n"/>
      <c r="AT237" s="68" t="n"/>
      <c r="AU237" s="68" t="n"/>
      <c r="AV237" s="68" t="n"/>
      <c r="AW237" s="68" t="n"/>
      <c r="AX237" s="68" t="n"/>
      <c r="AY237" s="68" t="n"/>
      <c r="AZ237" s="68" t="n"/>
      <c r="BA237" s="68" t="n"/>
      <c r="BB237" s="68" t="n"/>
      <c r="BC237" s="68" t="n"/>
      <c r="BD237" s="68" t="n"/>
      <c r="BE237" s="68" t="n"/>
      <c r="BF237" s="68" t="n"/>
      <c r="BG237" s="68" t="n"/>
      <c r="BH237" s="68" t="n"/>
      <c r="BI237" s="68" t="n"/>
      <c r="BJ237" s="68" t="n"/>
      <c r="BK237" s="68" t="n"/>
      <c r="BL237" s="68" t="n"/>
      <c r="BM237" s="68" t="n"/>
      <c r="BN237" s="68" t="n"/>
      <c r="BO237" s="68" t="n"/>
      <c r="BP237" s="68" t="n"/>
    </row>
    <row r="238" ht="16" customHeight="1" s="162">
      <c r="A238" s="206" t="n">
        <v>2603</v>
      </c>
      <c r="B238" s="207" t="n">
        <v>46084</v>
      </c>
      <c r="C238" s="159" t="inlineStr">
        <is>
          <t>하이젠540</t>
        </is>
      </c>
      <c r="D238" s="160" t="inlineStr">
        <is>
          <t>은호섬유</t>
        </is>
      </c>
      <c r="E238" s="72" t="inlineStr">
        <is>
          <t>티에이케이</t>
        </is>
      </c>
      <c r="F238" s="73" t="inlineStr">
        <is>
          <t>cleaner</t>
        </is>
      </c>
      <c r="G238" s="72" t="inlineStr">
        <is>
          <t>티에이케이</t>
        </is>
      </c>
      <c r="H238" s="74" t="inlineStr">
        <is>
          <t>HYGEN TWIST 540</t>
        </is>
      </c>
      <c r="I238" s="74" t="inlineStr">
        <is>
          <t>BLUE</t>
        </is>
      </c>
      <c r="J238" s="74" t="n"/>
      <c r="K238" s="85" t="inlineStr">
        <is>
          <t>016</t>
        </is>
      </c>
      <c r="L238" s="208" t="n">
        <v>32</v>
      </c>
      <c r="M238" s="209" t="n">
        <v>502.2</v>
      </c>
      <c r="N238" s="210" t="n"/>
      <c r="O238" s="211" t="n">
        <v>755</v>
      </c>
      <c r="P238" s="212" t="n"/>
      <c r="Q238" s="213" t="n"/>
      <c r="R238" s="215" t="n">
        <v>2500</v>
      </c>
      <c r="S238" s="215">
        <f>M238*R238</f>
        <v/>
      </c>
      <c r="T238" s="216" t="n"/>
      <c r="U238" s="217" t="n"/>
      <c r="V238" s="218" t="n">
        <v>6566</v>
      </c>
      <c r="W238" s="219">
        <f>O238*V238</f>
        <v/>
      </c>
      <c r="X238" s="215" t="n"/>
      <c r="Y238" s="134" t="inlineStr">
        <is>
          <t>염색</t>
        </is>
      </c>
      <c r="Z238" s="221">
        <f>W238-S238-Q238</f>
        <v/>
      </c>
      <c r="AA238" s="68" t="n"/>
      <c r="AB238" s="68" t="n"/>
      <c r="AC238" s="68" t="n"/>
      <c r="AD238" s="68" t="n"/>
      <c r="AE238" s="68" t="n"/>
      <c r="AF238" s="68" t="n"/>
      <c r="AG238" s="68" t="n"/>
      <c r="AH238" s="68" t="n"/>
      <c r="AI238" s="68" t="n"/>
      <c r="AJ238" s="68" t="n"/>
      <c r="AK238" s="68" t="n"/>
      <c r="AL238" s="68" t="n"/>
      <c r="AM238" s="68" t="n"/>
      <c r="AN238" s="68" t="n"/>
      <c r="AO238" s="68" t="n"/>
      <c r="AP238" s="68" t="n"/>
      <c r="AQ238" s="68" t="n"/>
      <c r="AR238" s="68" t="n"/>
      <c r="AS238" s="68" t="n"/>
      <c r="AT238" s="68" t="n"/>
      <c r="AU238" s="68" t="n"/>
      <c r="AV238" s="68" t="n"/>
      <c r="AW238" s="68" t="n"/>
      <c r="AX238" s="68" t="n"/>
      <c r="AY238" s="68" t="n"/>
      <c r="AZ238" s="68" t="n"/>
      <c r="BA238" s="68" t="n"/>
      <c r="BB238" s="68" t="n"/>
      <c r="BC238" s="68" t="n"/>
      <c r="BD238" s="68" t="n"/>
      <c r="BE238" s="68" t="n"/>
      <c r="BF238" s="68" t="n"/>
      <c r="BG238" s="68" t="n"/>
      <c r="BH238" s="68" t="n"/>
      <c r="BI238" s="68" t="n"/>
      <c r="BJ238" s="68" t="n"/>
      <c r="BK238" s="68" t="n"/>
      <c r="BL238" s="68" t="n"/>
      <c r="BM238" s="68" t="n"/>
      <c r="BN238" s="68" t="n"/>
      <c r="BO238" s="68" t="n"/>
      <c r="BP238" s="68" t="n"/>
    </row>
    <row r="239" ht="16" customHeight="1" s="162">
      <c r="A239" s="206" t="n">
        <v>2603</v>
      </c>
      <c r="B239" s="207" t="n">
        <v>46084</v>
      </c>
      <c r="C239" s="159" t="inlineStr">
        <is>
          <t>하이젠540</t>
        </is>
      </c>
      <c r="D239" s="160" t="inlineStr">
        <is>
          <t>은호섬유</t>
        </is>
      </c>
      <c r="E239" s="72" t="inlineStr">
        <is>
          <t>티에이케이</t>
        </is>
      </c>
      <c r="F239" s="73" t="inlineStr">
        <is>
          <t>cleaner</t>
        </is>
      </c>
      <c r="G239" s="72" t="inlineStr">
        <is>
          <t>티에이케이</t>
        </is>
      </c>
      <c r="H239" s="74" t="inlineStr">
        <is>
          <t>HYGEN TWIST 540</t>
        </is>
      </c>
      <c r="I239" s="74" t="inlineStr">
        <is>
          <t>BLUE</t>
        </is>
      </c>
      <c r="J239" s="74" t="n"/>
      <c r="K239" s="85" t="inlineStr">
        <is>
          <t>017</t>
        </is>
      </c>
      <c r="L239" s="208" t="n">
        <v>32</v>
      </c>
      <c r="M239" s="209" t="n">
        <v>469.4</v>
      </c>
      <c r="N239" s="210" t="n"/>
      <c r="O239" s="211" t="n">
        <v>734</v>
      </c>
      <c r="P239" s="212" t="n"/>
      <c r="Q239" s="213" t="n"/>
      <c r="R239" s="215" t="n">
        <v>2500</v>
      </c>
      <c r="S239" s="215">
        <f>M239*R239</f>
        <v/>
      </c>
      <c r="T239" s="216" t="n"/>
      <c r="U239" s="217" t="n"/>
      <c r="V239" s="218" t="n">
        <v>6566</v>
      </c>
      <c r="W239" s="219">
        <f>O239*V239</f>
        <v/>
      </c>
      <c r="X239" s="215" t="n"/>
      <c r="Y239" s="134" t="inlineStr">
        <is>
          <t>염색</t>
        </is>
      </c>
      <c r="Z239" s="221">
        <f>W239-S239-Q239</f>
        <v/>
      </c>
      <c r="AA239" s="68" t="n"/>
      <c r="AB239" s="68" t="n"/>
      <c r="AC239" s="68" t="n"/>
      <c r="AD239" s="68" t="n"/>
      <c r="AE239" s="68" t="n"/>
      <c r="AF239" s="68" t="n"/>
      <c r="AG239" s="68" t="n"/>
      <c r="AH239" s="68" t="n"/>
      <c r="AI239" s="68" t="n"/>
      <c r="AJ239" s="68" t="n"/>
      <c r="AK239" s="68" t="n"/>
      <c r="AL239" s="68" t="n"/>
      <c r="AM239" s="68" t="n"/>
      <c r="AN239" s="68" t="n"/>
      <c r="AO239" s="68" t="n"/>
      <c r="AP239" s="68" t="n"/>
      <c r="AQ239" s="68" t="n"/>
      <c r="AR239" s="68" t="n"/>
      <c r="AS239" s="68" t="n"/>
      <c r="AT239" s="68" t="n"/>
      <c r="AU239" s="68" t="n"/>
      <c r="AV239" s="68" t="n"/>
      <c r="AW239" s="68" t="n"/>
      <c r="AX239" s="68" t="n"/>
      <c r="AY239" s="68" t="n"/>
      <c r="AZ239" s="68" t="n"/>
      <c r="BA239" s="68" t="n"/>
      <c r="BB239" s="68" t="n"/>
      <c r="BC239" s="68" t="n"/>
      <c r="BD239" s="68" t="n"/>
      <c r="BE239" s="68" t="n"/>
      <c r="BF239" s="68" t="n"/>
      <c r="BG239" s="68" t="n"/>
      <c r="BH239" s="68" t="n"/>
      <c r="BI239" s="68" t="n"/>
      <c r="BJ239" s="68" t="n"/>
      <c r="BK239" s="68" t="n"/>
      <c r="BL239" s="68" t="n"/>
      <c r="BM239" s="68" t="n"/>
      <c r="BN239" s="68" t="n"/>
      <c r="BO239" s="68" t="n"/>
      <c r="BP239" s="68" t="n"/>
    </row>
    <row r="240" ht="16" customHeight="1" s="162">
      <c r="A240" s="206" t="n">
        <v>2603</v>
      </c>
      <c r="B240" s="207" t="n">
        <v>46084</v>
      </c>
      <c r="C240" s="159" t="inlineStr">
        <is>
          <t>하이젠540</t>
        </is>
      </c>
      <c r="D240" s="160" t="inlineStr">
        <is>
          <t>은호섬유</t>
        </is>
      </c>
      <c r="E240" s="72" t="inlineStr">
        <is>
          <t>티에이케이</t>
        </is>
      </c>
      <c r="F240" s="73" t="inlineStr">
        <is>
          <t>cleaner</t>
        </is>
      </c>
      <c r="G240" s="72" t="inlineStr">
        <is>
          <t>티에이케이</t>
        </is>
      </c>
      <c r="H240" s="74" t="inlineStr">
        <is>
          <t>HYGEN TWIST 540</t>
        </is>
      </c>
      <c r="I240" s="74" t="inlineStr">
        <is>
          <t>BLUE</t>
        </is>
      </c>
      <c r="J240" s="74" t="n"/>
      <c r="K240" s="85" t="inlineStr">
        <is>
          <t>019</t>
        </is>
      </c>
      <c r="L240" s="208" t="n">
        <v>32</v>
      </c>
      <c r="M240" s="209" t="n">
        <v>475</v>
      </c>
      <c r="N240" s="210" t="n"/>
      <c r="O240" s="211" t="n">
        <v>764</v>
      </c>
      <c r="P240" s="212" t="n"/>
      <c r="Q240" s="213" t="n"/>
      <c r="R240" s="215" t="n">
        <v>2500</v>
      </c>
      <c r="S240" s="215">
        <f>M240*R240</f>
        <v/>
      </c>
      <c r="T240" s="216" t="n"/>
      <c r="U240" s="217" t="n"/>
      <c r="V240" s="218" t="n">
        <v>6566</v>
      </c>
      <c r="W240" s="219">
        <f>O240*V240</f>
        <v/>
      </c>
      <c r="X240" s="215" t="n"/>
      <c r="Y240" s="134" t="inlineStr">
        <is>
          <t>염색</t>
        </is>
      </c>
      <c r="Z240" s="221">
        <f>W240-S240-Q240</f>
        <v/>
      </c>
      <c r="AA240" s="68" t="n"/>
      <c r="AB240" s="68" t="n"/>
      <c r="AC240" s="68" t="n"/>
      <c r="AD240" s="68" t="n"/>
      <c r="AE240" s="68" t="n"/>
      <c r="AF240" s="68" t="n"/>
      <c r="AG240" s="68" t="n"/>
      <c r="AH240" s="68" t="n"/>
      <c r="AI240" s="68" t="n"/>
      <c r="AJ240" s="68" t="n"/>
      <c r="AK240" s="68" t="n"/>
      <c r="AL240" s="68" t="n"/>
      <c r="AM240" s="68" t="n"/>
      <c r="AN240" s="68" t="n"/>
      <c r="AO240" s="68" t="n"/>
      <c r="AP240" s="68" t="n"/>
      <c r="AQ240" s="68" t="n"/>
      <c r="AR240" s="68" t="n"/>
      <c r="AS240" s="68" t="n"/>
      <c r="AT240" s="68" t="n"/>
      <c r="AU240" s="68" t="n"/>
      <c r="AV240" s="68" t="n"/>
      <c r="AW240" s="68" t="n"/>
      <c r="AX240" s="68" t="n"/>
      <c r="AY240" s="68" t="n"/>
      <c r="AZ240" s="68" t="n"/>
      <c r="BA240" s="68" t="n"/>
      <c r="BB240" s="68" t="n"/>
      <c r="BC240" s="68" t="n"/>
      <c r="BD240" s="68" t="n"/>
      <c r="BE240" s="68" t="n"/>
      <c r="BF240" s="68" t="n"/>
      <c r="BG240" s="68" t="n"/>
      <c r="BH240" s="68" t="n"/>
      <c r="BI240" s="68" t="n"/>
      <c r="BJ240" s="68" t="n"/>
      <c r="BK240" s="68" t="n"/>
      <c r="BL240" s="68" t="n"/>
      <c r="BM240" s="68" t="n"/>
      <c r="BN240" s="68" t="n"/>
      <c r="BO240" s="68" t="n"/>
      <c r="BP240" s="68" t="n"/>
    </row>
    <row r="241" ht="16" customFormat="1" customHeight="1" s="68">
      <c r="A241" s="206" t="n">
        <v>2603</v>
      </c>
      <c r="B241" s="207" t="n">
        <v>46084</v>
      </c>
      <c r="C241" s="159" t="inlineStr">
        <is>
          <t>하이젠540</t>
        </is>
      </c>
      <c r="D241" s="160" t="inlineStr">
        <is>
          <t>은호섬유</t>
        </is>
      </c>
      <c r="E241" s="72" t="inlineStr">
        <is>
          <t>티에이케이</t>
        </is>
      </c>
      <c r="F241" s="73" t="inlineStr">
        <is>
          <t>cleaner</t>
        </is>
      </c>
      <c r="G241" s="72" t="inlineStr">
        <is>
          <t>티에이케이</t>
        </is>
      </c>
      <c r="H241" s="74" t="inlineStr">
        <is>
          <t>HYGEN TWIST 540</t>
        </is>
      </c>
      <c r="I241" s="74" t="inlineStr">
        <is>
          <t>BLUE</t>
        </is>
      </c>
      <c r="J241" s="74" t="n"/>
      <c r="K241" s="85" t="inlineStr">
        <is>
          <t>020</t>
        </is>
      </c>
      <c r="L241" s="208" t="n">
        <v>21</v>
      </c>
      <c r="M241" s="209" t="n">
        <v>313.8</v>
      </c>
      <c r="N241" s="210" t="n"/>
      <c r="O241" s="211" t="n">
        <v>482</v>
      </c>
      <c r="P241" s="212" t="n"/>
      <c r="Q241" s="213" t="n"/>
      <c r="R241" s="215" t="n">
        <v>2500</v>
      </c>
      <c r="S241" s="215">
        <f>M241*R241</f>
        <v/>
      </c>
      <c r="T241" s="216" t="n"/>
      <c r="U241" s="217" t="n"/>
      <c r="V241" s="218" t="n">
        <v>6566</v>
      </c>
      <c r="W241" s="219">
        <f>O241*V241</f>
        <v/>
      </c>
      <c r="X241" s="215" t="n"/>
      <c r="Y241" s="134" t="inlineStr">
        <is>
          <t>염색</t>
        </is>
      </c>
      <c r="Z241" s="221">
        <f>W241-S241-Q241</f>
        <v/>
      </c>
    </row>
    <row r="242" ht="16" customHeight="1" s="162">
      <c r="A242" s="206" t="n">
        <v>2603</v>
      </c>
      <c r="B242" s="207" t="n">
        <v>46084</v>
      </c>
      <c r="C242" s="159" t="inlineStr">
        <is>
          <t>하이젠540</t>
        </is>
      </c>
      <c r="D242" s="160" t="inlineStr">
        <is>
          <t>은호섬유</t>
        </is>
      </c>
      <c r="E242" s="72" t="inlineStr">
        <is>
          <t>티에이케이</t>
        </is>
      </c>
      <c r="F242" s="73" t="inlineStr">
        <is>
          <t>cleaner</t>
        </is>
      </c>
      <c r="G242" s="72" t="inlineStr">
        <is>
          <t>티에이케이</t>
        </is>
      </c>
      <c r="H242" s="74" t="inlineStr">
        <is>
          <t>HYGEN TWIST 540</t>
        </is>
      </c>
      <c r="I242" s="74" t="inlineStr">
        <is>
          <t>BLUE</t>
        </is>
      </c>
      <c r="J242" s="74" t="n"/>
      <c r="K242" s="85" t="inlineStr">
        <is>
          <t>021</t>
        </is>
      </c>
      <c r="L242" s="208" t="n">
        <v>32</v>
      </c>
      <c r="M242" s="209" t="n">
        <v>497.2</v>
      </c>
      <c r="N242" s="210" t="n"/>
      <c r="O242" s="211" t="n">
        <v>762</v>
      </c>
      <c r="P242" s="212" t="n"/>
      <c r="Q242" s="213" t="n"/>
      <c r="R242" s="215" t="n">
        <v>2500</v>
      </c>
      <c r="S242" s="215">
        <f>M242*R242</f>
        <v/>
      </c>
      <c r="T242" s="216" t="n"/>
      <c r="U242" s="217" t="n"/>
      <c r="V242" s="218" t="n">
        <v>6566</v>
      </c>
      <c r="W242" s="219">
        <f>O242*V242</f>
        <v/>
      </c>
      <c r="X242" s="215" t="n"/>
      <c r="Y242" s="134" t="inlineStr">
        <is>
          <t>염색</t>
        </is>
      </c>
      <c r="Z242" s="221">
        <f>W242-S242-Q242</f>
        <v/>
      </c>
      <c r="AA242" s="68" t="n"/>
      <c r="AB242" s="68" t="n"/>
      <c r="AC242" s="68" t="n"/>
      <c r="AD242" s="68" t="n"/>
      <c r="AE242" s="68" t="n"/>
      <c r="AF242" s="68" t="n"/>
      <c r="AG242" s="68" t="n"/>
      <c r="AH242" s="68" t="n"/>
      <c r="AI242" s="68" t="n"/>
      <c r="AJ242" s="68" t="n"/>
      <c r="AK242" s="68" t="n"/>
      <c r="AL242" s="68" t="n"/>
      <c r="AM242" s="68" t="n"/>
      <c r="AN242" s="68" t="n"/>
      <c r="AO242" s="68" t="n"/>
      <c r="AP242" s="68" t="n"/>
      <c r="AQ242" s="68" t="n"/>
      <c r="AR242" s="68" t="n"/>
      <c r="AS242" s="68" t="n"/>
      <c r="AT242" s="68" t="n"/>
      <c r="AU242" s="68" t="n"/>
      <c r="AV242" s="68" t="n"/>
      <c r="AW242" s="68" t="n"/>
      <c r="AX242" s="68" t="n"/>
      <c r="AY242" s="68" t="n"/>
      <c r="AZ242" s="68" t="n"/>
      <c r="BA242" s="68" t="n"/>
      <c r="BB242" s="68" t="n"/>
      <c r="BC242" s="68" t="n"/>
      <c r="BD242" s="68" t="n"/>
      <c r="BE242" s="68" t="n"/>
      <c r="BF242" s="68" t="n"/>
      <c r="BG242" s="68" t="n"/>
      <c r="BH242" s="68" t="n"/>
      <c r="BI242" s="68" t="n"/>
      <c r="BJ242" s="68" t="n"/>
      <c r="BK242" s="68" t="n"/>
      <c r="BL242" s="68" t="n"/>
      <c r="BM242" s="68" t="n"/>
      <c r="BN242" s="68" t="n"/>
      <c r="BO242" s="68" t="n"/>
      <c r="BP242" s="68" t="n"/>
    </row>
    <row r="243" ht="16" customHeight="1" s="162">
      <c r="A243" s="206" t="n">
        <v>2603</v>
      </c>
      <c r="B243" s="207" t="n">
        <v>46084</v>
      </c>
      <c r="C243" s="159" t="inlineStr">
        <is>
          <t>하이젠540</t>
        </is>
      </c>
      <c r="D243" s="160" t="inlineStr">
        <is>
          <t>은호섬유</t>
        </is>
      </c>
      <c r="E243" s="72" t="inlineStr">
        <is>
          <t>티에이케이</t>
        </is>
      </c>
      <c r="F243" s="73" t="inlineStr">
        <is>
          <t>cleaner</t>
        </is>
      </c>
      <c r="G243" s="72" t="inlineStr">
        <is>
          <t>티에이케이</t>
        </is>
      </c>
      <c r="H243" s="74" t="inlineStr">
        <is>
          <t>HYGEN TWIST 540</t>
        </is>
      </c>
      <c r="I243" s="74" t="inlineStr">
        <is>
          <t>BLUE</t>
        </is>
      </c>
      <c r="J243" s="74" t="n"/>
      <c r="K243" s="85" t="inlineStr">
        <is>
          <t>022</t>
        </is>
      </c>
      <c r="L243" s="208" t="n">
        <v>32</v>
      </c>
      <c r="M243" s="209" t="n">
        <v>482.7</v>
      </c>
      <c r="N243" s="210" t="n"/>
      <c r="O243" s="211" t="n">
        <v>753</v>
      </c>
      <c r="P243" s="212" t="n"/>
      <c r="Q243" s="213" t="n"/>
      <c r="R243" s="215" t="n">
        <v>2500</v>
      </c>
      <c r="S243" s="215">
        <f>M243*R243</f>
        <v/>
      </c>
      <c r="T243" s="216" t="n"/>
      <c r="U243" s="217" t="n"/>
      <c r="V243" s="218" t="n">
        <v>6566</v>
      </c>
      <c r="W243" s="219">
        <f>O243*V243</f>
        <v/>
      </c>
      <c r="X243" s="215" t="n"/>
      <c r="Y243" s="134" t="inlineStr">
        <is>
          <t>염색</t>
        </is>
      </c>
      <c r="Z243" s="221">
        <f>W243-S243-Q243</f>
        <v/>
      </c>
      <c r="AA243" s="68" t="n"/>
      <c r="AB243" s="68" t="n"/>
      <c r="AC243" s="68" t="n"/>
      <c r="AD243" s="68" t="n"/>
      <c r="AE243" s="68" t="n"/>
      <c r="AF243" s="68" t="n"/>
      <c r="AG243" s="68" t="n"/>
      <c r="AH243" s="68" t="n"/>
      <c r="AI243" s="68" t="n"/>
      <c r="AJ243" s="68" t="n"/>
      <c r="AK243" s="68" t="n"/>
      <c r="AL243" s="68" t="n"/>
      <c r="AM243" s="68" t="n"/>
      <c r="AN243" s="68" t="n"/>
      <c r="AO243" s="68" t="n"/>
      <c r="AP243" s="68" t="n"/>
      <c r="AQ243" s="68" t="n"/>
      <c r="AR243" s="68" t="n"/>
      <c r="AS243" s="68" t="n"/>
      <c r="AT243" s="68" t="n"/>
      <c r="AU243" s="68" t="n"/>
      <c r="AV243" s="68" t="n"/>
      <c r="AW243" s="68" t="n"/>
      <c r="AX243" s="68" t="n"/>
      <c r="AY243" s="68" t="n"/>
      <c r="AZ243" s="68" t="n"/>
      <c r="BA243" s="68" t="n"/>
      <c r="BB243" s="68" t="n"/>
      <c r="BC243" s="68" t="n"/>
      <c r="BD243" s="68" t="n"/>
      <c r="BE243" s="68" t="n"/>
      <c r="BF243" s="68" t="n"/>
      <c r="BG243" s="68" t="n"/>
      <c r="BH243" s="68" t="n"/>
      <c r="BI243" s="68" t="n"/>
      <c r="BJ243" s="68" t="n"/>
      <c r="BK243" s="68" t="n"/>
      <c r="BL243" s="68" t="n"/>
      <c r="BM243" s="68" t="n"/>
      <c r="BN243" s="68" t="n"/>
      <c r="BO243" s="68" t="n"/>
      <c r="BP243" s="68" t="n"/>
    </row>
    <row r="244" ht="16" customFormat="1" customHeight="1" s="68">
      <c r="A244" s="206" t="n">
        <v>2603</v>
      </c>
      <c r="B244" s="207" t="n">
        <v>46084</v>
      </c>
      <c r="C244" s="159" t="inlineStr">
        <is>
          <t>하이젠540</t>
        </is>
      </c>
      <c r="D244" s="160" t="inlineStr">
        <is>
          <t>은호섬유</t>
        </is>
      </c>
      <c r="E244" s="72" t="inlineStr">
        <is>
          <t>티에이케이</t>
        </is>
      </c>
      <c r="F244" s="73" t="inlineStr">
        <is>
          <t>cleaner</t>
        </is>
      </c>
      <c r="G244" s="72" t="inlineStr">
        <is>
          <t>티에이케이</t>
        </is>
      </c>
      <c r="H244" s="74" t="inlineStr">
        <is>
          <t>HYGEN TWIST 540</t>
        </is>
      </c>
      <c r="I244" s="74" t="inlineStr">
        <is>
          <t>BLUE</t>
        </is>
      </c>
      <c r="J244" s="74" t="n"/>
      <c r="K244" s="85" t="inlineStr">
        <is>
          <t>001</t>
        </is>
      </c>
      <c r="L244" s="208" t="n">
        <v>24</v>
      </c>
      <c r="M244" s="209" t="n">
        <v>460.3</v>
      </c>
      <c r="N244" s="210" t="n"/>
      <c r="O244" s="211" t="n">
        <v>687</v>
      </c>
      <c r="P244" s="212" t="n"/>
      <c r="Q244" s="213" t="n"/>
      <c r="R244" s="215" t="n">
        <v>2500</v>
      </c>
      <c r="S244" s="215">
        <f>M244*R244</f>
        <v/>
      </c>
      <c r="T244" s="216" t="n"/>
      <c r="U244" s="217" t="n"/>
      <c r="V244" s="218" t="n">
        <v>6566</v>
      </c>
      <c r="W244" s="219">
        <f>O244*V244</f>
        <v/>
      </c>
      <c r="X244" s="215" t="n"/>
      <c r="Y244" s="134" t="inlineStr">
        <is>
          <t>염색</t>
        </is>
      </c>
      <c r="Z244" s="221">
        <f>W244-S244-Q244</f>
        <v/>
      </c>
    </row>
    <row r="245" ht="16" customFormat="1" customHeight="1" s="68">
      <c r="A245" s="206" t="n">
        <v>2603</v>
      </c>
      <c r="B245" s="207" t="n">
        <v>46084</v>
      </c>
      <c r="C245" s="159" t="inlineStr">
        <is>
          <t>하이젠540</t>
        </is>
      </c>
      <c r="D245" s="160" t="inlineStr">
        <is>
          <t>은호섬유</t>
        </is>
      </c>
      <c r="E245" s="72" t="inlineStr">
        <is>
          <t>티에이케이</t>
        </is>
      </c>
      <c r="F245" s="73" t="inlineStr">
        <is>
          <t>cleaner</t>
        </is>
      </c>
      <c r="G245" s="72" t="inlineStr">
        <is>
          <t>티에이케이</t>
        </is>
      </c>
      <c r="H245" s="74" t="inlineStr">
        <is>
          <t>HYGEN TWIST 540</t>
        </is>
      </c>
      <c r="I245" s="74" t="inlineStr">
        <is>
          <t>BLUE</t>
        </is>
      </c>
      <c r="J245" s="74" t="n"/>
      <c r="K245" s="85" t="inlineStr">
        <is>
          <t>002</t>
        </is>
      </c>
      <c r="L245" s="208" t="n">
        <v>24</v>
      </c>
      <c r="M245" s="209" t="n">
        <v>458.9</v>
      </c>
      <c r="N245" s="210" t="n"/>
      <c r="O245" s="211" t="n">
        <v>692</v>
      </c>
      <c r="P245" s="212" t="n"/>
      <c r="Q245" s="213" t="n"/>
      <c r="R245" s="215" t="n">
        <v>2500</v>
      </c>
      <c r="S245" s="215">
        <f>M245*R245</f>
        <v/>
      </c>
      <c r="T245" s="216" t="n"/>
      <c r="U245" s="217" t="n"/>
      <c r="V245" s="218" t="n">
        <v>6566</v>
      </c>
      <c r="W245" s="219">
        <f>O245*V245</f>
        <v/>
      </c>
      <c r="X245" s="215" t="n"/>
      <c r="Y245" s="134" t="inlineStr">
        <is>
          <t>염색</t>
        </is>
      </c>
      <c r="Z245" s="221">
        <f>W245-S245-Q245</f>
        <v/>
      </c>
    </row>
    <row r="246" ht="16" customFormat="1" customHeight="1" s="68">
      <c r="A246" s="206" t="n">
        <v>2603</v>
      </c>
      <c r="B246" s="207" t="n">
        <v>46084</v>
      </c>
      <c r="C246" s="159" t="inlineStr">
        <is>
          <t>하이젠540</t>
        </is>
      </c>
      <c r="D246" s="160" t="inlineStr">
        <is>
          <t>은호섬유</t>
        </is>
      </c>
      <c r="E246" s="72" t="inlineStr">
        <is>
          <t>티에이케이</t>
        </is>
      </c>
      <c r="F246" s="73" t="inlineStr">
        <is>
          <t>cleaner</t>
        </is>
      </c>
      <c r="G246" s="72" t="inlineStr">
        <is>
          <t>티에이케이</t>
        </is>
      </c>
      <c r="H246" s="74" t="inlineStr">
        <is>
          <t>HYGEN TWIST 540</t>
        </is>
      </c>
      <c r="I246" s="74" t="inlineStr">
        <is>
          <t>BLUE</t>
        </is>
      </c>
      <c r="J246" s="74" t="n"/>
      <c r="K246" s="85" t="inlineStr">
        <is>
          <t>003</t>
        </is>
      </c>
      <c r="L246" s="208" t="n">
        <v>24</v>
      </c>
      <c r="M246" s="209" t="n">
        <v>458.2</v>
      </c>
      <c r="N246" s="210" t="n"/>
      <c r="O246" s="211" t="n">
        <v>685</v>
      </c>
      <c r="P246" s="212" t="n"/>
      <c r="Q246" s="213" t="n"/>
      <c r="R246" s="215" t="n">
        <v>2500</v>
      </c>
      <c r="S246" s="215">
        <f>M246*R246</f>
        <v/>
      </c>
      <c r="T246" s="216" t="n"/>
      <c r="U246" s="217" t="n"/>
      <c r="V246" s="218" t="n">
        <v>6566</v>
      </c>
      <c r="W246" s="219">
        <f>O246*V246</f>
        <v/>
      </c>
      <c r="X246" s="215" t="n"/>
      <c r="Y246" s="134" t="inlineStr">
        <is>
          <t>염색</t>
        </is>
      </c>
      <c r="Z246" s="221">
        <f>W246-S246-Q246</f>
        <v/>
      </c>
    </row>
    <row r="247" ht="16" customFormat="1" customHeight="1" s="68">
      <c r="A247" s="206" t="n">
        <v>2603</v>
      </c>
      <c r="B247" s="207" t="n">
        <v>46084</v>
      </c>
      <c r="C247" s="159" t="inlineStr">
        <is>
          <t>하이젠540</t>
        </is>
      </c>
      <c r="D247" s="160" t="inlineStr">
        <is>
          <t>은호섬유</t>
        </is>
      </c>
      <c r="E247" s="72" t="inlineStr">
        <is>
          <t>티에이케이</t>
        </is>
      </c>
      <c r="F247" s="73" t="inlineStr">
        <is>
          <t>cleaner</t>
        </is>
      </c>
      <c r="G247" s="72" t="inlineStr">
        <is>
          <t>티에이케이</t>
        </is>
      </c>
      <c r="H247" s="74" t="inlineStr">
        <is>
          <t>HYGEN TWIST 540</t>
        </is>
      </c>
      <c r="I247" s="74" t="inlineStr">
        <is>
          <t>BLUE</t>
        </is>
      </c>
      <c r="J247" s="74" t="n"/>
      <c r="K247" s="85" t="inlineStr">
        <is>
          <t>004</t>
        </is>
      </c>
      <c r="L247" s="208" t="n">
        <v>25</v>
      </c>
      <c r="M247" s="209" t="n">
        <v>467</v>
      </c>
      <c r="N247" s="210" t="n"/>
      <c r="O247" s="211" t="n">
        <v>713</v>
      </c>
      <c r="P247" s="212" t="n"/>
      <c r="Q247" s="213" t="n"/>
      <c r="R247" s="215" t="n">
        <v>2500</v>
      </c>
      <c r="S247" s="215">
        <f>M247*R247</f>
        <v/>
      </c>
      <c r="T247" s="216" t="n"/>
      <c r="U247" s="217" t="n"/>
      <c r="V247" s="218" t="n">
        <v>6566</v>
      </c>
      <c r="W247" s="219">
        <f>O247*V247</f>
        <v/>
      </c>
      <c r="X247" s="215" t="n"/>
      <c r="Y247" s="134" t="inlineStr">
        <is>
          <t>염색</t>
        </is>
      </c>
      <c r="Z247" s="221">
        <f>W247-S247-Q247</f>
        <v/>
      </c>
    </row>
    <row r="248" ht="16" customFormat="1" customHeight="1" s="68">
      <c r="A248" s="206" t="n">
        <v>2603</v>
      </c>
      <c r="B248" s="207" t="n">
        <v>46084</v>
      </c>
      <c r="C248" s="159" t="inlineStr">
        <is>
          <t>하이젠540</t>
        </is>
      </c>
      <c r="D248" s="160" t="inlineStr">
        <is>
          <t>은호섬유</t>
        </is>
      </c>
      <c r="E248" s="72" t="inlineStr">
        <is>
          <t>티에이케이</t>
        </is>
      </c>
      <c r="F248" s="73" t="inlineStr">
        <is>
          <t>cleaner</t>
        </is>
      </c>
      <c r="G248" s="72" t="inlineStr">
        <is>
          <t>티에이케이</t>
        </is>
      </c>
      <c r="H248" s="74" t="inlineStr">
        <is>
          <t>HYGEN TWIST 540</t>
        </is>
      </c>
      <c r="I248" s="74" t="inlineStr">
        <is>
          <t>BLUE</t>
        </is>
      </c>
      <c r="J248" s="74" t="n"/>
      <c r="K248" s="85" t="inlineStr">
        <is>
          <t>005</t>
        </is>
      </c>
      <c r="L248" s="208" t="n">
        <v>24</v>
      </c>
      <c r="M248" s="209" t="n">
        <v>432.6</v>
      </c>
      <c r="N248" s="210" t="n"/>
      <c r="O248" s="211" t="n">
        <v>674</v>
      </c>
      <c r="P248" s="212" t="n"/>
      <c r="Q248" s="213" t="n"/>
      <c r="R248" s="215" t="n">
        <v>2500</v>
      </c>
      <c r="S248" s="215">
        <f>M248*R248</f>
        <v/>
      </c>
      <c r="T248" s="216" t="n"/>
      <c r="U248" s="217" t="n"/>
      <c r="V248" s="218" t="n">
        <v>6566</v>
      </c>
      <c r="W248" s="219">
        <f>O248*V248</f>
        <v/>
      </c>
      <c r="X248" s="215" t="n"/>
      <c r="Y248" s="134" t="inlineStr">
        <is>
          <t>염색</t>
        </is>
      </c>
      <c r="Z248" s="221">
        <f>W248-S248-Q248</f>
        <v/>
      </c>
    </row>
    <row r="249" ht="16" customFormat="1" customHeight="1" s="68">
      <c r="A249" s="206" t="n">
        <v>2603</v>
      </c>
      <c r="B249" s="207" t="n">
        <v>46084</v>
      </c>
      <c r="C249" s="159" t="inlineStr">
        <is>
          <t>하이젠540</t>
        </is>
      </c>
      <c r="D249" s="160" t="inlineStr">
        <is>
          <t>은호섬유</t>
        </is>
      </c>
      <c r="E249" s="72" t="inlineStr">
        <is>
          <t>티에이케이</t>
        </is>
      </c>
      <c r="F249" s="73" t="inlineStr">
        <is>
          <t>cleaner</t>
        </is>
      </c>
      <c r="G249" s="72" t="inlineStr">
        <is>
          <t>티에이케이</t>
        </is>
      </c>
      <c r="H249" s="74" t="inlineStr">
        <is>
          <t>HYGEN TWIST 540</t>
        </is>
      </c>
      <c r="I249" s="74" t="inlineStr">
        <is>
          <t>BLUE</t>
        </is>
      </c>
      <c r="J249" s="74" t="n"/>
      <c r="K249" s="85" t="inlineStr">
        <is>
          <t>006</t>
        </is>
      </c>
      <c r="L249" s="208" t="n">
        <v>29</v>
      </c>
      <c r="M249" s="209" t="n">
        <v>433.1</v>
      </c>
      <c r="N249" s="210" t="n"/>
      <c r="O249" s="211" t="n">
        <v>687</v>
      </c>
      <c r="P249" s="212" t="n"/>
      <c r="Q249" s="213" t="n"/>
      <c r="R249" s="215" t="n">
        <v>2500</v>
      </c>
      <c r="S249" s="215">
        <f>M249*R249</f>
        <v/>
      </c>
      <c r="T249" s="216" t="n"/>
      <c r="U249" s="217" t="n"/>
      <c r="V249" s="218" t="n">
        <v>6566</v>
      </c>
      <c r="W249" s="219">
        <f>O249*V249</f>
        <v/>
      </c>
      <c r="X249" s="215" t="n"/>
      <c r="Y249" s="134" t="inlineStr">
        <is>
          <t>염색</t>
        </is>
      </c>
      <c r="Z249" s="221">
        <f>W249-S249-Q249</f>
        <v/>
      </c>
    </row>
    <row r="250" ht="16" customFormat="1" customHeight="1" s="68">
      <c r="A250" s="206" t="n">
        <v>2603</v>
      </c>
      <c r="B250" s="207" t="n">
        <v>46091</v>
      </c>
      <c r="C250" s="159" t="inlineStr">
        <is>
          <t>하이젠540</t>
        </is>
      </c>
      <c r="D250" s="160" t="inlineStr">
        <is>
          <t>은호섬유</t>
        </is>
      </c>
      <c r="E250" s="72" t="inlineStr">
        <is>
          <t>티에이케이</t>
        </is>
      </c>
      <c r="F250" s="73" t="inlineStr">
        <is>
          <t>cleaner</t>
        </is>
      </c>
      <c r="G250" s="72" t="inlineStr">
        <is>
          <t>티에이케이</t>
        </is>
      </c>
      <c r="H250" s="74" t="inlineStr">
        <is>
          <t>HYGEN TWIST 540</t>
        </is>
      </c>
      <c r="I250" s="74" t="inlineStr">
        <is>
          <t>BLUE</t>
        </is>
      </c>
      <c r="J250" s="74" t="n"/>
      <c r="K250" s="85" t="inlineStr">
        <is>
          <t>001</t>
        </is>
      </c>
      <c r="L250" s="208" t="n">
        <v>32</v>
      </c>
      <c r="M250" s="209" t="n">
        <v>484.8</v>
      </c>
      <c r="N250" s="210" t="n"/>
      <c r="O250" s="211" t="n">
        <v>747</v>
      </c>
      <c r="P250" s="212" t="n"/>
      <c r="Q250" s="213" t="n"/>
      <c r="R250" s="215" t="n">
        <v>2500</v>
      </c>
      <c r="S250" s="215">
        <f>M250*R250</f>
        <v/>
      </c>
      <c r="T250" s="216" t="n"/>
      <c r="U250" s="217" t="n"/>
      <c r="V250" s="218" t="n">
        <v>6566</v>
      </c>
      <c r="W250" s="219">
        <f>O250*V250</f>
        <v/>
      </c>
      <c r="X250" s="215" t="n"/>
      <c r="Y250" s="134" t="inlineStr">
        <is>
          <t>염색</t>
        </is>
      </c>
      <c r="Z250" s="221">
        <f>W250-S250-Q250</f>
        <v/>
      </c>
    </row>
    <row r="251" ht="16" customFormat="1" customHeight="1" s="68">
      <c r="A251" s="206" t="n">
        <v>2603</v>
      </c>
      <c r="B251" s="207" t="n">
        <v>46091</v>
      </c>
      <c r="C251" s="159" t="inlineStr">
        <is>
          <t>하이젠540</t>
        </is>
      </c>
      <c r="D251" s="160" t="inlineStr">
        <is>
          <t>은호섬유</t>
        </is>
      </c>
      <c r="E251" s="72" t="inlineStr">
        <is>
          <t>티에이케이</t>
        </is>
      </c>
      <c r="F251" s="73" t="inlineStr">
        <is>
          <t>cleaner</t>
        </is>
      </c>
      <c r="G251" s="72" t="inlineStr">
        <is>
          <t>티에이케이</t>
        </is>
      </c>
      <c r="H251" s="74" t="inlineStr">
        <is>
          <t>HYGEN TWIST 540</t>
        </is>
      </c>
      <c r="I251" s="74" t="inlineStr">
        <is>
          <t>BLUE</t>
        </is>
      </c>
      <c r="J251" s="74" t="n"/>
      <c r="K251" s="85" t="inlineStr">
        <is>
          <t>002</t>
        </is>
      </c>
      <c r="L251" s="208" t="n">
        <v>30</v>
      </c>
      <c r="M251" s="209" t="n">
        <v>461.3</v>
      </c>
      <c r="N251" s="210" t="n"/>
      <c r="O251" s="211" t="n">
        <v>712</v>
      </c>
      <c r="P251" s="212" t="n"/>
      <c r="Q251" s="213" t="n"/>
      <c r="R251" s="215" t="n">
        <v>2500</v>
      </c>
      <c r="S251" s="215">
        <f>M251*R251</f>
        <v/>
      </c>
      <c r="T251" s="216" t="n"/>
      <c r="U251" s="217" t="n"/>
      <c r="V251" s="218" t="n">
        <v>6566</v>
      </c>
      <c r="W251" s="219">
        <f>O251*V251</f>
        <v/>
      </c>
      <c r="X251" s="215" t="n"/>
      <c r="Y251" s="134" t="inlineStr">
        <is>
          <t>염색</t>
        </is>
      </c>
      <c r="Z251" s="221">
        <f>W251-S251-Q251</f>
        <v/>
      </c>
    </row>
    <row r="252" ht="16" customFormat="1" customHeight="1" s="68">
      <c r="A252" s="206" t="n">
        <v>2603</v>
      </c>
      <c r="B252" s="207" t="n">
        <v>46091</v>
      </c>
      <c r="C252" s="159" t="inlineStr">
        <is>
          <t>하이젠540</t>
        </is>
      </c>
      <c r="D252" s="160" t="inlineStr">
        <is>
          <t>은호섬유</t>
        </is>
      </c>
      <c r="E252" s="72" t="inlineStr">
        <is>
          <t>티에이케이</t>
        </is>
      </c>
      <c r="F252" s="73" t="inlineStr">
        <is>
          <t>cleaner</t>
        </is>
      </c>
      <c r="G252" s="72" t="inlineStr">
        <is>
          <t>티에이케이</t>
        </is>
      </c>
      <c r="H252" s="74" t="inlineStr">
        <is>
          <t>HYGEN TWIST 540</t>
        </is>
      </c>
      <c r="I252" s="74" t="inlineStr">
        <is>
          <t>BLUE</t>
        </is>
      </c>
      <c r="J252" s="74" t="n"/>
      <c r="K252" s="85" t="inlineStr">
        <is>
          <t>003</t>
        </is>
      </c>
      <c r="L252" s="208" t="n">
        <v>32</v>
      </c>
      <c r="M252" s="209" t="n">
        <v>484.6</v>
      </c>
      <c r="N252" s="210" t="n"/>
      <c r="O252" s="211" t="n">
        <v>751</v>
      </c>
      <c r="P252" s="212" t="n"/>
      <c r="Q252" s="213" t="n"/>
      <c r="R252" s="215" t="n">
        <v>2500</v>
      </c>
      <c r="S252" s="215">
        <f>M252*R252</f>
        <v/>
      </c>
      <c r="T252" s="216" t="n"/>
      <c r="U252" s="217" t="n"/>
      <c r="V252" s="218" t="n">
        <v>6566</v>
      </c>
      <c r="W252" s="219">
        <f>O252*V252</f>
        <v/>
      </c>
      <c r="X252" s="215" t="n"/>
      <c r="Y252" s="134" t="inlineStr">
        <is>
          <t>염색</t>
        </is>
      </c>
      <c r="Z252" s="221">
        <f>W252-S252-Q252</f>
        <v/>
      </c>
    </row>
    <row r="253" ht="16" customFormat="1" customHeight="1" s="68">
      <c r="A253" s="206" t="n">
        <v>2603</v>
      </c>
      <c r="B253" s="207" t="n">
        <v>46091</v>
      </c>
      <c r="C253" s="159" t="inlineStr">
        <is>
          <t>하이젠540</t>
        </is>
      </c>
      <c r="D253" s="160" t="inlineStr">
        <is>
          <t>은호섬유</t>
        </is>
      </c>
      <c r="E253" s="72" t="inlineStr">
        <is>
          <t>티에이케이</t>
        </is>
      </c>
      <c r="F253" s="73" t="inlineStr">
        <is>
          <t>cleaner</t>
        </is>
      </c>
      <c r="G253" s="72" t="inlineStr">
        <is>
          <t>티에이케이</t>
        </is>
      </c>
      <c r="H253" s="74" t="inlineStr">
        <is>
          <t>HYGEN TWIST 540</t>
        </is>
      </c>
      <c r="I253" s="74" t="inlineStr">
        <is>
          <t>BLUE</t>
        </is>
      </c>
      <c r="J253" s="74" t="n"/>
      <c r="K253" s="85" t="inlineStr">
        <is>
          <t>004</t>
        </is>
      </c>
      <c r="L253" s="208" t="n">
        <v>32</v>
      </c>
      <c r="M253" s="209" t="n">
        <v>488.6</v>
      </c>
      <c r="N253" s="210" t="n"/>
      <c r="O253" s="211" t="n">
        <v>754</v>
      </c>
      <c r="P253" s="212" t="n"/>
      <c r="Q253" s="213" t="n"/>
      <c r="R253" s="215" t="n">
        <v>2500</v>
      </c>
      <c r="S253" s="215">
        <f>M253*R253</f>
        <v/>
      </c>
      <c r="T253" s="216" t="n"/>
      <c r="U253" s="217" t="n"/>
      <c r="V253" s="218" t="n">
        <v>6566</v>
      </c>
      <c r="W253" s="219">
        <f>O253*V253</f>
        <v/>
      </c>
      <c r="X253" s="215" t="n"/>
      <c r="Y253" s="134" t="inlineStr">
        <is>
          <t>염색</t>
        </is>
      </c>
      <c r="Z253" s="221">
        <f>W253-S253-Q253</f>
        <v/>
      </c>
    </row>
    <row r="254" ht="16" customHeight="1" s="162">
      <c r="A254" s="206" t="n">
        <v>2603</v>
      </c>
      <c r="B254" s="207" t="n">
        <v>46091</v>
      </c>
      <c r="C254" s="159" t="inlineStr">
        <is>
          <t>하이젠540</t>
        </is>
      </c>
      <c r="D254" s="160" t="inlineStr">
        <is>
          <t>은호섬유</t>
        </is>
      </c>
      <c r="E254" s="72" t="inlineStr">
        <is>
          <t>티에이케이</t>
        </is>
      </c>
      <c r="F254" s="73" t="inlineStr">
        <is>
          <t>cleaner</t>
        </is>
      </c>
      <c r="G254" s="72" t="inlineStr">
        <is>
          <t>티에이케이</t>
        </is>
      </c>
      <c r="H254" s="74" t="inlineStr">
        <is>
          <t>HYGEN TWIST 540</t>
        </is>
      </c>
      <c r="I254" s="74" t="inlineStr">
        <is>
          <t>BLUE</t>
        </is>
      </c>
      <c r="J254" s="74" t="n"/>
      <c r="K254" s="85" t="inlineStr">
        <is>
          <t>005</t>
        </is>
      </c>
      <c r="L254" s="208" t="n">
        <v>32</v>
      </c>
      <c r="M254" s="209" t="n">
        <v>472.5</v>
      </c>
      <c r="N254" s="210" t="n"/>
      <c r="O254" s="211" t="n">
        <v>730</v>
      </c>
      <c r="P254" s="212" t="n"/>
      <c r="Q254" s="213" t="n"/>
      <c r="R254" s="215" t="n">
        <v>2500</v>
      </c>
      <c r="S254" s="215">
        <f>M254*R254</f>
        <v/>
      </c>
      <c r="T254" s="216" t="n"/>
      <c r="U254" s="217" t="n"/>
      <c r="V254" s="218" t="n">
        <v>6566</v>
      </c>
      <c r="W254" s="219">
        <f>O254*V254</f>
        <v/>
      </c>
      <c r="X254" s="215" t="n"/>
      <c r="Y254" s="134" t="inlineStr">
        <is>
          <t>염색</t>
        </is>
      </c>
      <c r="Z254" s="221">
        <f>W254-S254-Q254</f>
        <v/>
      </c>
      <c r="AA254" s="68" t="n"/>
      <c r="AB254" s="68" t="n"/>
      <c r="AC254" s="68" t="n"/>
      <c r="AD254" s="68" t="n"/>
      <c r="AE254" s="68" t="n"/>
      <c r="AF254" s="68" t="n"/>
      <c r="AG254" s="68" t="n"/>
      <c r="AH254" s="68" t="n"/>
      <c r="AI254" s="68" t="n"/>
      <c r="AJ254" s="68" t="n"/>
      <c r="AK254" s="68" t="n"/>
      <c r="AL254" s="68" t="n"/>
      <c r="AM254" s="68" t="n"/>
      <c r="AN254" s="68" t="n"/>
      <c r="AO254" s="68" t="n"/>
      <c r="AP254" s="68" t="n"/>
      <c r="AQ254" s="68" t="n"/>
      <c r="AR254" s="68" t="n"/>
      <c r="AS254" s="68" t="n"/>
      <c r="AT254" s="68" t="n"/>
      <c r="AU254" s="68" t="n"/>
      <c r="AV254" s="68" t="n"/>
      <c r="AW254" s="68" t="n"/>
      <c r="AX254" s="68" t="n"/>
      <c r="AY254" s="68" t="n"/>
      <c r="AZ254" s="68" t="n"/>
      <c r="BA254" s="68" t="n"/>
      <c r="BB254" s="68" t="n"/>
      <c r="BC254" s="68" t="n"/>
      <c r="BD254" s="68" t="n"/>
      <c r="BE254" s="68" t="n"/>
      <c r="BF254" s="68" t="n"/>
      <c r="BG254" s="68" t="n"/>
      <c r="BH254" s="68" t="n"/>
      <c r="BI254" s="68" t="n"/>
      <c r="BJ254" s="68" t="n"/>
      <c r="BK254" s="68" t="n"/>
      <c r="BL254" s="68" t="n"/>
      <c r="BM254" s="68" t="n"/>
      <c r="BN254" s="68" t="n"/>
      <c r="BO254" s="68" t="n"/>
      <c r="BP254" s="68" t="n"/>
    </row>
    <row r="255" ht="16" customFormat="1" customHeight="1" s="68">
      <c r="A255" s="206" t="n">
        <v>2603</v>
      </c>
      <c r="B255" s="207" t="n">
        <v>46091</v>
      </c>
      <c r="C255" s="159" t="inlineStr">
        <is>
          <t>하이젠540</t>
        </is>
      </c>
      <c r="D255" s="160" t="inlineStr">
        <is>
          <t>은호섬유</t>
        </is>
      </c>
      <c r="E255" s="72" t="inlineStr">
        <is>
          <t>티에이케이</t>
        </is>
      </c>
      <c r="F255" s="73" t="inlineStr">
        <is>
          <t>cleaner</t>
        </is>
      </c>
      <c r="G255" s="72" t="inlineStr">
        <is>
          <t>티에이케이</t>
        </is>
      </c>
      <c r="H255" s="74" t="inlineStr">
        <is>
          <t>HYGEN TWIST 540</t>
        </is>
      </c>
      <c r="I255" s="74" t="inlineStr">
        <is>
          <t>BLUE</t>
        </is>
      </c>
      <c r="J255" s="74" t="n"/>
      <c r="K255" s="85" t="inlineStr">
        <is>
          <t>006</t>
        </is>
      </c>
      <c r="L255" s="208" t="n">
        <v>32</v>
      </c>
      <c r="M255" s="209" t="n">
        <v>477.7</v>
      </c>
      <c r="N255" s="210" t="n"/>
      <c r="O255" s="211" t="n">
        <v>744</v>
      </c>
      <c r="P255" s="212" t="n"/>
      <c r="Q255" s="213" t="n"/>
      <c r="R255" s="215" t="n">
        <v>2500</v>
      </c>
      <c r="S255" s="215">
        <f>M255*R255</f>
        <v/>
      </c>
      <c r="T255" s="216" t="n"/>
      <c r="U255" s="217" t="n"/>
      <c r="V255" s="218" t="n">
        <v>6566</v>
      </c>
      <c r="W255" s="219">
        <f>O255*V255</f>
        <v/>
      </c>
      <c r="X255" s="215" t="n"/>
      <c r="Y255" s="134" t="inlineStr">
        <is>
          <t>염색</t>
        </is>
      </c>
      <c r="Z255" s="221">
        <f>W255-S255-Q255</f>
        <v/>
      </c>
    </row>
    <row r="256" ht="16" customFormat="1" customHeight="1" s="68">
      <c r="A256" s="206" t="n">
        <v>2603</v>
      </c>
      <c r="B256" s="207" t="n">
        <v>46091</v>
      </c>
      <c r="C256" s="159" t="inlineStr">
        <is>
          <t>하이젠540</t>
        </is>
      </c>
      <c r="D256" s="160" t="inlineStr">
        <is>
          <t>은호섬유</t>
        </is>
      </c>
      <c r="E256" s="72" t="inlineStr">
        <is>
          <t>티에이케이</t>
        </is>
      </c>
      <c r="F256" s="73" t="inlineStr">
        <is>
          <t>cleaner</t>
        </is>
      </c>
      <c r="G256" s="72" t="inlineStr">
        <is>
          <t>티에이케이</t>
        </is>
      </c>
      <c r="H256" s="74" t="inlineStr">
        <is>
          <t>HYGEN TWIST 540</t>
        </is>
      </c>
      <c r="I256" s="74" t="inlineStr">
        <is>
          <t>BLUE</t>
        </is>
      </c>
      <c r="J256" s="74" t="n"/>
      <c r="K256" s="85" t="inlineStr">
        <is>
          <t>011</t>
        </is>
      </c>
      <c r="L256" s="208" t="n">
        <v>32</v>
      </c>
      <c r="M256" s="209" t="n">
        <v>477.5</v>
      </c>
      <c r="N256" s="210" t="n"/>
      <c r="O256" s="211" t="n">
        <v>742</v>
      </c>
      <c r="P256" s="212" t="n"/>
      <c r="Q256" s="213" t="n"/>
      <c r="R256" s="215" t="n">
        <v>2500</v>
      </c>
      <c r="S256" s="215">
        <f>M256*R256</f>
        <v/>
      </c>
      <c r="T256" s="216" t="n"/>
      <c r="U256" s="217" t="n"/>
      <c r="V256" s="218" t="n">
        <v>6566</v>
      </c>
      <c r="W256" s="219">
        <f>O256*V256</f>
        <v/>
      </c>
      <c r="X256" s="215" t="n"/>
      <c r="Y256" s="134" t="inlineStr">
        <is>
          <t>염색</t>
        </is>
      </c>
      <c r="Z256" s="221">
        <f>W256-S256-Q256</f>
        <v/>
      </c>
    </row>
    <row r="257" ht="16" customHeight="1" s="162">
      <c r="A257" s="206" t="n">
        <v>2603</v>
      </c>
      <c r="B257" s="207" t="n">
        <v>46091</v>
      </c>
      <c r="C257" s="159" t="inlineStr">
        <is>
          <t>하이젠540</t>
        </is>
      </c>
      <c r="D257" s="160" t="inlineStr">
        <is>
          <t>은호섬유</t>
        </is>
      </c>
      <c r="E257" s="72" t="inlineStr">
        <is>
          <t>티에이케이</t>
        </is>
      </c>
      <c r="F257" s="73" t="inlineStr">
        <is>
          <t>cleaner</t>
        </is>
      </c>
      <c r="G257" s="72" t="inlineStr">
        <is>
          <t>티에이케이</t>
        </is>
      </c>
      <c r="H257" s="74" t="inlineStr">
        <is>
          <t>HYGEN TWIST 540</t>
        </is>
      </c>
      <c r="I257" s="74" t="inlineStr">
        <is>
          <t>BLUE</t>
        </is>
      </c>
      <c r="J257" s="74" t="n"/>
      <c r="K257" s="85" t="inlineStr">
        <is>
          <t>012</t>
        </is>
      </c>
      <c r="L257" s="208" t="n">
        <v>31</v>
      </c>
      <c r="M257" s="209" t="n">
        <v>470.7</v>
      </c>
      <c r="N257" s="210" t="n"/>
      <c r="O257" s="211" t="n">
        <v>730</v>
      </c>
      <c r="P257" s="212" t="n"/>
      <c r="Q257" s="213" t="n"/>
      <c r="R257" s="215" t="n">
        <v>2500</v>
      </c>
      <c r="S257" s="215">
        <f>M257*R257</f>
        <v/>
      </c>
      <c r="T257" s="216" t="n"/>
      <c r="U257" s="217" t="n"/>
      <c r="V257" s="218" t="n">
        <v>6566</v>
      </c>
      <c r="W257" s="219">
        <f>O257*V257</f>
        <v/>
      </c>
      <c r="X257" s="215" t="n"/>
      <c r="Y257" s="134" t="inlineStr">
        <is>
          <t>염색</t>
        </is>
      </c>
      <c r="Z257" s="221">
        <f>W257-S257-Q257</f>
        <v/>
      </c>
      <c r="AA257" s="68" t="n"/>
      <c r="AB257" s="68" t="n"/>
      <c r="AC257" s="68" t="n"/>
      <c r="AD257" s="68" t="n"/>
      <c r="AE257" s="68" t="n"/>
      <c r="AF257" s="68" t="n"/>
      <c r="AG257" s="68" t="n"/>
      <c r="AH257" s="68" t="n"/>
      <c r="AI257" s="68" t="n"/>
      <c r="AJ257" s="68" t="n"/>
      <c r="AK257" s="68" t="n"/>
      <c r="AL257" s="68" t="n"/>
      <c r="AM257" s="68" t="n"/>
      <c r="AN257" s="68" t="n"/>
      <c r="AO257" s="68" t="n"/>
      <c r="AP257" s="68" t="n"/>
      <c r="AQ257" s="68" t="n"/>
      <c r="AR257" s="68" t="n"/>
      <c r="AS257" s="68" t="n"/>
      <c r="AT257" s="68" t="n"/>
      <c r="AU257" s="68" t="n"/>
      <c r="AV257" s="68" t="n"/>
      <c r="AW257" s="68" t="n"/>
      <c r="AX257" s="68" t="n"/>
      <c r="AY257" s="68" t="n"/>
      <c r="AZ257" s="68" t="n"/>
      <c r="BA257" s="68" t="n"/>
      <c r="BB257" s="68" t="n"/>
      <c r="BC257" s="68" t="n"/>
      <c r="BD257" s="68" t="n"/>
      <c r="BE257" s="68" t="n"/>
      <c r="BF257" s="68" t="n"/>
      <c r="BG257" s="68" t="n"/>
      <c r="BH257" s="68" t="n"/>
      <c r="BI257" s="68" t="n"/>
      <c r="BJ257" s="68" t="n"/>
      <c r="BK257" s="68" t="n"/>
      <c r="BL257" s="68" t="n"/>
      <c r="BM257" s="68" t="n"/>
      <c r="BN257" s="68" t="n"/>
      <c r="BO257" s="68" t="n"/>
      <c r="BP257" s="68" t="n"/>
    </row>
    <row r="258" ht="16" customFormat="1" customHeight="1" s="68">
      <c r="A258" s="206" t="n">
        <v>2603</v>
      </c>
      <c r="B258" s="207" t="n">
        <v>46100</v>
      </c>
      <c r="C258" s="159" t="inlineStr">
        <is>
          <t>하이젠540</t>
        </is>
      </c>
      <c r="D258" s="160" t="inlineStr">
        <is>
          <t>은호섬유</t>
        </is>
      </c>
      <c r="E258" s="72" t="inlineStr">
        <is>
          <t>티에이케이</t>
        </is>
      </c>
      <c r="F258" s="73" t="inlineStr">
        <is>
          <t>cleaner</t>
        </is>
      </c>
      <c r="G258" s="72" t="inlineStr">
        <is>
          <t>티에이케이</t>
        </is>
      </c>
      <c r="H258" s="74" t="inlineStr">
        <is>
          <t>HYGEN TWIST 540</t>
        </is>
      </c>
      <c r="I258" s="74" t="inlineStr">
        <is>
          <t>BLUE</t>
        </is>
      </c>
      <c r="J258" s="74" t="n"/>
      <c r="K258" s="85" t="inlineStr">
        <is>
          <t>007</t>
        </is>
      </c>
      <c r="L258" s="208" t="n">
        <v>24</v>
      </c>
      <c r="M258" s="209" t="n">
        <v>467.5</v>
      </c>
      <c r="N258" s="210" t="n"/>
      <c r="O258" s="211" t="n">
        <v>703</v>
      </c>
      <c r="P258" s="212" t="n"/>
      <c r="Q258" s="213" t="n"/>
      <c r="R258" s="215" t="n">
        <v>2500</v>
      </c>
      <c r="S258" s="215">
        <f>M258*R258</f>
        <v/>
      </c>
      <c r="T258" s="216" t="n"/>
      <c r="U258" s="217" t="n"/>
      <c r="V258" s="218" t="n">
        <v>6566</v>
      </c>
      <c r="W258" s="219">
        <f>O258*V258</f>
        <v/>
      </c>
      <c r="X258" s="215" t="n"/>
      <c r="Y258" s="134" t="inlineStr">
        <is>
          <t>염색</t>
        </is>
      </c>
      <c r="Z258" s="221">
        <f>W258-S258-Q258</f>
        <v/>
      </c>
    </row>
    <row r="259" ht="16" customFormat="1" customHeight="1" s="68">
      <c r="A259" s="206" t="n">
        <v>2603</v>
      </c>
      <c r="B259" s="207" t="n">
        <v>46100</v>
      </c>
      <c r="C259" s="159" t="inlineStr">
        <is>
          <t>하이젠540</t>
        </is>
      </c>
      <c r="D259" s="160" t="inlineStr">
        <is>
          <t>은호섬유</t>
        </is>
      </c>
      <c r="E259" s="72" t="inlineStr">
        <is>
          <t>티에이케이</t>
        </is>
      </c>
      <c r="F259" s="73" t="inlineStr">
        <is>
          <t>cleaner</t>
        </is>
      </c>
      <c r="G259" s="72" t="inlineStr">
        <is>
          <t>티에이케이</t>
        </is>
      </c>
      <c r="H259" s="74" t="inlineStr">
        <is>
          <t>HYGEN TWIST 540</t>
        </is>
      </c>
      <c r="I259" s="74" t="inlineStr">
        <is>
          <t>BLUE</t>
        </is>
      </c>
      <c r="J259" s="74" t="n"/>
      <c r="K259" s="85" t="inlineStr">
        <is>
          <t>008</t>
        </is>
      </c>
      <c r="L259" s="208" t="n">
        <v>24</v>
      </c>
      <c r="M259" s="209" t="n">
        <v>451.7</v>
      </c>
      <c r="N259" s="210" t="n"/>
      <c r="O259" s="211" t="n">
        <v>676</v>
      </c>
      <c r="P259" s="212" t="n"/>
      <c r="Q259" s="213" t="n"/>
      <c r="R259" s="215" t="n">
        <v>2500</v>
      </c>
      <c r="S259" s="215">
        <f>M259*R259</f>
        <v/>
      </c>
      <c r="T259" s="216" t="n"/>
      <c r="U259" s="217" t="n"/>
      <c r="V259" s="218" t="n">
        <v>6566</v>
      </c>
      <c r="W259" s="219">
        <f>O259*V259</f>
        <v/>
      </c>
      <c r="X259" s="215" t="n"/>
      <c r="Y259" s="134" t="inlineStr">
        <is>
          <t>염색</t>
        </is>
      </c>
      <c r="Z259" s="221">
        <f>W259-S259-Q259</f>
        <v/>
      </c>
    </row>
    <row r="260" ht="16" customFormat="1" customHeight="1" s="68">
      <c r="A260" s="206" t="n">
        <v>2603</v>
      </c>
      <c r="B260" s="207" t="n">
        <v>46100</v>
      </c>
      <c r="C260" s="159" t="inlineStr">
        <is>
          <t>하이젠540</t>
        </is>
      </c>
      <c r="D260" s="160" t="inlineStr">
        <is>
          <t>은호섬유</t>
        </is>
      </c>
      <c r="E260" s="72" t="inlineStr">
        <is>
          <t>티에이케이</t>
        </is>
      </c>
      <c r="F260" s="73" t="inlineStr">
        <is>
          <t>cleaner</t>
        </is>
      </c>
      <c r="G260" s="72" t="inlineStr">
        <is>
          <t>티에이케이</t>
        </is>
      </c>
      <c r="H260" s="74" t="inlineStr">
        <is>
          <t>HYGEN TWIST 540</t>
        </is>
      </c>
      <c r="I260" s="74" t="inlineStr">
        <is>
          <t>BLUE</t>
        </is>
      </c>
      <c r="J260" s="74" t="n"/>
      <c r="K260" s="85" t="inlineStr">
        <is>
          <t>009</t>
        </is>
      </c>
      <c r="L260" s="208" t="n">
        <v>24</v>
      </c>
      <c r="M260" s="209" t="n">
        <v>443.9</v>
      </c>
      <c r="N260" s="210" t="n"/>
      <c r="O260" s="211" t="n">
        <v>685</v>
      </c>
      <c r="P260" s="212" t="n"/>
      <c r="Q260" s="213" t="n"/>
      <c r="R260" s="215" t="n">
        <v>2500</v>
      </c>
      <c r="S260" s="215">
        <f>M260*R260</f>
        <v/>
      </c>
      <c r="T260" s="216" t="n"/>
      <c r="U260" s="217" t="n"/>
      <c r="V260" s="218" t="n">
        <v>6566</v>
      </c>
      <c r="W260" s="219">
        <f>O260*V260</f>
        <v/>
      </c>
      <c r="X260" s="215" t="n"/>
      <c r="Y260" s="134" t="inlineStr">
        <is>
          <t>염색</t>
        </is>
      </c>
      <c r="Z260" s="221">
        <f>W260-S260-Q260</f>
        <v/>
      </c>
    </row>
    <row r="261" ht="16" customFormat="1" customHeight="1" s="68">
      <c r="A261" s="206" t="n">
        <v>2603</v>
      </c>
      <c r="B261" s="207" t="n">
        <v>46100</v>
      </c>
      <c r="C261" s="159" t="inlineStr">
        <is>
          <t>하이젠540</t>
        </is>
      </c>
      <c r="D261" s="160" t="inlineStr">
        <is>
          <t>은호섬유</t>
        </is>
      </c>
      <c r="E261" s="72" t="inlineStr">
        <is>
          <t>티에이케이</t>
        </is>
      </c>
      <c r="F261" s="73" t="inlineStr">
        <is>
          <t>cleaner</t>
        </is>
      </c>
      <c r="G261" s="72" t="inlineStr">
        <is>
          <t>티에이케이</t>
        </is>
      </c>
      <c r="H261" s="74" t="inlineStr">
        <is>
          <t>HYGEN TWIST 540</t>
        </is>
      </c>
      <c r="I261" s="74" t="inlineStr">
        <is>
          <t>BLUE</t>
        </is>
      </c>
      <c r="J261" s="74" t="n"/>
      <c r="K261" s="85" t="inlineStr">
        <is>
          <t>010</t>
        </is>
      </c>
      <c r="L261" s="208" t="n">
        <v>24</v>
      </c>
      <c r="M261" s="209" t="n">
        <v>452.2</v>
      </c>
      <c r="N261" s="210" t="n"/>
      <c r="O261" s="211" t="n">
        <v>689</v>
      </c>
      <c r="P261" s="212" t="n"/>
      <c r="Q261" s="213" t="n"/>
      <c r="R261" s="215" t="n">
        <v>2500</v>
      </c>
      <c r="S261" s="215">
        <f>M261*R261</f>
        <v/>
      </c>
      <c r="T261" s="216" t="n"/>
      <c r="U261" s="217" t="n"/>
      <c r="V261" s="218" t="n">
        <v>6566</v>
      </c>
      <c r="W261" s="219">
        <f>O261*V261</f>
        <v/>
      </c>
      <c r="X261" s="215" t="n"/>
      <c r="Y261" s="134" t="inlineStr">
        <is>
          <t>염색</t>
        </is>
      </c>
      <c r="Z261" s="221">
        <f>W261-S261-Q261</f>
        <v/>
      </c>
    </row>
    <row r="262" ht="16" customFormat="1" customHeight="1" s="68">
      <c r="A262" s="206" t="n">
        <v>2603</v>
      </c>
      <c r="B262" s="207" t="n">
        <v>46100</v>
      </c>
      <c r="C262" s="159" t="inlineStr">
        <is>
          <t>하이젠540</t>
        </is>
      </c>
      <c r="D262" s="160" t="inlineStr">
        <is>
          <t>은호섬유</t>
        </is>
      </c>
      <c r="E262" s="72" t="inlineStr">
        <is>
          <t>티에이케이</t>
        </is>
      </c>
      <c r="F262" s="73" t="inlineStr">
        <is>
          <t>cleaner</t>
        </is>
      </c>
      <c r="G262" s="72" t="inlineStr">
        <is>
          <t>티에이케이</t>
        </is>
      </c>
      <c r="H262" s="74" t="inlineStr">
        <is>
          <t>HYGEN TWIST 540</t>
        </is>
      </c>
      <c r="I262" s="74" t="inlineStr">
        <is>
          <t>BLUE</t>
        </is>
      </c>
      <c r="J262" s="74" t="n"/>
      <c r="K262" s="85" t="inlineStr">
        <is>
          <t>011</t>
        </is>
      </c>
      <c r="L262" s="208" t="n">
        <v>24</v>
      </c>
      <c r="M262" s="209" t="n">
        <v>457.1</v>
      </c>
      <c r="N262" s="210" t="n"/>
      <c r="O262" s="211" t="n">
        <v>698</v>
      </c>
      <c r="P262" s="212" t="n"/>
      <c r="Q262" s="213" t="n"/>
      <c r="R262" s="215" t="n">
        <v>2500</v>
      </c>
      <c r="S262" s="215">
        <f>M262*R262</f>
        <v/>
      </c>
      <c r="T262" s="216" t="n"/>
      <c r="U262" s="217" t="n"/>
      <c r="V262" s="218" t="n">
        <v>6566</v>
      </c>
      <c r="W262" s="219">
        <f>O262*V262</f>
        <v/>
      </c>
      <c r="X262" s="215" t="n"/>
      <c r="Y262" s="134" t="inlineStr">
        <is>
          <t>염색</t>
        </is>
      </c>
      <c r="Z262" s="221">
        <f>W262-S262-Q262</f>
        <v/>
      </c>
    </row>
    <row r="263" ht="16" customHeight="1" s="162">
      <c r="A263" s="206" t="n">
        <v>2603</v>
      </c>
      <c r="B263" s="207" t="n">
        <v>46100</v>
      </c>
      <c r="C263" s="159" t="inlineStr">
        <is>
          <t>하이젠540</t>
        </is>
      </c>
      <c r="D263" s="160" t="inlineStr">
        <is>
          <t>은호섬유</t>
        </is>
      </c>
      <c r="E263" s="72" t="inlineStr">
        <is>
          <t>티에이케이</t>
        </is>
      </c>
      <c r="F263" s="73" t="inlineStr">
        <is>
          <t>cleaner</t>
        </is>
      </c>
      <c r="G263" s="72" t="inlineStr">
        <is>
          <t>티에이케이</t>
        </is>
      </c>
      <c r="H263" s="74" t="inlineStr">
        <is>
          <t>HYGEN TWIST 540</t>
        </is>
      </c>
      <c r="I263" s="74" t="inlineStr">
        <is>
          <t>BLUE</t>
        </is>
      </c>
      <c r="J263" s="74" t="n"/>
      <c r="K263" s="85" t="inlineStr">
        <is>
          <t>012</t>
        </is>
      </c>
      <c r="L263" s="208" t="n">
        <v>24</v>
      </c>
      <c r="M263" s="209" t="n">
        <v>457.3</v>
      </c>
      <c r="N263" s="210" t="n"/>
      <c r="O263" s="211" t="n">
        <v>697</v>
      </c>
      <c r="P263" s="212" t="n"/>
      <c r="Q263" s="213" t="n"/>
      <c r="R263" s="215" t="n">
        <v>2500</v>
      </c>
      <c r="S263" s="215">
        <f>M263*R263</f>
        <v/>
      </c>
      <c r="T263" s="216" t="n"/>
      <c r="U263" s="217" t="n"/>
      <c r="V263" s="218" t="n">
        <v>6566</v>
      </c>
      <c r="W263" s="219">
        <f>O263*V263</f>
        <v/>
      </c>
      <c r="X263" s="215" t="n"/>
      <c r="Y263" s="134" t="inlineStr">
        <is>
          <t>염색</t>
        </is>
      </c>
      <c r="Z263" s="221">
        <f>W263-S263-Q263</f>
        <v/>
      </c>
      <c r="AA263" s="68" t="n"/>
      <c r="AB263" s="68" t="n"/>
      <c r="AC263" s="68" t="n"/>
      <c r="AD263" s="68" t="n"/>
      <c r="AE263" s="68" t="n"/>
      <c r="AF263" s="68" t="n"/>
      <c r="AG263" s="68" t="n"/>
      <c r="AH263" s="68" t="n"/>
      <c r="AI263" s="68" t="n"/>
      <c r="AJ263" s="68" t="n"/>
      <c r="AK263" s="68" t="n"/>
      <c r="AL263" s="68" t="n"/>
      <c r="AM263" s="68" t="n"/>
      <c r="AN263" s="68" t="n"/>
      <c r="AO263" s="68" t="n"/>
      <c r="AP263" s="68" t="n"/>
      <c r="AQ263" s="68" t="n"/>
      <c r="AR263" s="68" t="n"/>
      <c r="AS263" s="68" t="n"/>
      <c r="AT263" s="68" t="n"/>
      <c r="AU263" s="68" t="n"/>
      <c r="AV263" s="68" t="n"/>
      <c r="AW263" s="68" t="n"/>
      <c r="AX263" s="68" t="n"/>
      <c r="AY263" s="68" t="n"/>
      <c r="AZ263" s="68" t="n"/>
      <c r="BA263" s="68" t="n"/>
      <c r="BB263" s="68" t="n"/>
      <c r="BC263" s="68" t="n"/>
      <c r="BD263" s="68" t="n"/>
      <c r="BE263" s="68" t="n"/>
      <c r="BF263" s="68" t="n"/>
      <c r="BG263" s="68" t="n"/>
      <c r="BH263" s="68" t="n"/>
      <c r="BI263" s="68" t="n"/>
      <c r="BJ263" s="68" t="n"/>
      <c r="BK263" s="68" t="n"/>
      <c r="BL263" s="68" t="n"/>
      <c r="BM263" s="68" t="n"/>
      <c r="BN263" s="68" t="n"/>
      <c r="BO263" s="68" t="n"/>
      <c r="BP263" s="68" t="n"/>
    </row>
    <row r="264" ht="16" customHeight="1" s="162">
      <c r="A264" s="206" t="n">
        <v>2603</v>
      </c>
      <c r="B264" s="207" t="n">
        <v>46100</v>
      </c>
      <c r="C264" s="159" t="inlineStr">
        <is>
          <t>하이젠540</t>
        </is>
      </c>
      <c r="D264" s="160" t="inlineStr">
        <is>
          <t>은호섬유</t>
        </is>
      </c>
      <c r="E264" s="72" t="inlineStr">
        <is>
          <t>티에이케이</t>
        </is>
      </c>
      <c r="F264" s="73" t="inlineStr">
        <is>
          <t>cleaner</t>
        </is>
      </c>
      <c r="G264" s="72" t="inlineStr">
        <is>
          <t>티에이케이</t>
        </is>
      </c>
      <c r="H264" s="74" t="inlineStr">
        <is>
          <t>HYGEN TWIST 540</t>
        </is>
      </c>
      <c r="I264" s="74" t="inlineStr">
        <is>
          <t>BLUE</t>
        </is>
      </c>
      <c r="J264" s="74" t="n"/>
      <c r="K264" s="85" t="inlineStr">
        <is>
          <t>013</t>
        </is>
      </c>
      <c r="L264" s="208" t="n">
        <v>24</v>
      </c>
      <c r="M264" s="209" t="n">
        <v>457.3</v>
      </c>
      <c r="N264" s="210" t="n"/>
      <c r="O264" s="211" t="n">
        <v>672</v>
      </c>
      <c r="P264" s="212" t="n"/>
      <c r="Q264" s="213" t="n"/>
      <c r="R264" s="215" t="n">
        <v>2500</v>
      </c>
      <c r="S264" s="215">
        <f>M264*R264</f>
        <v/>
      </c>
      <c r="T264" s="216" t="n"/>
      <c r="U264" s="217" t="n"/>
      <c r="V264" s="218" t="n">
        <v>6566</v>
      </c>
      <c r="W264" s="219">
        <f>O264*V264</f>
        <v/>
      </c>
      <c r="X264" s="215" t="n"/>
      <c r="Y264" s="134" t="inlineStr">
        <is>
          <t>염색</t>
        </is>
      </c>
      <c r="Z264" s="221">
        <f>W264-S264-Q264</f>
        <v/>
      </c>
      <c r="AA264" s="68" t="n"/>
      <c r="AB264" s="68" t="n"/>
      <c r="AC264" s="68" t="n"/>
      <c r="AD264" s="68" t="n"/>
      <c r="AE264" s="68" t="n"/>
      <c r="AF264" s="68" t="n"/>
      <c r="AG264" s="68" t="n"/>
      <c r="AH264" s="68" t="n"/>
      <c r="AI264" s="68" t="n"/>
      <c r="AJ264" s="68" t="n"/>
      <c r="AK264" s="68" t="n"/>
      <c r="AL264" s="68" t="n"/>
      <c r="AM264" s="68" t="n"/>
      <c r="AN264" s="68" t="n"/>
      <c r="AO264" s="68" t="n"/>
      <c r="AP264" s="68" t="n"/>
      <c r="AQ264" s="68" t="n"/>
      <c r="AR264" s="68" t="n"/>
      <c r="AS264" s="68" t="n"/>
      <c r="AT264" s="68" t="n"/>
      <c r="AU264" s="68" t="n"/>
      <c r="AV264" s="68" t="n"/>
      <c r="AW264" s="68" t="n"/>
      <c r="AX264" s="68" t="n"/>
      <c r="AY264" s="68" t="n"/>
      <c r="AZ264" s="68" t="n"/>
      <c r="BA264" s="68" t="n"/>
      <c r="BB264" s="68" t="n"/>
      <c r="BC264" s="68" t="n"/>
      <c r="BD264" s="68" t="n"/>
      <c r="BE264" s="68" t="n"/>
      <c r="BF264" s="68" t="n"/>
      <c r="BG264" s="68" t="n"/>
      <c r="BH264" s="68" t="n"/>
      <c r="BI264" s="68" t="n"/>
      <c r="BJ264" s="68" t="n"/>
      <c r="BK264" s="68" t="n"/>
      <c r="BL264" s="68" t="n"/>
      <c r="BM264" s="68" t="n"/>
      <c r="BN264" s="68" t="n"/>
      <c r="BO264" s="68" t="n"/>
      <c r="BP264" s="68" t="n"/>
    </row>
    <row r="265" ht="16" customHeight="1" s="162">
      <c r="A265" s="206" t="n">
        <v>2603</v>
      </c>
      <c r="B265" s="207" t="n">
        <v>46100</v>
      </c>
      <c r="C265" s="159" t="inlineStr">
        <is>
          <t>하이젠540</t>
        </is>
      </c>
      <c r="D265" s="160" t="inlineStr">
        <is>
          <t>은호섬유</t>
        </is>
      </c>
      <c r="E265" s="72" t="inlineStr">
        <is>
          <t>티에이케이</t>
        </is>
      </c>
      <c r="F265" s="73" t="inlineStr">
        <is>
          <t>cleaner</t>
        </is>
      </c>
      <c r="G265" s="72" t="inlineStr">
        <is>
          <t>티에이케이</t>
        </is>
      </c>
      <c r="H265" s="74" t="inlineStr">
        <is>
          <t>HYGEN TWIST 540</t>
        </is>
      </c>
      <c r="I265" s="74" t="inlineStr">
        <is>
          <t>BLUE</t>
        </is>
      </c>
      <c r="J265" s="74" t="n"/>
      <c r="K265" s="85" t="inlineStr">
        <is>
          <t>014</t>
        </is>
      </c>
      <c r="L265" s="208" t="n">
        <v>24</v>
      </c>
      <c r="M265" s="209" t="n">
        <v>462.8</v>
      </c>
      <c r="N265" s="210" t="n"/>
      <c r="O265" s="211" t="n">
        <v>694</v>
      </c>
      <c r="P265" s="212" t="n"/>
      <c r="Q265" s="213" t="n"/>
      <c r="R265" s="215" t="n">
        <v>2500</v>
      </c>
      <c r="S265" s="215">
        <f>M265*R265</f>
        <v/>
      </c>
      <c r="T265" s="216" t="n"/>
      <c r="U265" s="217" t="n"/>
      <c r="V265" s="218" t="n">
        <v>6566</v>
      </c>
      <c r="W265" s="219">
        <f>O265*V265</f>
        <v/>
      </c>
      <c r="X265" s="215" t="n"/>
      <c r="Y265" s="134" t="inlineStr">
        <is>
          <t>염색</t>
        </is>
      </c>
      <c r="Z265" s="221">
        <f>W265-S265-Q265</f>
        <v/>
      </c>
      <c r="AA265" s="68" t="n"/>
      <c r="AB265" s="68" t="n"/>
      <c r="AC265" s="68" t="n"/>
      <c r="AD265" s="68" t="n"/>
      <c r="AE265" s="68" t="n"/>
      <c r="AF265" s="68" t="n"/>
      <c r="AG265" s="68" t="n"/>
      <c r="AH265" s="68" t="n"/>
      <c r="AI265" s="68" t="n"/>
      <c r="AJ265" s="68" t="n"/>
      <c r="AK265" s="68" t="n"/>
      <c r="AL265" s="68" t="n"/>
      <c r="AM265" s="68" t="n"/>
      <c r="AN265" s="68" t="n"/>
      <c r="AO265" s="68" t="n"/>
      <c r="AP265" s="68" t="n"/>
      <c r="AQ265" s="68" t="n"/>
      <c r="AR265" s="68" t="n"/>
      <c r="AS265" s="68" t="n"/>
      <c r="AT265" s="68" t="n"/>
      <c r="AU265" s="68" t="n"/>
      <c r="AV265" s="68" t="n"/>
      <c r="AW265" s="68" t="n"/>
      <c r="AX265" s="68" t="n"/>
      <c r="AY265" s="68" t="n"/>
      <c r="AZ265" s="68" t="n"/>
      <c r="BA265" s="68" t="n"/>
      <c r="BB265" s="68" t="n"/>
      <c r="BC265" s="68" t="n"/>
      <c r="BD265" s="68" t="n"/>
      <c r="BE265" s="68" t="n"/>
      <c r="BF265" s="68" t="n"/>
      <c r="BG265" s="68" t="n"/>
      <c r="BH265" s="68" t="n"/>
      <c r="BI265" s="68" t="n"/>
      <c r="BJ265" s="68" t="n"/>
      <c r="BK265" s="68" t="n"/>
      <c r="BL265" s="68" t="n"/>
      <c r="BM265" s="68" t="n"/>
      <c r="BN265" s="68" t="n"/>
      <c r="BO265" s="68" t="n"/>
      <c r="BP265" s="68" t="n"/>
    </row>
    <row r="266" ht="16" customFormat="1" customHeight="1" s="68">
      <c r="A266" s="206" t="n">
        <v>2603</v>
      </c>
      <c r="B266" s="207" t="n">
        <v>46100</v>
      </c>
      <c r="C266" s="159" t="inlineStr">
        <is>
          <t>하이젠540</t>
        </is>
      </c>
      <c r="D266" s="160" t="inlineStr">
        <is>
          <t>은호섬유</t>
        </is>
      </c>
      <c r="E266" s="72" t="inlineStr">
        <is>
          <t>티에이케이</t>
        </is>
      </c>
      <c r="F266" s="73" t="inlineStr">
        <is>
          <t>cleaner</t>
        </is>
      </c>
      <c r="G266" s="72" t="inlineStr">
        <is>
          <t>티에이케이</t>
        </is>
      </c>
      <c r="H266" s="74" t="inlineStr">
        <is>
          <t>HYGEN TWIST 540</t>
        </is>
      </c>
      <c r="I266" s="74" t="inlineStr">
        <is>
          <t>BLUE</t>
        </is>
      </c>
      <c r="J266" s="74" t="n"/>
      <c r="K266" s="85" t="inlineStr">
        <is>
          <t>015</t>
        </is>
      </c>
      <c r="L266" s="208" t="n">
        <v>24</v>
      </c>
      <c r="M266" s="209" t="n">
        <v>446.8</v>
      </c>
      <c r="N266" s="210" t="n"/>
      <c r="O266" s="211" t="n">
        <v>687</v>
      </c>
      <c r="P266" s="212" t="n"/>
      <c r="Q266" s="213" t="n"/>
      <c r="R266" s="215" t="n">
        <v>2500</v>
      </c>
      <c r="S266" s="215">
        <f>M266*R266</f>
        <v/>
      </c>
      <c r="T266" s="216" t="n"/>
      <c r="U266" s="217" t="n"/>
      <c r="V266" s="218" t="n">
        <v>6566</v>
      </c>
      <c r="W266" s="219">
        <f>O266*V266</f>
        <v/>
      </c>
      <c r="X266" s="215" t="n"/>
      <c r="Y266" s="134" t="inlineStr">
        <is>
          <t>염색</t>
        </is>
      </c>
      <c r="Z266" s="221">
        <f>W266-S266-Q266</f>
        <v/>
      </c>
    </row>
    <row r="267" ht="16" customFormat="1" customHeight="1" s="68">
      <c r="A267" s="206" t="n">
        <v>2603</v>
      </c>
      <c r="B267" s="207" t="n">
        <v>46100</v>
      </c>
      <c r="C267" s="159" t="inlineStr">
        <is>
          <t>하이젠540</t>
        </is>
      </c>
      <c r="D267" s="160" t="inlineStr">
        <is>
          <t>은호섬유</t>
        </is>
      </c>
      <c r="E267" s="72" t="inlineStr">
        <is>
          <t>티에이케이</t>
        </is>
      </c>
      <c r="F267" s="73" t="inlineStr">
        <is>
          <t>cleaner</t>
        </is>
      </c>
      <c r="G267" s="72" t="inlineStr">
        <is>
          <t>티에이케이</t>
        </is>
      </c>
      <c r="H267" s="74" t="inlineStr">
        <is>
          <t>HYGEN TWIST 540</t>
        </is>
      </c>
      <c r="I267" s="74" t="inlineStr">
        <is>
          <t>BLUE</t>
        </is>
      </c>
      <c r="J267" s="74" t="n"/>
      <c r="K267" s="85" t="inlineStr">
        <is>
          <t>016</t>
        </is>
      </c>
      <c r="L267" s="208" t="n">
        <v>24</v>
      </c>
      <c r="M267" s="209" t="n">
        <v>456</v>
      </c>
      <c r="N267" s="210" t="n"/>
      <c r="O267" s="211" t="n">
        <v>674</v>
      </c>
      <c r="P267" s="212" t="n"/>
      <c r="Q267" s="213" t="n"/>
      <c r="R267" s="215" t="n">
        <v>2500</v>
      </c>
      <c r="S267" s="215">
        <f>M267*R267</f>
        <v/>
      </c>
      <c r="T267" s="216" t="n"/>
      <c r="U267" s="217" t="n"/>
      <c r="V267" s="218" t="n">
        <v>6566</v>
      </c>
      <c r="W267" s="219">
        <f>O267*V267</f>
        <v/>
      </c>
      <c r="X267" s="215" t="n"/>
      <c r="Y267" s="134" t="inlineStr">
        <is>
          <t>염색</t>
        </is>
      </c>
      <c r="Z267" s="221">
        <f>W267-S267-Q267</f>
        <v/>
      </c>
    </row>
    <row r="268" ht="16" customHeight="1" s="162">
      <c r="A268" s="206" t="n">
        <v>2603</v>
      </c>
      <c r="B268" s="207" t="n">
        <v>46107</v>
      </c>
      <c r="C268" s="159" t="inlineStr">
        <is>
          <t>하이젠540</t>
        </is>
      </c>
      <c r="D268" s="160" t="inlineStr">
        <is>
          <t>은호섬유</t>
        </is>
      </c>
      <c r="E268" s="72" t="inlineStr">
        <is>
          <t>티에이케이</t>
        </is>
      </c>
      <c r="F268" s="73" t="inlineStr">
        <is>
          <t>cleaner</t>
        </is>
      </c>
      <c r="G268" s="72" t="inlineStr">
        <is>
          <t>티에이케이</t>
        </is>
      </c>
      <c r="H268" s="74" t="inlineStr">
        <is>
          <t>HYGEN TWIST 540</t>
        </is>
      </c>
      <c r="I268" s="74" t="inlineStr">
        <is>
          <t>BLUE</t>
        </is>
      </c>
      <c r="J268" s="74" t="n"/>
      <c r="K268" s="85" t="inlineStr">
        <is>
          <t>002</t>
        </is>
      </c>
      <c r="L268" s="208" t="n">
        <v>8</v>
      </c>
      <c r="M268" s="209" t="n">
        <v>120.9</v>
      </c>
      <c r="N268" s="210" t="n"/>
      <c r="O268" s="211" t="n">
        <v>188</v>
      </c>
      <c r="P268" s="212" t="n"/>
      <c r="Q268" s="213" t="n"/>
      <c r="R268" s="215" t="n">
        <v>2500</v>
      </c>
      <c r="S268" s="215">
        <f>M268*R268</f>
        <v/>
      </c>
      <c r="T268" s="216" t="n"/>
      <c r="U268" s="217" t="n"/>
      <c r="V268" s="218" t="n">
        <v>6566</v>
      </c>
      <c r="W268" s="219">
        <f>O268*V268</f>
        <v/>
      </c>
      <c r="X268" s="215" t="n"/>
      <c r="Y268" s="134" t="inlineStr">
        <is>
          <t>염색</t>
        </is>
      </c>
      <c r="Z268" s="221">
        <f>W268-S268-Q268</f>
        <v/>
      </c>
      <c r="AA268" s="68" t="n"/>
      <c r="AB268" s="68" t="n"/>
      <c r="AC268" s="68" t="n"/>
      <c r="AD268" s="68" t="n"/>
      <c r="AE268" s="68" t="n"/>
      <c r="AF268" s="68" t="n"/>
      <c r="AG268" s="68" t="n"/>
      <c r="AH268" s="68" t="n"/>
      <c r="AI268" s="68" t="n"/>
      <c r="AJ268" s="68" t="n"/>
      <c r="AK268" s="68" t="n"/>
      <c r="AL268" s="68" t="n"/>
      <c r="AM268" s="68" t="n"/>
      <c r="AN268" s="68" t="n"/>
      <c r="AO268" s="68" t="n"/>
      <c r="AP268" s="68" t="n"/>
      <c r="AQ268" s="68" t="n"/>
      <c r="AR268" s="68" t="n"/>
      <c r="AS268" s="68" t="n"/>
      <c r="AT268" s="68" t="n"/>
      <c r="AU268" s="68" t="n"/>
      <c r="AV268" s="68" t="n"/>
      <c r="AW268" s="68" t="n"/>
      <c r="AX268" s="68" t="n"/>
      <c r="AY268" s="68" t="n"/>
      <c r="AZ268" s="68" t="n"/>
      <c r="BA268" s="68" t="n"/>
      <c r="BB268" s="68" t="n"/>
      <c r="BC268" s="68" t="n"/>
      <c r="BD268" s="68" t="n"/>
      <c r="BE268" s="68" t="n"/>
      <c r="BF268" s="68" t="n"/>
      <c r="BG268" s="68" t="n"/>
      <c r="BH268" s="68" t="n"/>
      <c r="BI268" s="68" t="n"/>
      <c r="BJ268" s="68" t="n"/>
      <c r="BK268" s="68" t="n"/>
      <c r="BL268" s="68" t="n"/>
      <c r="BM268" s="68" t="n"/>
      <c r="BN268" s="68" t="n"/>
      <c r="BO268" s="68" t="n"/>
      <c r="BP268" s="68" t="n"/>
    </row>
    <row r="269" ht="16" customHeight="1" s="162">
      <c r="A269" s="206" t="n">
        <v>2603</v>
      </c>
      <c r="B269" s="207" t="n">
        <v>46107</v>
      </c>
      <c r="C269" s="159" t="inlineStr">
        <is>
          <t>하이젠540</t>
        </is>
      </c>
      <c r="D269" s="160" t="inlineStr">
        <is>
          <t>은호섬유</t>
        </is>
      </c>
      <c r="E269" s="72" t="inlineStr">
        <is>
          <t>티에이케이</t>
        </is>
      </c>
      <c r="F269" s="73" t="inlineStr">
        <is>
          <t>cleaner</t>
        </is>
      </c>
      <c r="G269" s="72" t="inlineStr">
        <is>
          <t>티에이케이</t>
        </is>
      </c>
      <c r="H269" s="74" t="inlineStr">
        <is>
          <t>HYGEN TWIST 540</t>
        </is>
      </c>
      <c r="I269" s="74" t="inlineStr">
        <is>
          <t>BLUE</t>
        </is>
      </c>
      <c r="J269" s="74" t="n"/>
      <c r="K269" s="85" t="inlineStr">
        <is>
          <t>007</t>
        </is>
      </c>
      <c r="L269" s="208" t="n">
        <v>32</v>
      </c>
      <c r="M269" s="209" t="n">
        <v>466.9</v>
      </c>
      <c r="N269" s="210" t="n"/>
      <c r="O269" s="211" t="n">
        <v>721</v>
      </c>
      <c r="P269" s="212" t="n"/>
      <c r="Q269" s="213" t="n"/>
      <c r="R269" s="215" t="n">
        <v>2500</v>
      </c>
      <c r="S269" s="215">
        <f>M269*R269</f>
        <v/>
      </c>
      <c r="T269" s="216" t="n"/>
      <c r="U269" s="217" t="n"/>
      <c r="V269" s="218" t="n">
        <v>6566</v>
      </c>
      <c r="W269" s="219">
        <f>O269*V269</f>
        <v/>
      </c>
      <c r="X269" s="215" t="n"/>
      <c r="Y269" s="134" t="inlineStr">
        <is>
          <t>염색</t>
        </is>
      </c>
      <c r="Z269" s="221">
        <f>W269-S269-Q269</f>
        <v/>
      </c>
      <c r="AA269" s="68" t="n"/>
      <c r="AB269" s="68" t="n"/>
      <c r="AC269" s="68" t="n"/>
      <c r="AD269" s="68" t="n"/>
      <c r="AE269" s="68" t="n"/>
      <c r="AF269" s="68" t="n"/>
      <c r="AG269" s="68" t="n"/>
      <c r="AH269" s="68" t="n"/>
      <c r="AI269" s="68" t="n"/>
      <c r="AJ269" s="68" t="n"/>
      <c r="AK269" s="68" t="n"/>
      <c r="AL269" s="68" t="n"/>
      <c r="AM269" s="68" t="n"/>
      <c r="AN269" s="68" t="n"/>
      <c r="AO269" s="68" t="n"/>
      <c r="AP269" s="68" t="n"/>
      <c r="AQ269" s="68" t="n"/>
      <c r="AR269" s="68" t="n"/>
      <c r="AS269" s="68" t="n"/>
      <c r="AT269" s="68" t="n"/>
      <c r="AU269" s="68" t="n"/>
      <c r="AV269" s="68" t="n"/>
      <c r="AW269" s="68" t="n"/>
      <c r="AX269" s="68" t="n"/>
      <c r="AY269" s="68" t="n"/>
      <c r="AZ269" s="68" t="n"/>
      <c r="BA269" s="68" t="n"/>
      <c r="BB269" s="68" t="n"/>
      <c r="BC269" s="68" t="n"/>
      <c r="BD269" s="68" t="n"/>
      <c r="BE269" s="68" t="n"/>
      <c r="BF269" s="68" t="n"/>
      <c r="BG269" s="68" t="n"/>
      <c r="BH269" s="68" t="n"/>
      <c r="BI269" s="68" t="n"/>
      <c r="BJ269" s="68" t="n"/>
      <c r="BK269" s="68" t="n"/>
      <c r="BL269" s="68" t="n"/>
      <c r="BM269" s="68" t="n"/>
      <c r="BN269" s="68" t="n"/>
      <c r="BO269" s="68" t="n"/>
      <c r="BP269" s="68" t="n"/>
    </row>
    <row r="270" ht="16" customHeight="1" s="162">
      <c r="A270" s="206" t="n">
        <v>2603</v>
      </c>
      <c r="B270" s="207" t="n">
        <v>46107</v>
      </c>
      <c r="C270" s="159" t="inlineStr">
        <is>
          <t>하이젠540</t>
        </is>
      </c>
      <c r="D270" s="160" t="inlineStr">
        <is>
          <t>은호섬유</t>
        </is>
      </c>
      <c r="E270" s="72" t="inlineStr">
        <is>
          <t>티에이케이</t>
        </is>
      </c>
      <c r="F270" s="73" t="inlineStr">
        <is>
          <t>cleaner</t>
        </is>
      </c>
      <c r="G270" s="72" t="inlineStr">
        <is>
          <t>티에이케이</t>
        </is>
      </c>
      <c r="H270" s="74" t="inlineStr">
        <is>
          <t>HYGEN TWIST 540</t>
        </is>
      </c>
      <c r="I270" s="74" t="inlineStr">
        <is>
          <t>BLUE</t>
        </is>
      </c>
      <c r="J270" s="74" t="n"/>
      <c r="K270" s="85" t="inlineStr">
        <is>
          <t>008</t>
        </is>
      </c>
      <c r="L270" s="208" t="n">
        <v>32</v>
      </c>
      <c r="M270" s="209" t="n">
        <v>473.2</v>
      </c>
      <c r="N270" s="210" t="n"/>
      <c r="O270" s="211" t="n">
        <v>727</v>
      </c>
      <c r="P270" s="212" t="n"/>
      <c r="Q270" s="213" t="n"/>
      <c r="R270" s="215" t="n">
        <v>2500</v>
      </c>
      <c r="S270" s="215">
        <f>M270*R270</f>
        <v/>
      </c>
      <c r="T270" s="216" t="n"/>
      <c r="U270" s="217" t="n"/>
      <c r="V270" s="218" t="n">
        <v>6566</v>
      </c>
      <c r="W270" s="219">
        <f>O270*V270</f>
        <v/>
      </c>
      <c r="X270" s="215" t="n"/>
      <c r="Y270" s="134" t="inlineStr">
        <is>
          <t>염색</t>
        </is>
      </c>
      <c r="Z270" s="221">
        <f>W270-S270-Q270</f>
        <v/>
      </c>
      <c r="AA270" s="68" t="n"/>
      <c r="AB270" s="68" t="n"/>
      <c r="AC270" s="68" t="n"/>
      <c r="AD270" s="68" t="n"/>
      <c r="AE270" s="68" t="n"/>
      <c r="AF270" s="68" t="n"/>
      <c r="AG270" s="68" t="n"/>
      <c r="AH270" s="68" t="n"/>
      <c r="AI270" s="68" t="n"/>
      <c r="AJ270" s="68" t="n"/>
      <c r="AK270" s="68" t="n"/>
      <c r="AL270" s="68" t="n"/>
      <c r="AM270" s="68" t="n"/>
      <c r="AN270" s="68" t="n"/>
      <c r="AO270" s="68" t="n"/>
      <c r="AP270" s="68" t="n"/>
      <c r="AQ270" s="68" t="n"/>
      <c r="AR270" s="68" t="n"/>
      <c r="AS270" s="68" t="n"/>
      <c r="AT270" s="68" t="n"/>
      <c r="AU270" s="68" t="n"/>
      <c r="AV270" s="68" t="n"/>
      <c r="AW270" s="68" t="n"/>
      <c r="AX270" s="68" t="n"/>
      <c r="AY270" s="68" t="n"/>
      <c r="AZ270" s="68" t="n"/>
      <c r="BA270" s="68" t="n"/>
      <c r="BB270" s="68" t="n"/>
      <c r="BC270" s="68" t="n"/>
      <c r="BD270" s="68" t="n"/>
      <c r="BE270" s="68" t="n"/>
      <c r="BF270" s="68" t="n"/>
      <c r="BG270" s="68" t="n"/>
      <c r="BH270" s="68" t="n"/>
      <c r="BI270" s="68" t="n"/>
      <c r="BJ270" s="68" t="n"/>
      <c r="BK270" s="68" t="n"/>
      <c r="BL270" s="68" t="n"/>
      <c r="BM270" s="68" t="n"/>
      <c r="BN270" s="68" t="n"/>
      <c r="BO270" s="68" t="n"/>
      <c r="BP270" s="68" t="n"/>
    </row>
    <row r="271" ht="16" customHeight="1" s="162">
      <c r="A271" s="206" t="n">
        <v>2603</v>
      </c>
      <c r="B271" s="207" t="n">
        <v>46107</v>
      </c>
      <c r="C271" s="159" t="inlineStr">
        <is>
          <t>하이젠540</t>
        </is>
      </c>
      <c r="D271" s="160" t="inlineStr">
        <is>
          <t>은호섬유</t>
        </is>
      </c>
      <c r="E271" s="72" t="inlineStr">
        <is>
          <t>티에이케이</t>
        </is>
      </c>
      <c r="F271" s="73" t="inlineStr">
        <is>
          <t>cleaner</t>
        </is>
      </c>
      <c r="G271" s="72" t="inlineStr">
        <is>
          <t>티에이케이</t>
        </is>
      </c>
      <c r="H271" s="74" t="inlineStr">
        <is>
          <t>HYGEN TWIST 540</t>
        </is>
      </c>
      <c r="I271" s="74" t="inlineStr">
        <is>
          <t>BLUE</t>
        </is>
      </c>
      <c r="J271" s="74" t="n"/>
      <c r="K271" s="85" t="inlineStr">
        <is>
          <t>009</t>
        </is>
      </c>
      <c r="L271" s="208" t="n">
        <v>32</v>
      </c>
      <c r="M271" s="209" t="n">
        <v>484.2</v>
      </c>
      <c r="N271" s="210" t="n"/>
      <c r="O271" s="211" t="n">
        <v>752</v>
      </c>
      <c r="P271" s="212" t="n"/>
      <c r="Q271" s="213" t="n"/>
      <c r="R271" s="215" t="n">
        <v>2500</v>
      </c>
      <c r="S271" s="215">
        <f>M271*R271</f>
        <v/>
      </c>
      <c r="T271" s="216" t="n"/>
      <c r="U271" s="217" t="n"/>
      <c r="V271" s="218" t="n">
        <v>6566</v>
      </c>
      <c r="W271" s="219">
        <f>O271*V271</f>
        <v/>
      </c>
      <c r="X271" s="215" t="n"/>
      <c r="Y271" s="134" t="inlineStr">
        <is>
          <t>염색</t>
        </is>
      </c>
      <c r="Z271" s="221">
        <f>W271-S271-Q271</f>
        <v/>
      </c>
      <c r="AA271" s="68" t="n"/>
      <c r="AB271" s="68" t="n"/>
      <c r="AC271" s="68" t="n"/>
      <c r="AD271" s="68" t="n"/>
      <c r="AE271" s="68" t="n"/>
      <c r="AF271" s="68" t="n"/>
      <c r="AG271" s="68" t="n"/>
      <c r="AH271" s="68" t="n"/>
      <c r="AI271" s="68" t="n"/>
      <c r="AJ271" s="68" t="n"/>
      <c r="AK271" s="68" t="n"/>
      <c r="AL271" s="68" t="n"/>
      <c r="AM271" s="68" t="n"/>
      <c r="AN271" s="68" t="n"/>
      <c r="AO271" s="68" t="n"/>
      <c r="AP271" s="68" t="n"/>
      <c r="AQ271" s="68" t="n"/>
      <c r="AR271" s="68" t="n"/>
      <c r="AS271" s="68" t="n"/>
      <c r="AT271" s="68" t="n"/>
      <c r="AU271" s="68" t="n"/>
      <c r="AV271" s="68" t="n"/>
      <c r="AW271" s="68" t="n"/>
      <c r="AX271" s="68" t="n"/>
      <c r="AY271" s="68" t="n"/>
      <c r="AZ271" s="68" t="n"/>
      <c r="BA271" s="68" t="n"/>
      <c r="BB271" s="68" t="n"/>
      <c r="BC271" s="68" t="n"/>
      <c r="BD271" s="68" t="n"/>
      <c r="BE271" s="68" t="n"/>
      <c r="BF271" s="68" t="n"/>
      <c r="BG271" s="68" t="n"/>
      <c r="BH271" s="68" t="n"/>
      <c r="BI271" s="68" t="n"/>
      <c r="BJ271" s="68" t="n"/>
      <c r="BK271" s="68" t="n"/>
      <c r="BL271" s="68" t="n"/>
      <c r="BM271" s="68" t="n"/>
      <c r="BN271" s="68" t="n"/>
      <c r="BO271" s="68" t="n"/>
      <c r="BP271" s="68" t="n"/>
    </row>
    <row r="272" ht="16" customHeight="1" s="162">
      <c r="A272" s="206" t="n">
        <v>2603</v>
      </c>
      <c r="B272" s="207" t="n">
        <v>46107</v>
      </c>
      <c r="C272" s="159" t="inlineStr">
        <is>
          <t>하이젠540</t>
        </is>
      </c>
      <c r="D272" s="160" t="inlineStr">
        <is>
          <t>은호섬유</t>
        </is>
      </c>
      <c r="E272" s="72" t="inlineStr">
        <is>
          <t>티에이케이</t>
        </is>
      </c>
      <c r="F272" s="73" t="inlineStr">
        <is>
          <t>cleaner</t>
        </is>
      </c>
      <c r="G272" s="72" t="inlineStr">
        <is>
          <t>티에이케이</t>
        </is>
      </c>
      <c r="H272" s="74" t="inlineStr">
        <is>
          <t>HYGEN TWIST 540</t>
        </is>
      </c>
      <c r="I272" s="74" t="inlineStr">
        <is>
          <t>BLUE</t>
        </is>
      </c>
      <c r="J272" s="74" t="n"/>
      <c r="K272" s="85" t="inlineStr">
        <is>
          <t>010</t>
        </is>
      </c>
      <c r="L272" s="208" t="n">
        <v>32</v>
      </c>
      <c r="M272" s="209" t="n">
        <v>487</v>
      </c>
      <c r="N272" s="210" t="n"/>
      <c r="O272" s="211" t="n">
        <v>755</v>
      </c>
      <c r="P272" s="212" t="n"/>
      <c r="Q272" s="213" t="n"/>
      <c r="R272" s="215" t="n">
        <v>2500</v>
      </c>
      <c r="S272" s="215">
        <f>M272*R272</f>
        <v/>
      </c>
      <c r="T272" s="216" t="n"/>
      <c r="U272" s="217" t="n"/>
      <c r="V272" s="218" t="n">
        <v>6566</v>
      </c>
      <c r="W272" s="219">
        <f>O272*V272</f>
        <v/>
      </c>
      <c r="X272" s="215" t="n"/>
      <c r="Y272" s="134" t="inlineStr">
        <is>
          <t>염색</t>
        </is>
      </c>
      <c r="Z272" s="221">
        <f>W272-S272-Q272</f>
        <v/>
      </c>
      <c r="AA272" s="68" t="n"/>
      <c r="AB272" s="68" t="n"/>
      <c r="AC272" s="68" t="n"/>
      <c r="AD272" s="68" t="n"/>
      <c r="AE272" s="68" t="n"/>
      <c r="AF272" s="68" t="n"/>
      <c r="AG272" s="68" t="n"/>
      <c r="AH272" s="68" t="n"/>
      <c r="AI272" s="68" t="n"/>
      <c r="AJ272" s="68" t="n"/>
      <c r="AK272" s="68" t="n"/>
      <c r="AL272" s="68" t="n"/>
      <c r="AM272" s="68" t="n"/>
      <c r="AN272" s="68" t="n"/>
      <c r="AO272" s="68" t="n"/>
      <c r="AP272" s="68" t="n"/>
      <c r="AQ272" s="68" t="n"/>
      <c r="AR272" s="68" t="n"/>
      <c r="AS272" s="68" t="n"/>
      <c r="AT272" s="68" t="n"/>
      <c r="AU272" s="68" t="n"/>
      <c r="AV272" s="68" t="n"/>
      <c r="AW272" s="68" t="n"/>
      <c r="AX272" s="68" t="n"/>
      <c r="AY272" s="68" t="n"/>
      <c r="AZ272" s="68" t="n"/>
      <c r="BA272" s="68" t="n"/>
      <c r="BB272" s="68" t="n"/>
      <c r="BC272" s="68" t="n"/>
      <c r="BD272" s="68" t="n"/>
      <c r="BE272" s="68" t="n"/>
      <c r="BF272" s="68" t="n"/>
      <c r="BG272" s="68" t="n"/>
      <c r="BH272" s="68" t="n"/>
      <c r="BI272" s="68" t="n"/>
      <c r="BJ272" s="68" t="n"/>
      <c r="BK272" s="68" t="n"/>
      <c r="BL272" s="68" t="n"/>
      <c r="BM272" s="68" t="n"/>
      <c r="BN272" s="68" t="n"/>
      <c r="BO272" s="68" t="n"/>
      <c r="BP272" s="68" t="n"/>
    </row>
    <row r="273" ht="16" customHeight="1" s="162">
      <c r="A273" s="206" t="n">
        <v>2603</v>
      </c>
      <c r="B273" s="207" t="n">
        <v>46107</v>
      </c>
      <c r="C273" s="159" t="inlineStr">
        <is>
          <t>하이젠540</t>
        </is>
      </c>
      <c r="D273" s="160" t="inlineStr">
        <is>
          <t>은호섬유</t>
        </is>
      </c>
      <c r="E273" s="72" t="inlineStr">
        <is>
          <t>티에이케이</t>
        </is>
      </c>
      <c r="F273" s="73" t="inlineStr">
        <is>
          <t>cleaner</t>
        </is>
      </c>
      <c r="G273" s="72" t="inlineStr">
        <is>
          <t>티에이케이</t>
        </is>
      </c>
      <c r="H273" s="74" t="inlineStr">
        <is>
          <t>HYGEN TWIST 540</t>
        </is>
      </c>
      <c r="I273" s="74" t="inlineStr">
        <is>
          <t>BLUE</t>
        </is>
      </c>
      <c r="J273" s="74" t="n"/>
      <c r="K273" s="85" t="inlineStr">
        <is>
          <t>013</t>
        </is>
      </c>
      <c r="L273" s="208" t="n">
        <v>33</v>
      </c>
      <c r="M273" s="209" t="n">
        <v>488</v>
      </c>
      <c r="N273" s="210" t="n"/>
      <c r="O273" s="211" t="n">
        <v>754</v>
      </c>
      <c r="P273" s="212" t="n"/>
      <c r="Q273" s="213" t="n"/>
      <c r="R273" s="215" t="n">
        <v>2500</v>
      </c>
      <c r="S273" s="215">
        <f>M273*R273</f>
        <v/>
      </c>
      <c r="T273" s="216" t="n"/>
      <c r="U273" s="217" t="n"/>
      <c r="V273" s="218" t="n">
        <v>6566</v>
      </c>
      <c r="W273" s="219">
        <f>O273*V273</f>
        <v/>
      </c>
      <c r="X273" s="215" t="n"/>
      <c r="Y273" s="134" t="inlineStr">
        <is>
          <t>염색</t>
        </is>
      </c>
      <c r="Z273" s="221">
        <f>W273-S273-Q273</f>
        <v/>
      </c>
      <c r="AA273" s="68" t="n"/>
      <c r="AB273" s="68" t="n"/>
      <c r="AC273" s="68" t="n"/>
      <c r="AD273" s="68" t="n"/>
      <c r="AE273" s="68" t="n"/>
      <c r="AF273" s="68" t="n"/>
      <c r="AG273" s="68" t="n"/>
      <c r="AH273" s="68" t="n"/>
      <c r="AI273" s="68" t="n"/>
      <c r="AJ273" s="68" t="n"/>
      <c r="AK273" s="68" t="n"/>
      <c r="AL273" s="68" t="n"/>
      <c r="AM273" s="68" t="n"/>
      <c r="AN273" s="68" t="n"/>
      <c r="AO273" s="68" t="n"/>
      <c r="AP273" s="68" t="n"/>
      <c r="AQ273" s="68" t="n"/>
      <c r="AR273" s="68" t="n"/>
      <c r="AS273" s="68" t="n"/>
      <c r="AT273" s="68" t="n"/>
      <c r="AU273" s="68" t="n"/>
      <c r="AV273" s="68" t="n"/>
      <c r="AW273" s="68" t="n"/>
      <c r="AX273" s="68" t="n"/>
      <c r="AY273" s="68" t="n"/>
      <c r="AZ273" s="68" t="n"/>
      <c r="BA273" s="68" t="n"/>
      <c r="BB273" s="68" t="n"/>
      <c r="BC273" s="68" t="n"/>
      <c r="BD273" s="68" t="n"/>
      <c r="BE273" s="68" t="n"/>
      <c r="BF273" s="68" t="n"/>
      <c r="BG273" s="68" t="n"/>
      <c r="BH273" s="68" t="n"/>
      <c r="BI273" s="68" t="n"/>
      <c r="BJ273" s="68" t="n"/>
      <c r="BK273" s="68" t="n"/>
      <c r="BL273" s="68" t="n"/>
      <c r="BM273" s="68" t="n"/>
      <c r="BN273" s="68" t="n"/>
      <c r="BO273" s="68" t="n"/>
      <c r="BP273" s="68" t="n"/>
    </row>
    <row r="274" ht="16" customHeight="1" s="162">
      <c r="A274" s="206" t="n">
        <v>2603</v>
      </c>
      <c r="B274" s="207" t="n">
        <v>46107</v>
      </c>
      <c r="C274" s="159" t="inlineStr">
        <is>
          <t>하이젠540</t>
        </is>
      </c>
      <c r="D274" s="160" t="inlineStr">
        <is>
          <t>은호섬유</t>
        </is>
      </c>
      <c r="E274" s="72" t="inlineStr">
        <is>
          <t>티에이케이</t>
        </is>
      </c>
      <c r="F274" s="73" t="inlineStr">
        <is>
          <t>cleaner</t>
        </is>
      </c>
      <c r="G274" s="72" t="inlineStr">
        <is>
          <t>티에이케이</t>
        </is>
      </c>
      <c r="H274" s="74" t="inlineStr">
        <is>
          <t>HYGEN TWIST 540</t>
        </is>
      </c>
      <c r="I274" s="74" t="inlineStr">
        <is>
          <t>BLUE</t>
        </is>
      </c>
      <c r="J274" s="74" t="n"/>
      <c r="K274" s="85" t="inlineStr">
        <is>
          <t>014</t>
        </is>
      </c>
      <c r="L274" s="208" t="n">
        <v>34</v>
      </c>
      <c r="M274" s="209" t="n">
        <v>506.8</v>
      </c>
      <c r="N274" s="210" t="n"/>
      <c r="O274" s="211" t="n">
        <v>779</v>
      </c>
      <c r="P274" s="212" t="n"/>
      <c r="Q274" s="213" t="n"/>
      <c r="R274" s="215" t="n">
        <v>2500</v>
      </c>
      <c r="S274" s="215">
        <f>M274*R274</f>
        <v/>
      </c>
      <c r="T274" s="216" t="n"/>
      <c r="U274" s="217" t="n"/>
      <c r="V274" s="218" t="n">
        <v>6566</v>
      </c>
      <c r="W274" s="219">
        <f>O274*V274</f>
        <v/>
      </c>
      <c r="X274" s="215" t="n"/>
      <c r="Y274" s="134" t="inlineStr">
        <is>
          <t>염색</t>
        </is>
      </c>
      <c r="Z274" s="221">
        <f>W274-S274-Q274</f>
        <v/>
      </c>
      <c r="AA274" s="68" t="n"/>
      <c r="AB274" s="68" t="n"/>
      <c r="AC274" s="68" t="n"/>
      <c r="AD274" s="68" t="n"/>
      <c r="AE274" s="68" t="n"/>
      <c r="AF274" s="68" t="n"/>
      <c r="AG274" s="68" t="n"/>
      <c r="AH274" s="68" t="n"/>
      <c r="AI274" s="68" t="n"/>
      <c r="AJ274" s="68" t="n"/>
      <c r="AK274" s="68" t="n"/>
      <c r="AL274" s="68" t="n"/>
      <c r="AM274" s="68" t="n"/>
      <c r="AN274" s="68" t="n"/>
      <c r="AO274" s="68" t="n"/>
      <c r="AP274" s="68" t="n"/>
      <c r="AQ274" s="68" t="n"/>
      <c r="AR274" s="68" t="n"/>
      <c r="AS274" s="68" t="n"/>
      <c r="AT274" s="68" t="n"/>
      <c r="AU274" s="68" t="n"/>
      <c r="AV274" s="68" t="n"/>
      <c r="AW274" s="68" t="n"/>
      <c r="AX274" s="68" t="n"/>
      <c r="AY274" s="68" t="n"/>
      <c r="AZ274" s="68" t="n"/>
      <c r="BA274" s="68" t="n"/>
      <c r="BB274" s="68" t="n"/>
      <c r="BC274" s="68" t="n"/>
      <c r="BD274" s="68" t="n"/>
      <c r="BE274" s="68" t="n"/>
      <c r="BF274" s="68" t="n"/>
      <c r="BG274" s="68" t="n"/>
      <c r="BH274" s="68" t="n"/>
      <c r="BI274" s="68" t="n"/>
      <c r="BJ274" s="68" t="n"/>
      <c r="BK274" s="68" t="n"/>
      <c r="BL274" s="68" t="n"/>
      <c r="BM274" s="68" t="n"/>
      <c r="BN274" s="68" t="n"/>
      <c r="BO274" s="68" t="n"/>
      <c r="BP274" s="68" t="n"/>
    </row>
    <row r="275" ht="16" customHeight="1" s="162">
      <c r="A275" s="206" t="n">
        <v>2603</v>
      </c>
      <c r="B275" s="207" t="n">
        <v>46107</v>
      </c>
      <c r="C275" s="159" t="inlineStr">
        <is>
          <t>하이젠540</t>
        </is>
      </c>
      <c r="D275" s="160" t="inlineStr">
        <is>
          <t>은호섬유</t>
        </is>
      </c>
      <c r="E275" s="72" t="inlineStr">
        <is>
          <t>티에이케이</t>
        </is>
      </c>
      <c r="F275" s="73" t="inlineStr">
        <is>
          <t>cleaner</t>
        </is>
      </c>
      <c r="G275" s="72" t="inlineStr">
        <is>
          <t>티에이케이</t>
        </is>
      </c>
      <c r="H275" s="74" t="inlineStr">
        <is>
          <t>HYGEN TWIST 540</t>
        </is>
      </c>
      <c r="I275" s="74" t="inlineStr">
        <is>
          <t>BLUE</t>
        </is>
      </c>
      <c r="J275" s="74" t="n"/>
      <c r="K275" s="85" t="inlineStr">
        <is>
          <t>015</t>
        </is>
      </c>
      <c r="L275" s="208" t="n">
        <v>26</v>
      </c>
      <c r="M275" s="209" t="n">
        <v>390.7</v>
      </c>
      <c r="N275" s="210" t="n"/>
      <c r="O275" s="211" t="n">
        <v>598</v>
      </c>
      <c r="P275" s="212" t="n"/>
      <c r="Q275" s="213" t="n"/>
      <c r="R275" s="215" t="n">
        <v>2500</v>
      </c>
      <c r="S275" s="215">
        <f>M275*R275</f>
        <v/>
      </c>
      <c r="T275" s="216" t="n"/>
      <c r="U275" s="217" t="n"/>
      <c r="V275" s="218" t="n">
        <v>6566</v>
      </c>
      <c r="W275" s="219">
        <f>O275*V275</f>
        <v/>
      </c>
      <c r="X275" s="215" t="n"/>
      <c r="Y275" s="134" t="inlineStr">
        <is>
          <t>염색</t>
        </is>
      </c>
      <c r="Z275" s="221">
        <f>W275-S275-Q275</f>
        <v/>
      </c>
      <c r="AA275" s="68" t="n"/>
      <c r="AB275" s="68" t="n"/>
      <c r="AC275" s="68" t="n"/>
      <c r="AD275" s="68" t="n"/>
      <c r="AE275" s="68" t="n"/>
      <c r="AF275" s="68" t="n"/>
      <c r="AG275" s="68" t="n"/>
      <c r="AH275" s="68" t="n"/>
      <c r="AI275" s="68" t="n"/>
      <c r="AJ275" s="68" t="n"/>
      <c r="AK275" s="68" t="n"/>
      <c r="AL275" s="68" t="n"/>
      <c r="AM275" s="68" t="n"/>
      <c r="AN275" s="68" t="n"/>
      <c r="AO275" s="68" t="n"/>
      <c r="AP275" s="68" t="n"/>
      <c r="AQ275" s="68" t="n"/>
      <c r="AR275" s="68" t="n"/>
      <c r="AS275" s="68" t="n"/>
      <c r="AT275" s="68" t="n"/>
      <c r="AU275" s="68" t="n"/>
      <c r="AV275" s="68" t="n"/>
      <c r="AW275" s="68" t="n"/>
      <c r="AX275" s="68" t="n"/>
      <c r="AY275" s="68" t="n"/>
      <c r="AZ275" s="68" t="n"/>
      <c r="BA275" s="68" t="n"/>
      <c r="BB275" s="68" t="n"/>
      <c r="BC275" s="68" t="n"/>
      <c r="BD275" s="68" t="n"/>
      <c r="BE275" s="68" t="n"/>
      <c r="BF275" s="68" t="n"/>
      <c r="BG275" s="68" t="n"/>
      <c r="BH275" s="68" t="n"/>
      <c r="BI275" s="68" t="n"/>
      <c r="BJ275" s="68" t="n"/>
      <c r="BK275" s="68" t="n"/>
      <c r="BL275" s="68" t="n"/>
      <c r="BM275" s="68" t="n"/>
      <c r="BN275" s="68" t="n"/>
      <c r="BO275" s="68" t="n"/>
      <c r="BP275" s="68" t="n"/>
    </row>
    <row r="276" ht="16" customHeight="1" s="162">
      <c r="A276" s="206" t="n">
        <v>2603</v>
      </c>
      <c r="B276" s="207" t="n">
        <v>46107</v>
      </c>
      <c r="C276" s="159" t="inlineStr">
        <is>
          <t>하이젠540</t>
        </is>
      </c>
      <c r="D276" s="160" t="inlineStr">
        <is>
          <t>은호섬유</t>
        </is>
      </c>
      <c r="E276" s="72" t="inlineStr">
        <is>
          <t>티에이케이</t>
        </is>
      </c>
      <c r="F276" s="73" t="inlineStr">
        <is>
          <t>cleaner</t>
        </is>
      </c>
      <c r="G276" s="72" t="inlineStr">
        <is>
          <t>티에이케이</t>
        </is>
      </c>
      <c r="H276" s="74" t="inlineStr">
        <is>
          <t>HYGEN TWIST 540</t>
        </is>
      </c>
      <c r="I276" s="74" t="inlineStr">
        <is>
          <t>BLUE</t>
        </is>
      </c>
      <c r="J276" s="74" t="n"/>
      <c r="K276" s="85" t="inlineStr">
        <is>
          <t>016</t>
        </is>
      </c>
      <c r="L276" s="208" t="n">
        <v>32</v>
      </c>
      <c r="M276" s="209" t="n">
        <v>454.7</v>
      </c>
      <c r="N276" s="210" t="n"/>
      <c r="O276" s="211" t="n">
        <v>703</v>
      </c>
      <c r="P276" s="212" t="n"/>
      <c r="Q276" s="213" t="n"/>
      <c r="R276" s="215" t="n">
        <v>2500</v>
      </c>
      <c r="S276" s="215">
        <f>M276*R276</f>
        <v/>
      </c>
      <c r="T276" s="216" t="n"/>
      <c r="U276" s="217" t="n"/>
      <c r="V276" s="218" t="n">
        <v>6566</v>
      </c>
      <c r="W276" s="219">
        <f>O276*V276</f>
        <v/>
      </c>
      <c r="X276" s="215" t="n"/>
      <c r="Y276" s="134" t="inlineStr">
        <is>
          <t>염색</t>
        </is>
      </c>
      <c r="Z276" s="221">
        <f>W276-S276-Q276</f>
        <v/>
      </c>
      <c r="AA276" s="68" t="n"/>
      <c r="AB276" s="68" t="n"/>
      <c r="AC276" s="68" t="n"/>
      <c r="AD276" s="68" t="n"/>
      <c r="AE276" s="68" t="n"/>
      <c r="AF276" s="68" t="n"/>
      <c r="AG276" s="68" t="n"/>
      <c r="AH276" s="68" t="n"/>
      <c r="AI276" s="68" t="n"/>
      <c r="AJ276" s="68" t="n"/>
      <c r="AK276" s="68" t="n"/>
      <c r="AL276" s="68" t="n"/>
      <c r="AM276" s="68" t="n"/>
      <c r="AN276" s="68" t="n"/>
      <c r="AO276" s="68" t="n"/>
      <c r="AP276" s="68" t="n"/>
      <c r="AQ276" s="68" t="n"/>
      <c r="AR276" s="68" t="n"/>
      <c r="AS276" s="68" t="n"/>
      <c r="AT276" s="68" t="n"/>
      <c r="AU276" s="68" t="n"/>
      <c r="AV276" s="68" t="n"/>
      <c r="AW276" s="68" t="n"/>
      <c r="AX276" s="68" t="n"/>
      <c r="AY276" s="68" t="n"/>
      <c r="AZ276" s="68" t="n"/>
      <c r="BA276" s="68" t="n"/>
      <c r="BB276" s="68" t="n"/>
      <c r="BC276" s="68" t="n"/>
      <c r="BD276" s="68" t="n"/>
      <c r="BE276" s="68" t="n"/>
      <c r="BF276" s="68" t="n"/>
      <c r="BG276" s="68" t="n"/>
      <c r="BH276" s="68" t="n"/>
      <c r="BI276" s="68" t="n"/>
      <c r="BJ276" s="68" t="n"/>
      <c r="BK276" s="68" t="n"/>
      <c r="BL276" s="68" t="n"/>
      <c r="BM276" s="68" t="n"/>
      <c r="BN276" s="68" t="n"/>
      <c r="BO276" s="68" t="n"/>
      <c r="BP276" s="68" t="n"/>
    </row>
    <row r="277" ht="16" customFormat="1" customHeight="1" s="68">
      <c r="A277" s="206" t="n">
        <v>2603</v>
      </c>
      <c r="B277" s="207" t="n">
        <v>46107</v>
      </c>
      <c r="C277" s="159" t="inlineStr">
        <is>
          <t>하이젠540</t>
        </is>
      </c>
      <c r="D277" s="160" t="inlineStr">
        <is>
          <t>은호섬유</t>
        </is>
      </c>
      <c r="E277" s="72" t="inlineStr">
        <is>
          <t>티에이케이</t>
        </is>
      </c>
      <c r="F277" s="73" t="inlineStr">
        <is>
          <t>cleaner</t>
        </is>
      </c>
      <c r="G277" s="72" t="inlineStr">
        <is>
          <t>티에이케이</t>
        </is>
      </c>
      <c r="H277" s="74" t="inlineStr">
        <is>
          <t>HYGEN TWIST 540</t>
        </is>
      </c>
      <c r="I277" s="74" t="inlineStr">
        <is>
          <t>BLUE</t>
        </is>
      </c>
      <c r="J277" s="74" t="n"/>
      <c r="K277" s="85" t="inlineStr">
        <is>
          <t>017</t>
        </is>
      </c>
      <c r="L277" s="208" t="n">
        <v>32</v>
      </c>
      <c r="M277" s="209" t="n">
        <v>463.9</v>
      </c>
      <c r="N277" s="210" t="n"/>
      <c r="O277" s="211" t="n">
        <v>718</v>
      </c>
      <c r="P277" s="212" t="n"/>
      <c r="Q277" s="213" t="n"/>
      <c r="R277" s="215" t="n">
        <v>2500</v>
      </c>
      <c r="S277" s="215">
        <f>M277*R277</f>
        <v/>
      </c>
      <c r="T277" s="216" t="n"/>
      <c r="U277" s="217" t="n"/>
      <c r="V277" s="218" t="n">
        <v>6566</v>
      </c>
      <c r="W277" s="219">
        <f>O277*V277</f>
        <v/>
      </c>
      <c r="X277" s="215" t="n"/>
      <c r="Y277" s="134" t="inlineStr">
        <is>
          <t>염색</t>
        </is>
      </c>
      <c r="Z277" s="221">
        <f>W277-S277-Q277</f>
        <v/>
      </c>
    </row>
    <row r="278" ht="16" customFormat="1" customHeight="1" s="68">
      <c r="A278" s="206" t="n">
        <v>2603</v>
      </c>
      <c r="B278" s="207" t="n">
        <v>46107</v>
      </c>
      <c r="C278" s="159" t="inlineStr">
        <is>
          <t>하이젠540</t>
        </is>
      </c>
      <c r="D278" s="160" t="inlineStr">
        <is>
          <t>은호섬유</t>
        </is>
      </c>
      <c r="E278" s="72" t="inlineStr">
        <is>
          <t>티에이케이</t>
        </is>
      </c>
      <c r="F278" s="73" t="inlineStr">
        <is>
          <t>cleaner</t>
        </is>
      </c>
      <c r="G278" s="72" t="inlineStr">
        <is>
          <t>티에이케이</t>
        </is>
      </c>
      <c r="H278" s="74" t="inlineStr">
        <is>
          <t>HYGEN TWIST 540</t>
        </is>
      </c>
      <c r="I278" s="74" t="inlineStr">
        <is>
          <t>BLUE</t>
        </is>
      </c>
      <c r="J278" s="74" t="n"/>
      <c r="K278" s="85" t="inlineStr">
        <is>
          <t>018</t>
        </is>
      </c>
      <c r="L278" s="208" t="n">
        <v>32</v>
      </c>
      <c r="M278" s="209" t="n">
        <v>486.5</v>
      </c>
      <c r="N278" s="210" t="n"/>
      <c r="O278" s="211" t="n">
        <v>748</v>
      </c>
      <c r="P278" s="212" t="n"/>
      <c r="Q278" s="213" t="n"/>
      <c r="R278" s="215" t="n">
        <v>2500</v>
      </c>
      <c r="S278" s="215">
        <f>M278*R278</f>
        <v/>
      </c>
      <c r="T278" s="216" t="n"/>
      <c r="U278" s="217" t="n"/>
      <c r="V278" s="218" t="n">
        <v>6566</v>
      </c>
      <c r="W278" s="219">
        <f>O278*V278</f>
        <v/>
      </c>
      <c r="X278" s="215" t="n"/>
      <c r="Y278" s="134" t="inlineStr">
        <is>
          <t>염색</t>
        </is>
      </c>
      <c r="Z278" s="221">
        <f>W278-S278-Q278</f>
        <v/>
      </c>
    </row>
    <row r="279" ht="16" customHeight="1" s="162">
      <c r="A279" s="206" t="n">
        <v>2603</v>
      </c>
      <c r="B279" s="207" t="n">
        <v>46107</v>
      </c>
      <c r="C279" s="159" t="inlineStr">
        <is>
          <t>하이젠540</t>
        </is>
      </c>
      <c r="D279" s="160" t="inlineStr">
        <is>
          <t>은호섬유</t>
        </is>
      </c>
      <c r="E279" s="72" t="inlineStr">
        <is>
          <t>티에이케이</t>
        </is>
      </c>
      <c r="F279" s="73" t="inlineStr">
        <is>
          <t>cleaner</t>
        </is>
      </c>
      <c r="G279" s="72" t="inlineStr">
        <is>
          <t>티에이케이</t>
        </is>
      </c>
      <c r="H279" s="74" t="inlineStr">
        <is>
          <t>HYGEN TWIST 540</t>
        </is>
      </c>
      <c r="I279" s="74" t="inlineStr">
        <is>
          <t>BLUE</t>
        </is>
      </c>
      <c r="J279" s="74" t="n"/>
      <c r="K279" s="85" t="inlineStr">
        <is>
          <t>020</t>
        </is>
      </c>
      <c r="L279" s="208" t="n">
        <v>11</v>
      </c>
      <c r="M279" s="209" t="n">
        <v>161.6</v>
      </c>
      <c r="N279" s="210" t="n"/>
      <c r="O279" s="211" t="n">
        <v>249</v>
      </c>
      <c r="P279" s="212" t="n"/>
      <c r="Q279" s="213" t="n"/>
      <c r="R279" s="215" t="n">
        <v>2500</v>
      </c>
      <c r="S279" s="215">
        <f>M279*R279</f>
        <v/>
      </c>
      <c r="T279" s="216" t="n"/>
      <c r="U279" s="217" t="n"/>
      <c r="V279" s="218" t="n">
        <v>6566</v>
      </c>
      <c r="W279" s="219">
        <f>O279*V279</f>
        <v/>
      </c>
      <c r="X279" s="215" t="n"/>
      <c r="Y279" s="134" t="inlineStr">
        <is>
          <t>염색</t>
        </is>
      </c>
      <c r="Z279" s="221">
        <f>W279-S279-Q279</f>
        <v/>
      </c>
      <c r="AA279" s="68" t="n"/>
      <c r="AB279" s="68" t="n"/>
      <c r="AC279" s="68" t="n"/>
      <c r="AD279" s="68" t="n"/>
      <c r="AE279" s="68" t="n"/>
      <c r="AF279" s="68" t="n"/>
      <c r="AG279" s="68" t="n"/>
      <c r="AH279" s="68" t="n"/>
      <c r="AI279" s="68" t="n"/>
      <c r="AJ279" s="68" t="n"/>
      <c r="AK279" s="68" t="n"/>
      <c r="AL279" s="68" t="n"/>
      <c r="AM279" s="68" t="n"/>
      <c r="AN279" s="68" t="n"/>
      <c r="AO279" s="68" t="n"/>
      <c r="AP279" s="68" t="n"/>
      <c r="AQ279" s="68" t="n"/>
      <c r="AR279" s="68" t="n"/>
      <c r="AS279" s="68" t="n"/>
      <c r="AT279" s="68" t="n"/>
      <c r="AU279" s="68" t="n"/>
      <c r="AV279" s="68" t="n"/>
      <c r="AW279" s="68" t="n"/>
      <c r="AX279" s="68" t="n"/>
      <c r="AY279" s="68" t="n"/>
      <c r="AZ279" s="68" t="n"/>
      <c r="BA279" s="68" t="n"/>
      <c r="BB279" s="68" t="n"/>
      <c r="BC279" s="68" t="n"/>
      <c r="BD279" s="68" t="n"/>
      <c r="BE279" s="68" t="n"/>
      <c r="BF279" s="68" t="n"/>
      <c r="BG279" s="68" t="n"/>
      <c r="BH279" s="68" t="n"/>
      <c r="BI279" s="68" t="n"/>
      <c r="BJ279" s="68" t="n"/>
      <c r="BK279" s="68" t="n"/>
      <c r="BL279" s="68" t="n"/>
      <c r="BM279" s="68" t="n"/>
      <c r="BN279" s="68" t="n"/>
      <c r="BO279" s="68" t="n"/>
      <c r="BP279" s="68" t="n"/>
    </row>
    <row r="280" ht="16" customFormat="1" customHeight="1" s="68">
      <c r="A280" s="206" t="n">
        <v>2603</v>
      </c>
      <c r="B280" s="164" t="n">
        <v>46086</v>
      </c>
      <c r="C280" s="161" t="inlineStr">
        <is>
          <t>hkp3042-sj</t>
        </is>
      </c>
      <c r="D280" s="145" t="inlineStr">
        <is>
          <t>강일섬유</t>
        </is>
      </c>
      <c r="E280" s="4" t="inlineStr">
        <is>
          <t>풍아산업</t>
        </is>
      </c>
      <c r="F280" s="5" t="inlineStr">
        <is>
          <t>tape</t>
        </is>
      </c>
      <c r="G280" s="4" t="inlineStr">
        <is>
          <t>실론</t>
        </is>
      </c>
      <c r="H280" s="66" t="inlineStr">
        <is>
          <t>HPK3042-SJ</t>
        </is>
      </c>
      <c r="I280" s="66" t="n"/>
      <c r="J280" s="66" t="n"/>
      <c r="K280" s="67" t="n"/>
      <c r="L280" s="166" t="n">
        <v>12</v>
      </c>
      <c r="M280" s="167" t="n">
        <v>210</v>
      </c>
      <c r="N280" s="168" t="n"/>
      <c r="O280" s="169" t="n"/>
      <c r="P280" s="170" t="n"/>
      <c r="Q280" s="171" t="n"/>
      <c r="R280" s="172" t="n">
        <v>3800</v>
      </c>
      <c r="S280" s="172">
        <f>M280*R280</f>
        <v/>
      </c>
      <c r="T280" s="173" t="n"/>
      <c r="U280" s="174" t="n"/>
      <c r="V280" s="175" t="n"/>
      <c r="W280" s="176" t="n"/>
      <c r="X280" s="172" t="n"/>
      <c r="Y280" s="22" t="inlineStr">
        <is>
          <t>편직</t>
        </is>
      </c>
      <c r="Z280" s="177">
        <f>W280-S280-Q280</f>
        <v/>
      </c>
      <c r="AA280" s="0" t="n"/>
      <c r="AB280" s="0" t="n"/>
      <c r="AC280" s="0" t="n"/>
      <c r="AD280" s="0" t="n"/>
      <c r="AE280" s="0" t="n"/>
      <c r="AF280" s="0" t="n"/>
      <c r="AG280" s="0" t="n"/>
      <c r="AH280" s="0" t="n"/>
      <c r="AI280" s="0" t="n"/>
      <c r="AJ280" s="0" t="n"/>
      <c r="AK280" s="0" t="n"/>
      <c r="AL280" s="0" t="n"/>
      <c r="AM280" s="0" t="n"/>
      <c r="AN280" s="0" t="n"/>
      <c r="AO280" s="0" t="n"/>
      <c r="AP280" s="0" t="n"/>
      <c r="AQ280" s="0" t="n"/>
      <c r="AR280" s="0" t="n"/>
      <c r="AS280" s="0" t="n"/>
      <c r="AT280" s="0" t="n"/>
      <c r="AU280" s="0" t="n"/>
      <c r="AV280" s="0" t="n"/>
      <c r="AW280" s="0" t="n"/>
      <c r="AX280" s="0" t="n"/>
      <c r="AY280" s="0" t="n"/>
      <c r="AZ280" s="0" t="n"/>
      <c r="BA280" s="0" t="n"/>
      <c r="BB280" s="0" t="n"/>
      <c r="BC280" s="0" t="n"/>
      <c r="BD280" s="0" t="n"/>
      <c r="BE280" s="0" t="n"/>
      <c r="BF280" s="0" t="n"/>
      <c r="BG280" s="0" t="n"/>
      <c r="BH280" s="0" t="n"/>
      <c r="BI280" s="0" t="n"/>
      <c r="BJ280" s="0" t="n"/>
      <c r="BK280" s="0" t="n"/>
      <c r="BL280" s="0" t="n"/>
      <c r="BM280" s="0" t="n"/>
      <c r="BN280" s="0" t="n"/>
      <c r="BO280" s="0" t="n"/>
      <c r="BP280" s="0" t="n"/>
    </row>
    <row r="281" ht="16" customFormat="1" customHeight="1" s="68">
      <c r="A281" s="206" t="n">
        <v>2603</v>
      </c>
      <c r="B281" s="164" t="n">
        <v>46084</v>
      </c>
      <c r="C281" s="161" t="inlineStr">
        <is>
          <t>hpK3042-sj</t>
        </is>
      </c>
      <c r="D281" s="145" t="inlineStr">
        <is>
          <t>강일섬유</t>
        </is>
      </c>
      <c r="E281" s="4" t="inlineStr">
        <is>
          <t>풍아산업</t>
        </is>
      </c>
      <c r="F281" s="5" t="inlineStr">
        <is>
          <t>tape</t>
        </is>
      </c>
      <c r="G281" s="4" t="inlineStr">
        <is>
          <t>실론</t>
        </is>
      </c>
      <c r="H281" s="66" t="inlineStr">
        <is>
          <t>HPK3042-SJ</t>
        </is>
      </c>
      <c r="I281" s="66" t="n"/>
      <c r="J281" s="66" t="n"/>
      <c r="K281" s="121" t="n"/>
      <c r="L281" s="166" t="n">
        <v>14</v>
      </c>
      <c r="M281" s="167" t="n">
        <v>245</v>
      </c>
      <c r="N281" s="168" t="n"/>
      <c r="O281" s="169" t="n"/>
      <c r="P281" s="170" t="n"/>
      <c r="Q281" s="171" t="n"/>
      <c r="R281" s="172" t="n">
        <v>3800</v>
      </c>
      <c r="S281" s="172">
        <f>M281*R281</f>
        <v/>
      </c>
      <c r="T281" s="173" t="n"/>
      <c r="U281" s="174" t="n"/>
      <c r="V281" s="175" t="n"/>
      <c r="W281" s="176" t="n"/>
      <c r="X281" s="172" t="n"/>
      <c r="Y281" s="22" t="inlineStr">
        <is>
          <t>편직</t>
        </is>
      </c>
      <c r="Z281" s="177">
        <f>W281-S281-Q281</f>
        <v/>
      </c>
      <c r="AA281" s="0" t="n"/>
      <c r="AB281" s="0" t="n"/>
      <c r="AC281" s="0" t="n"/>
      <c r="AD281" s="0" t="n"/>
      <c r="AE281" s="0" t="n"/>
      <c r="AF281" s="0" t="n"/>
      <c r="AG281" s="0" t="n"/>
      <c r="AH281" s="0" t="n"/>
      <c r="AI281" s="0" t="n"/>
      <c r="AJ281" s="0" t="n"/>
      <c r="AK281" s="0" t="n"/>
      <c r="AL281" s="0" t="n"/>
      <c r="AM281" s="0" t="n"/>
      <c r="AN281" s="0" t="n"/>
      <c r="AO281" s="0" t="n"/>
      <c r="AP281" s="0" t="n"/>
      <c r="AQ281" s="0" t="n"/>
      <c r="AR281" s="0" t="n"/>
      <c r="AS281" s="0" t="n"/>
      <c r="AT281" s="0" t="n"/>
      <c r="AU281" s="0" t="n"/>
      <c r="AV281" s="0" t="n"/>
      <c r="AW281" s="0" t="n"/>
      <c r="AX281" s="0" t="n"/>
      <c r="AY281" s="0" t="n"/>
      <c r="AZ281" s="0" t="n"/>
      <c r="BA281" s="0" t="n"/>
      <c r="BB281" s="0" t="n"/>
      <c r="BC281" s="0" t="n"/>
      <c r="BD281" s="0" t="n"/>
      <c r="BE281" s="0" t="n"/>
      <c r="BF281" s="0" t="n"/>
      <c r="BG281" s="0" t="n"/>
      <c r="BH281" s="0" t="n"/>
      <c r="BI281" s="0" t="n"/>
      <c r="BJ281" s="0" t="n"/>
      <c r="BK281" s="0" t="n"/>
      <c r="BL281" s="0" t="n"/>
      <c r="BM281" s="0" t="n"/>
      <c r="BN281" s="0" t="n"/>
      <c r="BO281" s="0" t="n"/>
      <c r="BP281" s="0" t="n"/>
    </row>
    <row r="282" ht="16" customFormat="1" customHeight="1" s="68">
      <c r="A282" s="206" t="n">
        <v>2603</v>
      </c>
      <c r="B282" s="164" t="n">
        <v>46087</v>
      </c>
      <c r="C282" s="161" t="inlineStr">
        <is>
          <t>HPK3042-SJ</t>
        </is>
      </c>
      <c r="D282" s="145" t="inlineStr">
        <is>
          <t>강일섬유</t>
        </is>
      </c>
      <c r="E282" s="4" t="inlineStr">
        <is>
          <t>풍아산업</t>
        </is>
      </c>
      <c r="F282" s="5" t="inlineStr">
        <is>
          <t>tape</t>
        </is>
      </c>
      <c r="G282" s="4" t="inlineStr">
        <is>
          <t>실론</t>
        </is>
      </c>
      <c r="H282" s="66" t="inlineStr">
        <is>
          <t>HPK3042-SJ</t>
        </is>
      </c>
      <c r="I282" s="66" t="n"/>
      <c r="J282" s="66" t="n"/>
      <c r="K282" s="121" t="n"/>
      <c r="L282" s="166" t="n">
        <v>6</v>
      </c>
      <c r="M282" s="167" t="n">
        <v>105</v>
      </c>
      <c r="N282" s="168" t="n"/>
      <c r="O282" s="169" t="n"/>
      <c r="P282" s="170" t="n"/>
      <c r="Q282" s="171" t="n"/>
      <c r="R282" s="172" t="n">
        <v>3800</v>
      </c>
      <c r="S282" s="172">
        <f>M282*R282</f>
        <v/>
      </c>
      <c r="T282" s="173" t="n"/>
      <c r="U282" s="174" t="n"/>
      <c r="V282" s="175" t="n"/>
      <c r="W282" s="176" t="n"/>
      <c r="X282" s="172" t="n"/>
      <c r="Y282" s="22" t="inlineStr">
        <is>
          <t>편직</t>
        </is>
      </c>
      <c r="Z282" s="177">
        <f>W282-S282-Q282</f>
        <v/>
      </c>
      <c r="AA282" s="0" t="n"/>
      <c r="AB282" s="0" t="n"/>
      <c r="AC282" s="0" t="n"/>
      <c r="AD282" s="0" t="n"/>
      <c r="AE282" s="0" t="n"/>
      <c r="AF282" s="0" t="n"/>
      <c r="AG282" s="0" t="n"/>
      <c r="AH282" s="0" t="n"/>
      <c r="AI282" s="0" t="n"/>
      <c r="AJ282" s="0" t="n"/>
      <c r="AK282" s="0" t="n"/>
      <c r="AL282" s="0" t="n"/>
      <c r="AM282" s="0" t="n"/>
      <c r="AN282" s="0" t="n"/>
      <c r="AO282" s="0" t="n"/>
      <c r="AP282" s="0" t="n"/>
      <c r="AQ282" s="0" t="n"/>
      <c r="AR282" s="0" t="n"/>
      <c r="AS282" s="0" t="n"/>
      <c r="AT282" s="0" t="n"/>
      <c r="AU282" s="0" t="n"/>
      <c r="AV282" s="0" t="n"/>
      <c r="AW282" s="0" t="n"/>
      <c r="AX282" s="0" t="n"/>
      <c r="AY282" s="0" t="n"/>
      <c r="AZ282" s="0" t="n"/>
      <c r="BA282" s="0" t="n"/>
      <c r="BB282" s="0" t="n"/>
      <c r="BC282" s="0" t="n"/>
      <c r="BD282" s="0" t="n"/>
      <c r="BE282" s="0" t="n"/>
      <c r="BF282" s="0" t="n"/>
      <c r="BG282" s="0" t="n"/>
      <c r="BH282" s="0" t="n"/>
      <c r="BI282" s="0" t="n"/>
      <c r="BJ282" s="0" t="n"/>
      <c r="BK282" s="0" t="n"/>
      <c r="BL282" s="0" t="n"/>
      <c r="BM282" s="0" t="n"/>
      <c r="BN282" s="0" t="n"/>
      <c r="BO282" s="0" t="n"/>
      <c r="BP282" s="0" t="n"/>
    </row>
    <row r="283" ht="16" customFormat="1" customHeight="1" s="68">
      <c r="A283" s="206" t="n">
        <v>2603</v>
      </c>
      <c r="B283" s="164" t="n">
        <v>46094</v>
      </c>
      <c r="C283" s="161" t="inlineStr">
        <is>
          <t>HPK3042-SJ</t>
        </is>
      </c>
      <c r="D283" s="145" t="inlineStr">
        <is>
          <t>강일섬유</t>
        </is>
      </c>
      <c r="E283" s="4" t="inlineStr">
        <is>
          <t>풍아산업</t>
        </is>
      </c>
      <c r="F283" s="5" t="inlineStr">
        <is>
          <t>tape</t>
        </is>
      </c>
      <c r="G283" s="4" t="inlineStr">
        <is>
          <t>실론</t>
        </is>
      </c>
      <c r="H283" s="66" t="inlineStr">
        <is>
          <t>HPK3042-SJ</t>
        </is>
      </c>
      <c r="I283" s="66" t="n"/>
      <c r="J283" s="66" t="n"/>
      <c r="K283" s="121" t="n"/>
      <c r="L283" s="166" t="n">
        <v>12</v>
      </c>
      <c r="M283" s="167" t="n">
        <v>210</v>
      </c>
      <c r="N283" s="168" t="n"/>
      <c r="O283" s="169" t="n"/>
      <c r="P283" s="170" t="n"/>
      <c r="Q283" s="171" t="n"/>
      <c r="R283" s="172" t="n">
        <v>3800</v>
      </c>
      <c r="S283" s="172">
        <f>M283*R283</f>
        <v/>
      </c>
      <c r="T283" s="173" t="n"/>
      <c r="U283" s="174" t="n"/>
      <c r="V283" s="175" t="n"/>
      <c r="W283" s="176" t="n"/>
      <c r="X283" s="172" t="n"/>
      <c r="Y283" s="22" t="inlineStr">
        <is>
          <t>편직</t>
        </is>
      </c>
      <c r="Z283" s="177">
        <f>W283-S283-Q283</f>
        <v/>
      </c>
      <c r="AA283" s="0" t="n"/>
      <c r="AB283" s="0" t="n"/>
      <c r="AC283" s="0" t="n"/>
      <c r="AD283" s="0" t="n"/>
      <c r="AE283" s="0" t="n"/>
      <c r="AF283" s="0" t="n"/>
      <c r="AG283" s="0" t="n"/>
      <c r="AH283" s="0" t="n"/>
      <c r="AI283" s="0" t="n"/>
      <c r="AJ283" s="0" t="n"/>
      <c r="AK283" s="0" t="n"/>
      <c r="AL283" s="0" t="n"/>
      <c r="AM283" s="0" t="n"/>
      <c r="AN283" s="0" t="n"/>
      <c r="AO283" s="0" t="n"/>
      <c r="AP283" s="0" t="n"/>
      <c r="AQ283" s="0" t="n"/>
      <c r="AR283" s="0" t="n"/>
      <c r="AS283" s="0" t="n"/>
      <c r="AT283" s="0" t="n"/>
      <c r="AU283" s="0" t="n"/>
      <c r="AV283" s="0" t="n"/>
      <c r="AW283" s="0" t="n"/>
      <c r="AX283" s="0" t="n"/>
      <c r="AY283" s="0" t="n"/>
      <c r="AZ283" s="0" t="n"/>
      <c r="BA283" s="0" t="n"/>
      <c r="BB283" s="0" t="n"/>
      <c r="BC283" s="0" t="n"/>
      <c r="BD283" s="0" t="n"/>
      <c r="BE283" s="0" t="n"/>
      <c r="BF283" s="0" t="n"/>
      <c r="BG283" s="0" t="n"/>
      <c r="BH283" s="0" t="n"/>
      <c r="BI283" s="0" t="n"/>
      <c r="BJ283" s="0" t="n"/>
      <c r="BK283" s="0" t="n"/>
      <c r="BL283" s="0" t="n"/>
      <c r="BM283" s="0" t="n"/>
      <c r="BN283" s="0" t="n"/>
      <c r="BO283" s="0" t="n"/>
      <c r="BP283" s="0" t="n"/>
    </row>
    <row r="284" ht="16" customFormat="1" customHeight="1" s="68">
      <c r="A284" s="206" t="n">
        <v>2603</v>
      </c>
      <c r="B284" s="164" t="n">
        <v>46100</v>
      </c>
      <c r="C284" s="161" t="inlineStr">
        <is>
          <t>HPK3042-SJ</t>
        </is>
      </c>
      <c r="D284" s="145" t="inlineStr">
        <is>
          <t>강일섬유</t>
        </is>
      </c>
      <c r="E284" s="4" t="inlineStr">
        <is>
          <t>풍아산업</t>
        </is>
      </c>
      <c r="F284" s="5" t="inlineStr">
        <is>
          <t>tape</t>
        </is>
      </c>
      <c r="G284" s="4" t="inlineStr">
        <is>
          <t>실론</t>
        </is>
      </c>
      <c r="H284" s="66" t="inlineStr">
        <is>
          <t>HPK3042-SJ</t>
        </is>
      </c>
      <c r="I284" s="66" t="n"/>
      <c r="J284" s="66" t="n"/>
      <c r="K284" s="121" t="n"/>
      <c r="L284" s="166" t="n">
        <v>12</v>
      </c>
      <c r="M284" s="167" t="n">
        <v>210</v>
      </c>
      <c r="N284" s="168" t="n"/>
      <c r="O284" s="169" t="n"/>
      <c r="P284" s="170" t="n"/>
      <c r="Q284" s="171" t="n"/>
      <c r="R284" s="172" t="n">
        <v>3800</v>
      </c>
      <c r="S284" s="172">
        <f>M284*R284</f>
        <v/>
      </c>
      <c r="T284" s="173" t="n"/>
      <c r="U284" s="174" t="n"/>
      <c r="V284" s="175" t="n"/>
      <c r="W284" s="176" t="n"/>
      <c r="X284" s="172" t="n"/>
      <c r="Y284" s="22" t="inlineStr">
        <is>
          <t>편직</t>
        </is>
      </c>
      <c r="Z284" s="177">
        <f>W284-S284-Q284</f>
        <v/>
      </c>
      <c r="AA284" s="0" t="n"/>
      <c r="AB284" s="0" t="n"/>
      <c r="AC284" s="0" t="n"/>
      <c r="AD284" s="0" t="n"/>
      <c r="AE284" s="0" t="n"/>
      <c r="AF284" s="0" t="n"/>
      <c r="AG284" s="0" t="n"/>
      <c r="AH284" s="0" t="n"/>
      <c r="AI284" s="0" t="n"/>
      <c r="AJ284" s="0" t="n"/>
      <c r="AK284" s="0" t="n"/>
      <c r="AL284" s="0" t="n"/>
      <c r="AM284" s="0" t="n"/>
      <c r="AN284" s="0" t="n"/>
      <c r="AO284" s="0" t="n"/>
      <c r="AP284" s="0" t="n"/>
      <c r="AQ284" s="0" t="n"/>
      <c r="AR284" s="0" t="n"/>
      <c r="AS284" s="0" t="n"/>
      <c r="AT284" s="0" t="n"/>
      <c r="AU284" s="0" t="n"/>
      <c r="AV284" s="0" t="n"/>
      <c r="AW284" s="0" t="n"/>
      <c r="AX284" s="0" t="n"/>
      <c r="AY284" s="0" t="n"/>
      <c r="AZ284" s="0" t="n"/>
      <c r="BA284" s="0" t="n"/>
      <c r="BB284" s="0" t="n"/>
      <c r="BC284" s="0" t="n"/>
      <c r="BD284" s="0" t="n"/>
      <c r="BE284" s="0" t="n"/>
      <c r="BF284" s="0" t="n"/>
      <c r="BG284" s="0" t="n"/>
      <c r="BH284" s="0" t="n"/>
      <c r="BI284" s="0" t="n"/>
      <c r="BJ284" s="0" t="n"/>
      <c r="BK284" s="0" t="n"/>
      <c r="BL284" s="0" t="n"/>
      <c r="BM284" s="0" t="n"/>
      <c r="BN284" s="0" t="n"/>
      <c r="BO284" s="0" t="n"/>
      <c r="BP284" s="0" t="n"/>
    </row>
    <row r="285" ht="16" customFormat="1" customHeight="1" s="68">
      <c r="A285" s="206" t="n">
        <v>2603</v>
      </c>
      <c r="B285" s="164" t="n">
        <v>46106</v>
      </c>
      <c r="C285" s="161" t="inlineStr">
        <is>
          <t>hpk3042-sj</t>
        </is>
      </c>
      <c r="D285" s="145" t="inlineStr">
        <is>
          <t>강일섬유</t>
        </is>
      </c>
      <c r="E285" s="4" t="inlineStr">
        <is>
          <t>풍아산업</t>
        </is>
      </c>
      <c r="F285" s="5" t="inlineStr">
        <is>
          <t>tape</t>
        </is>
      </c>
      <c r="G285" s="4" t="inlineStr">
        <is>
          <t>실론</t>
        </is>
      </c>
      <c r="H285" s="66" t="inlineStr">
        <is>
          <t>HPK3042-SJ</t>
        </is>
      </c>
      <c r="I285" s="66" t="n"/>
      <c r="J285" s="66" t="n"/>
      <c r="K285" s="121" t="n"/>
      <c r="L285" s="166" t="n">
        <v>6</v>
      </c>
      <c r="M285" s="167" t="n">
        <v>105</v>
      </c>
      <c r="N285" s="168" t="n"/>
      <c r="O285" s="169" t="n"/>
      <c r="P285" s="170" t="n"/>
      <c r="Q285" s="171" t="n"/>
      <c r="R285" s="172" t="n">
        <v>3800</v>
      </c>
      <c r="S285" s="172">
        <f>M285*R285</f>
        <v/>
      </c>
      <c r="T285" s="173" t="n"/>
      <c r="U285" s="174" t="n"/>
      <c r="V285" s="175" t="n"/>
      <c r="W285" s="176" t="n"/>
      <c r="X285" s="172" t="n"/>
      <c r="Y285" s="22" t="inlineStr">
        <is>
          <t>편직</t>
        </is>
      </c>
      <c r="Z285" s="177">
        <f>W285-S285-Q285</f>
        <v/>
      </c>
      <c r="AA285" s="0" t="n"/>
      <c r="AB285" s="0" t="n"/>
      <c r="AC285" s="0" t="n"/>
      <c r="AD285" s="0" t="n"/>
      <c r="AE285" s="0" t="n"/>
      <c r="AF285" s="0" t="n"/>
      <c r="AG285" s="0" t="n"/>
      <c r="AH285" s="0" t="n"/>
      <c r="AI285" s="0" t="n"/>
      <c r="AJ285" s="0" t="n"/>
      <c r="AK285" s="0" t="n"/>
      <c r="AL285" s="0" t="n"/>
      <c r="AM285" s="0" t="n"/>
      <c r="AN285" s="0" t="n"/>
      <c r="AO285" s="0" t="n"/>
      <c r="AP285" s="0" t="n"/>
      <c r="AQ285" s="0" t="n"/>
      <c r="AR285" s="0" t="n"/>
      <c r="AS285" s="0" t="n"/>
      <c r="AT285" s="0" t="n"/>
      <c r="AU285" s="0" t="n"/>
      <c r="AV285" s="0" t="n"/>
      <c r="AW285" s="0" t="n"/>
      <c r="AX285" s="0" t="n"/>
      <c r="AY285" s="0" t="n"/>
      <c r="AZ285" s="0" t="n"/>
      <c r="BA285" s="0" t="n"/>
      <c r="BB285" s="0" t="n"/>
      <c r="BC285" s="0" t="n"/>
      <c r="BD285" s="0" t="n"/>
      <c r="BE285" s="0" t="n"/>
      <c r="BF285" s="0" t="n"/>
      <c r="BG285" s="0" t="n"/>
      <c r="BH285" s="0" t="n"/>
      <c r="BI285" s="0" t="n"/>
      <c r="BJ285" s="0" t="n"/>
      <c r="BK285" s="0" t="n"/>
      <c r="BL285" s="0" t="n"/>
      <c r="BM285" s="0" t="n"/>
      <c r="BN285" s="0" t="n"/>
      <c r="BO285" s="0" t="n"/>
      <c r="BP285" s="0" t="n"/>
    </row>
    <row r="286" ht="16" customFormat="1" customHeight="1" s="68">
      <c r="A286" s="206" t="n">
        <v>2603</v>
      </c>
      <c r="B286" s="207" t="n">
        <v>46090</v>
      </c>
      <c r="C286" s="159" t="inlineStr">
        <is>
          <t>N66 woven PTFE</t>
        </is>
      </c>
      <c r="D286" s="160" t="inlineStr">
        <is>
          <t>디케이티앤씨</t>
        </is>
      </c>
      <c r="E286" s="72" t="inlineStr">
        <is>
          <t xml:space="preserve">하이멜 </t>
        </is>
      </c>
      <c r="F286" s="73" t="inlineStr">
        <is>
          <t>tape</t>
        </is>
      </c>
      <c r="G286" s="72" t="inlineStr">
        <is>
          <t>하이멜</t>
        </is>
      </c>
      <c r="H286" s="74" t="inlineStr">
        <is>
          <t>N66 NY20D</t>
        </is>
      </c>
      <c r="I286" s="74" t="inlineStr">
        <is>
          <t>CHARCOAL/WHITE</t>
        </is>
      </c>
      <c r="J286" s="74" t="n"/>
      <c r="K286" s="85" t="n"/>
      <c r="L286" s="208" t="n"/>
      <c r="M286" s="209" t="n"/>
      <c r="N286" s="210" t="n"/>
      <c r="O286" s="211" t="n">
        <v>370</v>
      </c>
      <c r="P286" s="212" t="n"/>
      <c r="Q286" s="213" t="n"/>
      <c r="R286" s="215">
        <f>10.25*1470</f>
        <v/>
      </c>
      <c r="S286" s="215">
        <f>R286*O286</f>
        <v/>
      </c>
      <c r="T286" s="216" t="n">
        <v>12.5</v>
      </c>
      <c r="U286" s="217" t="n"/>
      <c r="V286" s="218">
        <f>12.5*1470</f>
        <v/>
      </c>
      <c r="W286" s="219">
        <f>V286*O286</f>
        <v/>
      </c>
      <c r="X286" s="215" t="inlineStr">
        <is>
          <t>매입:u$10.25/m,매출:u$12.50/m</t>
        </is>
      </c>
      <c r="Y286" s="134" t="inlineStr">
        <is>
          <t>가공</t>
        </is>
      </c>
      <c r="Z286" s="221">
        <f>W286-S286-Q286</f>
        <v/>
      </c>
    </row>
    <row r="287" ht="16" customFormat="1" customHeight="1" s="68">
      <c r="A287" s="206" t="n">
        <v>2603</v>
      </c>
      <c r="B287" s="207" t="n">
        <v>46087</v>
      </c>
      <c r="C287" s="159" t="inlineStr">
        <is>
          <t>20D PTR</t>
        </is>
      </c>
      <c r="D287" s="160" t="inlineStr">
        <is>
          <t>디케이티앤씨</t>
        </is>
      </c>
      <c r="E287" s="72" t="inlineStr">
        <is>
          <t xml:space="preserve">하이멜 </t>
        </is>
      </c>
      <c r="F287" s="73" t="inlineStr">
        <is>
          <t>tape</t>
        </is>
      </c>
      <c r="G287" s="72" t="inlineStr">
        <is>
          <t>하이멜</t>
        </is>
      </c>
      <c r="H287" s="74" t="inlineStr">
        <is>
          <t>20D PTR-SKIN</t>
        </is>
      </c>
      <c r="I287" s="74" t="inlineStr">
        <is>
          <t>BLACK/WHITE</t>
        </is>
      </c>
      <c r="J287" s="74" t="n"/>
      <c r="K287" s="85" t="n"/>
      <c r="L287" s="208" t="n">
        <v>1</v>
      </c>
      <c r="M287" s="209" t="n"/>
      <c r="N287" s="210" t="n"/>
      <c r="O287" s="211" t="n">
        <v>516</v>
      </c>
      <c r="P287" s="212" t="n"/>
      <c r="Q287" s="213" t="n"/>
      <c r="R287" s="215" t="inlineStr">
        <is>
          <t>단가확인</t>
        </is>
      </c>
      <c r="S287" s="215" t="n"/>
      <c r="T287" s="216" t="n"/>
      <c r="U287" s="217" t="n"/>
      <c r="V287" s="218" t="n">
        <v>3595</v>
      </c>
      <c r="W287" s="219">
        <f>O287*V287</f>
        <v/>
      </c>
      <c r="X287" s="215" t="n"/>
      <c r="Y287" s="134" t="inlineStr">
        <is>
          <t>가공</t>
        </is>
      </c>
      <c r="Z287" s="221">
        <f>W287-S287-Q287</f>
        <v/>
      </c>
    </row>
    <row r="288" ht="16" customFormat="1" customHeight="1" s="68">
      <c r="A288" s="206" t="n">
        <v>2603</v>
      </c>
      <c r="B288" s="207" t="n">
        <v>46105</v>
      </c>
      <c r="C288" s="159" t="inlineStr">
        <is>
          <t>20PTR</t>
        </is>
      </c>
      <c r="D288" s="160" t="inlineStr">
        <is>
          <t>디케이티앤씨</t>
        </is>
      </c>
      <c r="E288" s="72" t="inlineStr">
        <is>
          <t xml:space="preserve">하이멜 </t>
        </is>
      </c>
      <c r="F288" s="73" t="inlineStr">
        <is>
          <t>tape</t>
        </is>
      </c>
      <c r="G288" s="72" t="inlineStr">
        <is>
          <t>하이멜</t>
        </is>
      </c>
      <c r="H288" s="74" t="inlineStr">
        <is>
          <t>20D PTR-SKIN</t>
        </is>
      </c>
      <c r="I288" s="74" t="inlineStr">
        <is>
          <t>BLACK/CLEAR</t>
        </is>
      </c>
      <c r="J288" s="74" t="n"/>
      <c r="K288" s="85" t="n"/>
      <c r="L288" s="208" t="n"/>
      <c r="M288" s="209" t="n">
        <v>3</v>
      </c>
      <c r="N288" s="210" t="n"/>
      <c r="O288" s="211" t="n">
        <v>1849</v>
      </c>
      <c r="P288" s="212" t="n"/>
      <c r="Q288" s="213" t="n"/>
      <c r="R288" s="215" t="n">
        <v>1850</v>
      </c>
      <c r="S288" s="215">
        <f>O288*R288</f>
        <v/>
      </c>
      <c r="T288" s="216" t="n"/>
      <c r="U288" s="217" t="n"/>
      <c r="V288" s="218" t="n">
        <v>3595</v>
      </c>
      <c r="W288" s="219">
        <f>O288*V288</f>
        <v/>
      </c>
      <c r="X288" s="215" t="n"/>
      <c r="Y288" s="134" t="inlineStr">
        <is>
          <t>가공</t>
        </is>
      </c>
      <c r="Z288" s="221">
        <f>W288-S288-Q288</f>
        <v/>
      </c>
    </row>
    <row r="289" ht="16" customFormat="1" customHeight="1" s="68">
      <c r="A289" s="206" t="n">
        <v>2603</v>
      </c>
      <c r="B289" s="207" t="n">
        <v>46112</v>
      </c>
      <c r="C289" s="159" t="inlineStr">
        <is>
          <t>뷰티-XO</t>
        </is>
      </c>
      <c r="D289" s="160" t="inlineStr">
        <is>
          <t>에스티</t>
        </is>
      </c>
      <c r="E289" s="72" t="inlineStr">
        <is>
          <t>한국윈텍</t>
        </is>
      </c>
      <c r="F289" s="73" t="inlineStr">
        <is>
          <t>blind</t>
        </is>
      </c>
      <c r="G289" s="72" t="inlineStr">
        <is>
          <t>한국윈텍</t>
        </is>
      </c>
      <c r="H289" s="74" t="inlineStr">
        <is>
          <t>VIEWTY XO</t>
        </is>
      </c>
      <c r="I289" s="74" t="n"/>
      <c r="J289" s="74" t="n"/>
      <c r="K289" s="85" t="n"/>
      <c r="L289" s="208" t="n"/>
      <c r="M289" s="209" t="n"/>
      <c r="N289" s="210" t="n"/>
      <c r="O289" s="211" t="n">
        <v>-66</v>
      </c>
      <c r="P289" s="212" t="n"/>
      <c r="Q289" s="213" t="n"/>
      <c r="R289" s="215" t="inlineStr">
        <is>
          <t>반품</t>
        </is>
      </c>
      <c r="S289" s="215" t="n"/>
      <c r="T289" s="216" t="n"/>
      <c r="U289" s="217" t="n"/>
      <c r="V289" s="218" t="n">
        <v>2450</v>
      </c>
      <c r="W289" s="219">
        <f>O289*V289</f>
        <v/>
      </c>
      <c r="X289" s="215" t="n"/>
      <c r="Y289" s="134" t="inlineStr">
        <is>
          <t>제직</t>
        </is>
      </c>
      <c r="Z289" s="221">
        <f>W289-S289-Q289</f>
        <v/>
      </c>
    </row>
    <row r="290" ht="16" customFormat="1" customHeight="1" s="68">
      <c r="A290" s="206" t="n">
        <v>2603</v>
      </c>
      <c r="B290" s="207" t="n">
        <v>46106</v>
      </c>
      <c r="C290" s="159" t="inlineStr">
        <is>
          <t>뷰티-XO</t>
        </is>
      </c>
      <c r="D290" s="160" t="inlineStr">
        <is>
          <t>에스티</t>
        </is>
      </c>
      <c r="E290" s="72" t="inlineStr">
        <is>
          <t>한국윈텍</t>
        </is>
      </c>
      <c r="F290" s="73" t="inlineStr">
        <is>
          <t>blind</t>
        </is>
      </c>
      <c r="G290" s="72" t="inlineStr">
        <is>
          <t>한국윈텍</t>
        </is>
      </c>
      <c r="H290" s="74" t="inlineStr">
        <is>
          <t>HPV3-XO</t>
        </is>
      </c>
      <c r="I290" s="74" t="n"/>
      <c r="J290" s="74" t="n"/>
      <c r="K290" s="85" t="n"/>
      <c r="L290" s="208" t="n">
        <v>7</v>
      </c>
      <c r="M290" s="209" t="n"/>
      <c r="N290" s="210" t="n"/>
      <c r="O290" s="211" t="n">
        <v>4900</v>
      </c>
      <c r="P290" s="212" t="n"/>
      <c r="Q290" s="213" t="n"/>
      <c r="R290" s="215" t="n">
        <v>1470</v>
      </c>
      <c r="S290" s="215">
        <f>O290*R290</f>
        <v/>
      </c>
      <c r="T290" s="216" t="n"/>
      <c r="U290" s="217" t="n"/>
      <c r="V290" s="218" t="n">
        <v>2450</v>
      </c>
      <c r="W290" s="219">
        <f>O290*V290</f>
        <v/>
      </c>
      <c r="X290" s="215" t="n"/>
      <c r="Y290" s="134" t="inlineStr">
        <is>
          <t>편직</t>
        </is>
      </c>
      <c r="Z290" s="221">
        <f>W290-S290-Q290</f>
        <v/>
      </c>
    </row>
    <row r="291" ht="16" customFormat="1" customHeight="1" s="68">
      <c r="A291" s="206" t="n">
        <v>2603</v>
      </c>
      <c r="B291" s="207" t="n">
        <v>46106</v>
      </c>
      <c r="C291" s="159" t="inlineStr">
        <is>
          <t>뷰티600</t>
        </is>
      </c>
      <c r="D291" s="160" t="inlineStr">
        <is>
          <t>에스티</t>
        </is>
      </c>
      <c r="E291" s="72" t="inlineStr">
        <is>
          <t>한국윈텍</t>
        </is>
      </c>
      <c r="F291" s="73" t="inlineStr">
        <is>
          <t>blind</t>
        </is>
      </c>
      <c r="G291" s="72" t="inlineStr">
        <is>
          <t>한국윈텍</t>
        </is>
      </c>
      <c r="H291" s="74" t="inlineStr">
        <is>
          <t>VIEWTY 600D</t>
        </is>
      </c>
      <c r="I291" s="74" t="n"/>
      <c r="J291" s="74" t="n"/>
      <c r="K291" s="85" t="n"/>
      <c r="L291" s="208" t="n"/>
      <c r="M291" s="209" t="n"/>
      <c r="N291" s="210" t="n"/>
      <c r="O291" s="211" t="n">
        <v>4000</v>
      </c>
      <c r="P291" s="212" t="n"/>
      <c r="Q291" s="213" t="n"/>
      <c r="R291" s="215" t="n">
        <v>1230</v>
      </c>
      <c r="S291" s="215">
        <f>O291*R291</f>
        <v/>
      </c>
      <c r="T291" s="216" t="n"/>
      <c r="U291" s="217" t="n"/>
      <c r="V291" s="218" t="n">
        <v>1380</v>
      </c>
      <c r="W291" s="219">
        <f>O291*V291</f>
        <v/>
      </c>
      <c r="X291" s="215" t="n"/>
      <c r="Y291" s="134" t="inlineStr">
        <is>
          <t>편직</t>
        </is>
      </c>
      <c r="Z291" s="221">
        <f>W291-S291-Q291</f>
        <v/>
      </c>
    </row>
    <row r="292" ht="16" customFormat="1" customHeight="1" s="68">
      <c r="A292" s="206" t="n">
        <v>2603</v>
      </c>
      <c r="B292" s="207" t="n">
        <v>46108</v>
      </c>
      <c r="C292" s="159" t="inlineStr">
        <is>
          <t>원사판매</t>
        </is>
      </c>
      <c r="D292" s="160" t="inlineStr">
        <is>
          <t>승진섬유</t>
        </is>
      </c>
      <c r="E292" s="72" t="inlineStr">
        <is>
          <t>인터마루</t>
        </is>
      </c>
      <c r="F292" s="73" t="inlineStr">
        <is>
          <t>cleaner</t>
        </is>
      </c>
      <c r="G292" s="72" t="inlineStr">
        <is>
          <t>인터마루</t>
        </is>
      </c>
      <c r="H292" s="74" t="inlineStr">
        <is>
          <t>P150d 3합</t>
        </is>
      </c>
      <c r="I292" s="74" t="n"/>
      <c r="J292" s="74" t="n"/>
      <c r="K292" s="85" t="n"/>
      <c r="L292" s="208" t="n"/>
      <c r="M292" s="209" t="n">
        <v>106</v>
      </c>
      <c r="N292" s="210" t="n"/>
      <c r="O292" s="211" t="n"/>
      <c r="P292" s="212" t="n"/>
      <c r="Q292" s="213" t="n"/>
      <c r="R292" s="215" t="n">
        <v>1000</v>
      </c>
      <c r="S292" s="215">
        <f>M292*R292</f>
        <v/>
      </c>
      <c r="T292" s="216" t="n"/>
      <c r="U292" s="217" t="n"/>
      <c r="V292" s="218" t="n">
        <v>4050</v>
      </c>
      <c r="W292" s="219">
        <f>M292*V292</f>
        <v/>
      </c>
      <c r="X292" s="215" t="n"/>
      <c r="Y292" s="134" t="inlineStr">
        <is>
          <t>연사</t>
        </is>
      </c>
      <c r="Z292" s="221">
        <f>W292-S292-Q292</f>
        <v/>
      </c>
    </row>
    <row r="293" ht="16" customFormat="1" customHeight="1" s="68">
      <c r="A293" s="206" t="n">
        <v>2603</v>
      </c>
      <c r="B293" s="207" t="n">
        <v>46108</v>
      </c>
      <c r="C293" s="159" t="inlineStr">
        <is>
          <t>원사판매</t>
        </is>
      </c>
      <c r="D293" s="160" t="inlineStr">
        <is>
          <t>안국섬유</t>
        </is>
      </c>
      <c r="E293" s="72" t="inlineStr">
        <is>
          <t>인터마루</t>
        </is>
      </c>
      <c r="F293" s="73" t="inlineStr">
        <is>
          <t>cleaner</t>
        </is>
      </c>
      <c r="G293" s="72" t="inlineStr">
        <is>
          <t>인터마루</t>
        </is>
      </c>
      <c r="H293" s="74" t="inlineStr">
        <is>
          <t>NP150d 3합</t>
        </is>
      </c>
      <c r="I293" s="74" t="n"/>
      <c r="J293" s="74" t="n"/>
      <c r="K293" s="85" t="n"/>
      <c r="L293" s="208" t="n"/>
      <c r="M293" s="209" t="n">
        <v>520.3</v>
      </c>
      <c r="N293" s="210" t="n"/>
      <c r="O293" s="211" t="n"/>
      <c r="P293" s="212" t="n"/>
      <c r="Q293" s="213" t="n"/>
      <c r="R293" s="215" t="n">
        <v>1050</v>
      </c>
      <c r="S293" s="215">
        <f>M293*R293</f>
        <v/>
      </c>
      <c r="T293" s="216" t="n"/>
      <c r="U293" s="217" t="n"/>
      <c r="V293" s="218" t="n">
        <v>4950</v>
      </c>
      <c r="W293" s="219">
        <f>M293*V293</f>
        <v/>
      </c>
      <c r="X293" s="215" t="n"/>
      <c r="Y293" s="134" t="inlineStr">
        <is>
          <t>연사</t>
        </is>
      </c>
      <c r="Z293" s="221">
        <f>W293-S293-Q293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Darren Choi</dc:creator>
  <dcterms:created xsi:type="dcterms:W3CDTF">2026-03-13T08:52:05Z</dcterms:created>
  <dcterms:modified xsi:type="dcterms:W3CDTF">2026-03-27T08:58:34Z</dcterms:modified>
  <cp:lastModifiedBy>Darren Choi</cp:lastModifiedBy>
</cp:coreProperties>
</file>