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EB93CBF-7C21-4327-95AA-414CBD9DB917}" xr6:coauthVersionLast="47" xr6:coauthVersionMax="47" xr10:uidLastSave="{00000000-0000-0000-0000-000000000000}"/>
  <bookViews>
    <workbookView xWindow="-110" yWindow="-110" windowWidth="38620" windowHeight="21100" xr2:uid="{B7691AC0-E915-4F0E-9CE9-9B2A9E9A318B}"/>
  </bookViews>
  <sheets>
    <sheet name="입출고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3" i="1" l="1"/>
  <c r="Z293" i="1" s="1"/>
  <c r="S293" i="1"/>
  <c r="W292" i="1"/>
  <c r="Z292" i="1" s="1"/>
  <c r="S292" i="1"/>
  <c r="W291" i="1"/>
  <c r="Z291" i="1" s="1"/>
  <c r="S291" i="1"/>
  <c r="W290" i="1"/>
  <c r="Z290" i="1" s="1"/>
  <c r="S290" i="1"/>
  <c r="W289" i="1"/>
  <c r="Z289" i="1" s="1"/>
  <c r="W288" i="1"/>
  <c r="Z288" i="1" s="1"/>
  <c r="S288" i="1"/>
  <c r="W287" i="1"/>
  <c r="Z287" i="1" s="1"/>
  <c r="V286" i="1"/>
  <c r="W286" i="1" s="1"/>
  <c r="Z286" i="1" s="1"/>
  <c r="R286" i="1"/>
  <c r="S286" i="1" s="1"/>
  <c r="S285" i="1"/>
  <c r="Z285" i="1" s="1"/>
  <c r="S284" i="1"/>
  <c r="Z284" i="1" s="1"/>
  <c r="S283" i="1"/>
  <c r="Z283" i="1" s="1"/>
  <c r="Z282" i="1"/>
  <c r="S282" i="1"/>
  <c r="S281" i="1"/>
  <c r="Z281" i="1" s="1"/>
  <c r="S280" i="1"/>
  <c r="Z280" i="1" s="1"/>
  <c r="W279" i="1"/>
  <c r="Z279" i="1" s="1"/>
  <c r="S279" i="1"/>
  <c r="W278" i="1"/>
  <c r="Z278" i="1" s="1"/>
  <c r="S278" i="1"/>
  <c r="W277" i="1"/>
  <c r="Z277" i="1" s="1"/>
  <c r="S277" i="1"/>
  <c r="W276" i="1"/>
  <c r="Z276" i="1" s="1"/>
  <c r="S276" i="1"/>
  <c r="W275" i="1"/>
  <c r="Z275" i="1" s="1"/>
  <c r="S275" i="1"/>
  <c r="W274" i="1"/>
  <c r="Z274" i="1" s="1"/>
  <c r="S274" i="1"/>
  <c r="W273" i="1"/>
  <c r="Z273" i="1" s="1"/>
  <c r="S273" i="1"/>
  <c r="W272" i="1"/>
  <c r="Z272" i="1" s="1"/>
  <c r="S272" i="1"/>
  <c r="W271" i="1"/>
  <c r="Z271" i="1" s="1"/>
  <c r="S271" i="1"/>
  <c r="W270" i="1"/>
  <c r="Z270" i="1" s="1"/>
  <c r="S270" i="1"/>
  <c r="W269" i="1"/>
  <c r="Z269" i="1" s="1"/>
  <c r="S269" i="1"/>
  <c r="W268" i="1"/>
  <c r="Z268" i="1" s="1"/>
  <c r="S268" i="1"/>
  <c r="W267" i="1"/>
  <c r="Z267" i="1" s="1"/>
  <c r="S267" i="1"/>
  <c r="W266" i="1"/>
  <c r="Z266" i="1" s="1"/>
  <c r="S266" i="1"/>
  <c r="W265" i="1"/>
  <c r="Z265" i="1" s="1"/>
  <c r="S265" i="1"/>
  <c r="W264" i="1"/>
  <c r="Z264" i="1" s="1"/>
  <c r="S264" i="1"/>
  <c r="W263" i="1"/>
  <c r="Z263" i="1" s="1"/>
  <c r="S263" i="1"/>
  <c r="W262" i="1"/>
  <c r="Z262" i="1" s="1"/>
  <c r="S262" i="1"/>
  <c r="W261" i="1"/>
  <c r="Z261" i="1" s="1"/>
  <c r="S261" i="1"/>
  <c r="W260" i="1"/>
  <c r="Z260" i="1" s="1"/>
  <c r="S260" i="1"/>
  <c r="W259" i="1"/>
  <c r="Z259" i="1" s="1"/>
  <c r="S259" i="1"/>
  <c r="W258" i="1"/>
  <c r="Z258" i="1" s="1"/>
  <c r="S258" i="1"/>
  <c r="W257" i="1"/>
  <c r="Z257" i="1" s="1"/>
  <c r="S257" i="1"/>
  <c r="W256" i="1"/>
  <c r="Z256" i="1" s="1"/>
  <c r="S256" i="1"/>
  <c r="W255" i="1"/>
  <c r="Z255" i="1" s="1"/>
  <c r="S255" i="1"/>
  <c r="W254" i="1"/>
  <c r="Z254" i="1" s="1"/>
  <c r="S254" i="1"/>
  <c r="W253" i="1"/>
  <c r="Z253" i="1" s="1"/>
  <c r="S253" i="1"/>
  <c r="W252" i="1"/>
  <c r="Z252" i="1" s="1"/>
  <c r="S252" i="1"/>
  <c r="W251" i="1"/>
  <c r="Z251" i="1" s="1"/>
  <c r="S251" i="1"/>
  <c r="W250" i="1"/>
  <c r="Z250" i="1" s="1"/>
  <c r="S250" i="1"/>
  <c r="W249" i="1"/>
  <c r="Z249" i="1" s="1"/>
  <c r="S249" i="1"/>
  <c r="W248" i="1"/>
  <c r="Z248" i="1" s="1"/>
  <c r="S248" i="1"/>
  <c r="W247" i="1"/>
  <c r="Z247" i="1" s="1"/>
  <c r="S247" i="1"/>
  <c r="W246" i="1"/>
  <c r="Z246" i="1" s="1"/>
  <c r="S246" i="1"/>
  <c r="W245" i="1"/>
  <c r="Z245" i="1" s="1"/>
  <c r="S245" i="1"/>
  <c r="W244" i="1"/>
  <c r="Z244" i="1" s="1"/>
  <c r="S244" i="1"/>
  <c r="W243" i="1"/>
  <c r="Z243" i="1" s="1"/>
  <c r="S243" i="1"/>
  <c r="W242" i="1"/>
  <c r="Z242" i="1" s="1"/>
  <c r="S242" i="1"/>
  <c r="W241" i="1"/>
  <c r="Z241" i="1" s="1"/>
  <c r="S241" i="1"/>
  <c r="W240" i="1"/>
  <c r="Z240" i="1" s="1"/>
  <c r="S240" i="1"/>
  <c r="W239" i="1"/>
  <c r="Z239" i="1" s="1"/>
  <c r="S239" i="1"/>
  <c r="W238" i="1"/>
  <c r="Z238" i="1" s="1"/>
  <c r="S238" i="1"/>
  <c r="W237" i="1"/>
  <c r="Z237" i="1" s="1"/>
  <c r="S237" i="1"/>
  <c r="S236" i="1"/>
  <c r="Z236" i="1" s="1"/>
  <c r="S235" i="1"/>
  <c r="Z235" i="1" s="1"/>
  <c r="Z234" i="1"/>
  <c r="S234" i="1"/>
  <c r="S233" i="1"/>
  <c r="Z233" i="1" s="1"/>
  <c r="S232" i="1"/>
  <c r="Z232" i="1" s="1"/>
  <c r="S231" i="1"/>
  <c r="Z231" i="1" s="1"/>
  <c r="S230" i="1"/>
  <c r="Z230" i="1" s="1"/>
  <c r="Z229" i="1"/>
  <c r="W228" i="1"/>
  <c r="Z228" i="1" s="1"/>
  <c r="S228" i="1"/>
  <c r="W227" i="1"/>
  <c r="Z227" i="1" s="1"/>
  <c r="S227" i="1"/>
  <c r="W226" i="1"/>
  <c r="Z226" i="1" s="1"/>
  <c r="S226" i="1"/>
  <c r="S225" i="1"/>
  <c r="Z225" i="1" s="1"/>
  <c r="S224" i="1"/>
  <c r="Z224" i="1" s="1"/>
  <c r="S223" i="1"/>
  <c r="Z223" i="1" s="1"/>
  <c r="S222" i="1"/>
  <c r="Z222" i="1" s="1"/>
  <c r="S221" i="1"/>
  <c r="Z221" i="1" s="1"/>
  <c r="S220" i="1"/>
  <c r="Z220" i="1" s="1"/>
  <c r="S219" i="1"/>
  <c r="Z219" i="1" s="1"/>
  <c r="S218" i="1"/>
  <c r="Z218" i="1" s="1"/>
  <c r="Q217" i="1"/>
  <c r="Z217" i="1" s="1"/>
  <c r="Q216" i="1"/>
  <c r="Z216" i="1" s="1"/>
  <c r="W215" i="1"/>
  <c r="Z215" i="1" s="1"/>
  <c r="S215" i="1"/>
  <c r="W214" i="1"/>
  <c r="Z214" i="1" s="1"/>
  <c r="S214" i="1"/>
  <c r="Z213" i="1"/>
  <c r="Q213" i="1"/>
  <c r="W212" i="1"/>
  <c r="Z212" i="1" s="1"/>
  <c r="S212" i="1"/>
  <c r="W211" i="1"/>
  <c r="Z211" i="1" s="1"/>
  <c r="S211" i="1"/>
  <c r="W210" i="1"/>
  <c r="Z210" i="1" s="1"/>
  <c r="S210" i="1"/>
  <c r="S209" i="1"/>
  <c r="Z209" i="1" s="1"/>
  <c r="Q208" i="1"/>
  <c r="Z208" i="1" s="1"/>
  <c r="Q207" i="1"/>
  <c r="Z207" i="1" s="1"/>
  <c r="Q206" i="1"/>
  <c r="Z206" i="1" s="1"/>
  <c r="Z205" i="1"/>
  <c r="S204" i="1"/>
  <c r="Z204" i="1" s="1"/>
  <c r="S203" i="1"/>
  <c r="Z203" i="1" s="1"/>
  <c r="S202" i="1"/>
  <c r="Z202" i="1" s="1"/>
  <c r="S201" i="1"/>
  <c r="Z201" i="1" s="1"/>
  <c r="S200" i="1"/>
  <c r="Z200" i="1" s="1"/>
  <c r="S199" i="1"/>
  <c r="Z199" i="1" s="1"/>
  <c r="S198" i="1"/>
  <c r="Z198" i="1" s="1"/>
  <c r="S197" i="1"/>
  <c r="Z197" i="1" s="1"/>
  <c r="S196" i="1"/>
  <c r="Z196" i="1" s="1"/>
  <c r="Z195" i="1"/>
  <c r="W194" i="1"/>
  <c r="Z194" i="1" s="1"/>
  <c r="S194" i="1"/>
  <c r="Z193" i="1"/>
  <c r="Z192" i="1"/>
  <c r="S192" i="1"/>
  <c r="S191" i="1"/>
  <c r="Z191" i="1" s="1"/>
  <c r="Z190" i="1"/>
  <c r="S190" i="1"/>
  <c r="S189" i="1"/>
  <c r="Z189" i="1" s="1"/>
  <c r="S188" i="1"/>
  <c r="Z188" i="1" s="1"/>
  <c r="S187" i="1"/>
  <c r="Z187" i="1" s="1"/>
  <c r="W186" i="1"/>
  <c r="Z186" i="1" s="1"/>
  <c r="S186" i="1"/>
  <c r="W185" i="1"/>
  <c r="Z185" i="1" s="1"/>
  <c r="S185" i="1"/>
  <c r="W184" i="1"/>
  <c r="Z184" i="1" s="1"/>
  <c r="S184" i="1"/>
  <c r="W183" i="1"/>
  <c r="Z183" i="1" s="1"/>
  <c r="S183" i="1"/>
  <c r="W182" i="1"/>
  <c r="Z182" i="1" s="1"/>
  <c r="S182" i="1"/>
  <c r="S181" i="1"/>
  <c r="Z181" i="1" s="1"/>
  <c r="S180" i="1"/>
  <c r="Z180" i="1" s="1"/>
  <c r="S175" i="1"/>
  <c r="Z175" i="1" s="1"/>
  <c r="S174" i="1"/>
  <c r="Z174" i="1" s="1"/>
  <c r="S173" i="1"/>
  <c r="Z173" i="1" s="1"/>
  <c r="W171" i="1"/>
  <c r="S171" i="1"/>
  <c r="W170" i="1"/>
  <c r="S170" i="1"/>
  <c r="W169" i="1"/>
  <c r="S169" i="1"/>
  <c r="W168" i="1"/>
  <c r="S168" i="1"/>
  <c r="W167" i="1"/>
  <c r="S167" i="1"/>
  <c r="W166" i="1"/>
  <c r="Z166" i="1" s="1"/>
  <c r="S166" i="1"/>
  <c r="W165" i="1"/>
  <c r="S165" i="1"/>
  <c r="W164" i="1"/>
  <c r="Z164" i="1" s="1"/>
  <c r="S164" i="1"/>
  <c r="S163" i="1"/>
  <c r="Z163" i="1" s="1"/>
  <c r="S162" i="1"/>
  <c r="Z162" i="1" s="1"/>
  <c r="S161" i="1"/>
  <c r="Z161" i="1" s="1"/>
  <c r="S160" i="1"/>
  <c r="Z160" i="1" s="1"/>
  <c r="S159" i="1"/>
  <c r="Z159" i="1" s="1"/>
  <c r="W158" i="1"/>
  <c r="Z158" i="1" s="1"/>
  <c r="S158" i="1"/>
  <c r="W157" i="1"/>
  <c r="Z157" i="1" s="1"/>
  <c r="S157" i="1"/>
  <c r="W156" i="1"/>
  <c r="Z156" i="1" s="1"/>
  <c r="S156" i="1"/>
  <c r="W155" i="1"/>
  <c r="Z155" i="1" s="1"/>
  <c r="S155" i="1"/>
  <c r="W154" i="1"/>
  <c r="Z154" i="1" s="1"/>
  <c r="S154" i="1"/>
  <c r="W153" i="1"/>
  <c r="S153" i="1"/>
  <c r="W152" i="1"/>
  <c r="Z152" i="1" s="1"/>
  <c r="S152" i="1"/>
  <c r="W151" i="1"/>
  <c r="Z151" i="1" s="1"/>
  <c r="S151" i="1"/>
  <c r="W150" i="1"/>
  <c r="Z150" i="1" s="1"/>
  <c r="S150" i="1"/>
  <c r="W149" i="1"/>
  <c r="Z149" i="1" s="1"/>
  <c r="W148" i="1"/>
  <c r="Z148" i="1" s="1"/>
  <c r="T148" i="1"/>
  <c r="U148" i="1" s="1"/>
  <c r="W147" i="1"/>
  <c r="S147" i="1"/>
  <c r="S146" i="1"/>
  <c r="Z146" i="1" s="1"/>
  <c r="S145" i="1"/>
  <c r="Z145" i="1" s="1"/>
  <c r="S144" i="1"/>
  <c r="Z144" i="1" s="1"/>
  <c r="S143" i="1"/>
  <c r="Z143" i="1" s="1"/>
  <c r="W142" i="1"/>
  <c r="Z142" i="1" s="1"/>
  <c r="S142" i="1"/>
  <c r="S141" i="1"/>
  <c r="Z141" i="1" s="1"/>
  <c r="S140" i="1"/>
  <c r="Z140" i="1" s="1"/>
  <c r="S139" i="1"/>
  <c r="Z139" i="1" s="1"/>
  <c r="S138" i="1"/>
  <c r="Z138" i="1" s="1"/>
  <c r="S137" i="1"/>
  <c r="Z137" i="1" s="1"/>
  <c r="S136" i="1"/>
  <c r="Z136" i="1" s="1"/>
  <c r="S135" i="1"/>
  <c r="Z135" i="1" s="1"/>
  <c r="S134" i="1"/>
  <c r="Z134" i="1" s="1"/>
  <c r="S133" i="1"/>
  <c r="Z133" i="1" s="1"/>
  <c r="S132" i="1"/>
  <c r="Z132" i="1" s="1"/>
  <c r="S131" i="1"/>
  <c r="Z131" i="1" s="1"/>
  <c r="S130" i="1"/>
  <c r="Z130" i="1" s="1"/>
  <c r="W129" i="1"/>
  <c r="S129" i="1"/>
  <c r="Q128" i="1"/>
  <c r="Z128" i="1" s="1"/>
  <c r="Q127" i="1"/>
  <c r="Z127" i="1" s="1"/>
  <c r="W126" i="1"/>
  <c r="S126" i="1"/>
  <c r="W125" i="1"/>
  <c r="S125" i="1"/>
  <c r="W124" i="1"/>
  <c r="S124" i="1"/>
  <c r="W123" i="1"/>
  <c r="S123" i="1"/>
  <c r="W122" i="1"/>
  <c r="S122" i="1"/>
  <c r="W121" i="1"/>
  <c r="S121" i="1"/>
  <c r="W120" i="1"/>
  <c r="S120" i="1"/>
  <c r="W119" i="1"/>
  <c r="S119" i="1"/>
  <c r="W118" i="1"/>
  <c r="S118" i="1"/>
  <c r="S117" i="1"/>
  <c r="Z117" i="1" s="1"/>
  <c r="S116" i="1"/>
  <c r="Z116" i="1" s="1"/>
  <c r="S115" i="1"/>
  <c r="Z115" i="1" s="1"/>
  <c r="S114" i="1"/>
  <c r="Z114" i="1" s="1"/>
  <c r="S113" i="1"/>
  <c r="Z113" i="1" s="1"/>
  <c r="S112" i="1"/>
  <c r="Z112" i="1" s="1"/>
  <c r="S111" i="1"/>
  <c r="Z111" i="1" s="1"/>
  <c r="S110" i="1"/>
  <c r="Z110" i="1" s="1"/>
  <c r="S109" i="1"/>
  <c r="Z109" i="1" s="1"/>
  <c r="S108" i="1"/>
  <c r="Z108" i="1" s="1"/>
  <c r="S107" i="1"/>
  <c r="Z107" i="1" s="1"/>
  <c r="W106" i="1"/>
  <c r="Z106" i="1" s="1"/>
  <c r="W105" i="1"/>
  <c r="S105" i="1"/>
  <c r="W104" i="1"/>
  <c r="S104" i="1"/>
  <c r="Q103" i="1"/>
  <c r="W98" i="1"/>
  <c r="Z98" i="1" s="1"/>
  <c r="S97" i="1"/>
  <c r="Z97" i="1" s="1"/>
  <c r="S96" i="1"/>
  <c r="Z96" i="1" s="1"/>
  <c r="S95" i="1"/>
  <c r="Z95" i="1" s="1"/>
  <c r="S94" i="1"/>
  <c r="Z94" i="1" s="1"/>
  <c r="S93" i="1"/>
  <c r="Z93" i="1" s="1"/>
  <c r="S92" i="1"/>
  <c r="Z92" i="1" s="1"/>
  <c r="S91" i="1"/>
  <c r="Z91" i="1" s="1"/>
  <c r="S90" i="1"/>
  <c r="Z90" i="1" s="1"/>
  <c r="S89" i="1"/>
  <c r="W88" i="1"/>
  <c r="S88" i="1"/>
  <c r="W87" i="1"/>
  <c r="S87" i="1"/>
  <c r="W86" i="1"/>
  <c r="S86" i="1"/>
  <c r="W85" i="1"/>
  <c r="S85" i="1"/>
  <c r="W84" i="1"/>
  <c r="S84" i="1"/>
  <c r="W83" i="1"/>
  <c r="S83" i="1"/>
  <c r="W82" i="1"/>
  <c r="Z82" i="1" s="1"/>
  <c r="S82" i="1"/>
  <c r="W81" i="1"/>
  <c r="S81" i="1"/>
  <c r="W80" i="1"/>
  <c r="S80" i="1"/>
  <c r="W79" i="1"/>
  <c r="S79" i="1"/>
  <c r="W78" i="1"/>
  <c r="S78" i="1"/>
  <c r="W77" i="1"/>
  <c r="S77" i="1"/>
  <c r="W76" i="1"/>
  <c r="S76" i="1"/>
  <c r="S75" i="1"/>
  <c r="Z75" i="1" s="1"/>
  <c r="W74" i="1"/>
  <c r="S74" i="1"/>
  <c r="W73" i="1"/>
  <c r="S73" i="1"/>
  <c r="W72" i="1"/>
  <c r="S72" i="1"/>
  <c r="W71" i="1"/>
  <c r="S71" i="1"/>
  <c r="W70" i="1"/>
  <c r="S70" i="1"/>
  <c r="W69" i="1"/>
  <c r="S69" i="1"/>
  <c r="W68" i="1"/>
  <c r="Z68" i="1" s="1"/>
  <c r="W67" i="1"/>
  <c r="Z67" i="1" s="1"/>
  <c r="S66" i="1"/>
  <c r="Z66" i="1" s="1"/>
  <c r="S65" i="1"/>
  <c r="Z65" i="1" s="1"/>
  <c r="S64" i="1"/>
  <c r="Z64" i="1" s="1"/>
  <c r="Q63" i="1"/>
  <c r="Z63" i="1" s="1"/>
  <c r="S62" i="1"/>
  <c r="Z62" i="1" s="1"/>
  <c r="S61" i="1"/>
  <c r="Z61" i="1" s="1"/>
  <c r="S60" i="1"/>
  <c r="Z60" i="1" s="1"/>
  <c r="W59" i="1"/>
  <c r="S59" i="1"/>
  <c r="W58" i="1"/>
  <c r="S58" i="1"/>
  <c r="Z57" i="1"/>
  <c r="Q56" i="1"/>
  <c r="Z56" i="1" s="1"/>
  <c r="W55" i="1"/>
  <c r="S55" i="1"/>
  <c r="W54" i="1"/>
  <c r="S54" i="1"/>
  <c r="S53" i="1"/>
  <c r="Z53" i="1" s="1"/>
  <c r="S52" i="1"/>
  <c r="Z52" i="1" s="1"/>
  <c r="S51" i="1"/>
  <c r="Z51" i="1" s="1"/>
  <c r="S50" i="1"/>
  <c r="Z50" i="1" s="1"/>
  <c r="Q49" i="1"/>
  <c r="Z49" i="1" s="1"/>
  <c r="Q48" i="1"/>
  <c r="Z48" i="1" s="1"/>
  <c r="Q47" i="1"/>
  <c r="Z47" i="1" s="1"/>
  <c r="S46" i="1"/>
  <c r="Z46" i="1" s="1"/>
  <c r="S45" i="1"/>
  <c r="Z45" i="1" s="1"/>
  <c r="S44" i="1"/>
  <c r="Z44" i="1" s="1"/>
  <c r="S43" i="1"/>
  <c r="Z43" i="1" s="1"/>
  <c r="S42" i="1"/>
  <c r="Z42" i="1" s="1"/>
  <c r="S41" i="1"/>
  <c r="Z41" i="1" s="1"/>
  <c r="S40" i="1"/>
  <c r="Z40" i="1" s="1"/>
  <c r="S39" i="1"/>
  <c r="Z39" i="1" s="1"/>
  <c r="W38" i="1"/>
  <c r="S38" i="1"/>
  <c r="W37" i="1"/>
  <c r="S37" i="1"/>
  <c r="W36" i="1"/>
  <c r="S36" i="1"/>
  <c r="W35" i="1"/>
  <c r="S35" i="1"/>
  <c r="W34" i="1"/>
  <c r="S34" i="1"/>
  <c r="W33" i="1"/>
  <c r="S33" i="1"/>
  <c r="W32" i="1"/>
  <c r="Z32" i="1" s="1"/>
  <c r="S32" i="1"/>
  <c r="Q31" i="1"/>
  <c r="Z31" i="1" s="1"/>
  <c r="Q30" i="1"/>
  <c r="Z30" i="1" s="1"/>
  <c r="Q29" i="1"/>
  <c r="Z29" i="1" s="1"/>
  <c r="Q28" i="1"/>
  <c r="Z28" i="1" s="1"/>
  <c r="Q27" i="1"/>
  <c r="Z27" i="1" s="1"/>
  <c r="Q26" i="1"/>
  <c r="Z26" i="1" s="1"/>
  <c r="Q25" i="1"/>
  <c r="Z25" i="1" s="1"/>
  <c r="Q24" i="1"/>
  <c r="Z24" i="1" s="1"/>
  <c r="W23" i="1"/>
  <c r="S23" i="1"/>
  <c r="W22" i="1"/>
  <c r="S22" i="1"/>
  <c r="W21" i="1"/>
  <c r="S21" i="1"/>
  <c r="W20" i="1"/>
  <c r="S20" i="1"/>
  <c r="Q19" i="1"/>
  <c r="Z19" i="1" s="1"/>
  <c r="Q18" i="1"/>
  <c r="Z18" i="1" s="1"/>
  <c r="Z17" i="1"/>
  <c r="S16" i="1"/>
  <c r="Z16" i="1" s="1"/>
  <c r="S15" i="1"/>
  <c r="Z15" i="1" s="1"/>
  <c r="S14" i="1"/>
  <c r="Z14" i="1" s="1"/>
  <c r="S13" i="1"/>
  <c r="Z13" i="1" s="1"/>
  <c r="S12" i="1"/>
  <c r="Z12" i="1" s="1"/>
  <c r="S11" i="1"/>
  <c r="Z11" i="1" s="1"/>
  <c r="S10" i="1"/>
  <c r="Z10" i="1" s="1"/>
  <c r="S9" i="1"/>
  <c r="Z9" i="1" s="1"/>
  <c r="S8" i="1"/>
  <c r="Z8" i="1" s="1"/>
  <c r="S7" i="1"/>
  <c r="Z6" i="1"/>
  <c r="Z5" i="1"/>
  <c r="W4" i="1"/>
  <c r="Z170" i="1" l="1"/>
  <c r="Z171" i="1"/>
  <c r="Z165" i="1"/>
  <c r="Z129" i="1"/>
  <c r="Z126" i="1"/>
  <c r="Z125" i="1"/>
  <c r="Z124" i="1"/>
  <c r="Z123" i="1"/>
  <c r="Z122" i="1"/>
  <c r="Z121" i="1"/>
  <c r="Z120" i="1"/>
  <c r="Z119" i="1"/>
  <c r="Z118" i="1"/>
  <c r="Z105" i="1"/>
  <c r="S178" i="1"/>
  <c r="Z88" i="1"/>
  <c r="Z87" i="1"/>
  <c r="Z86" i="1"/>
  <c r="Z85" i="1"/>
  <c r="Z84" i="1"/>
  <c r="Z83" i="1"/>
  <c r="Z81" i="1"/>
  <c r="Z80" i="1"/>
  <c r="Z79" i="1"/>
  <c r="Z78" i="1"/>
  <c r="Z77" i="1"/>
  <c r="Z76" i="1"/>
  <c r="Z74" i="1"/>
  <c r="Z73" i="1"/>
  <c r="Z72" i="1"/>
  <c r="Z71" i="1"/>
  <c r="Z70" i="1"/>
  <c r="Z69" i="1"/>
  <c r="Z59" i="1"/>
  <c r="Z58" i="1"/>
  <c r="Z55" i="1"/>
  <c r="Z54" i="1"/>
  <c r="Z38" i="1"/>
  <c r="Z37" i="1"/>
  <c r="Z36" i="1"/>
  <c r="Z35" i="1"/>
  <c r="Z34" i="1"/>
  <c r="Z33" i="1"/>
  <c r="Z23" i="1"/>
  <c r="Z22" i="1"/>
  <c r="Z21" i="1"/>
  <c r="Z20" i="1"/>
  <c r="Q102" i="1"/>
  <c r="Z168" i="1"/>
  <c r="Z153" i="1"/>
  <c r="Z147" i="1"/>
  <c r="Z169" i="1"/>
  <c r="Z167" i="1"/>
  <c r="W178" i="1"/>
  <c r="Z104" i="1"/>
  <c r="Z103" i="1"/>
  <c r="Q178" i="1"/>
  <c r="T89" i="1"/>
  <c r="U89" i="1" s="1"/>
  <c r="Z89" i="1"/>
  <c r="Z7" i="1"/>
  <c r="S102" i="1"/>
  <c r="Z4" i="1"/>
  <c r="W102" i="1"/>
  <c r="Z178" i="1" l="1"/>
  <c r="Z102" i="1"/>
  <c r="X102" i="1"/>
  <c r="X1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choi</author>
  </authors>
  <commentList>
    <comment ref="V23" authorId="0" shapeId="0" xr:uid="{5B3D3C47-065C-4B8B-AAF1-A5AC717CCF26}">
      <text>
        <r>
          <rPr>
            <b/>
            <sz val="9"/>
            <color indexed="81"/>
            <rFont val="Tahoma"/>
            <family val="2"/>
          </rPr>
          <t>Darren choi: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판가확인요</t>
        </r>
      </text>
    </comment>
  </commentList>
</comments>
</file>

<file path=xl/sharedStrings.xml><?xml version="1.0" encoding="utf-8"?>
<sst xmlns="http://schemas.openxmlformats.org/spreadsheetml/2006/main" count="2279" uniqueCount="310">
  <si>
    <t xml:space="preserve">NP150/3합 P150/3합  PP450D </t>
    <phoneticPr fontId="3" type="noConversion"/>
  </si>
  <si>
    <t xml:space="preserve">하이젠540.Q851 </t>
    <phoneticPr fontId="3" type="noConversion"/>
  </si>
  <si>
    <t>HPK0112-풍아 미니멈 수량 600YD  SURCHARGE 30만원</t>
    <phoneticPr fontId="3" type="noConversion"/>
  </si>
  <si>
    <t>zig mop*0.21. Q851*0.3675</t>
    <phoneticPr fontId="3" type="noConversion"/>
  </si>
  <si>
    <t>에프에스 POLY NSY:총량 *21%*2390  (21%)</t>
    <phoneticPr fontId="3" type="noConversion"/>
  </si>
  <si>
    <t>동우섬유:총량*0.15*2.2046*1200/1.1(약15%)</t>
    <phoneticPr fontId="3" type="noConversion"/>
  </si>
  <si>
    <t>이것확인해보세요  에프에스가 추가원사비용이 많이 높아요</t>
    <phoneticPr fontId="3" type="noConversion"/>
  </si>
  <si>
    <t>정산전 재 확인할것</t>
    <phoneticPr fontId="3" type="noConversion"/>
  </si>
  <si>
    <t>입출고 전체</t>
    <phoneticPr fontId="10" type="noConversion"/>
  </si>
  <si>
    <t>상품.임가공</t>
    <phoneticPr fontId="3" type="noConversion"/>
  </si>
  <si>
    <t>지수컴퍼니.아이온.밧틈.진영텍스코.텍스진.유정.덕산</t>
    <phoneticPr fontId="3" type="noConversion"/>
  </si>
  <si>
    <t>년월</t>
    <phoneticPr fontId="3" type="noConversion"/>
  </si>
  <si>
    <t>출고일</t>
    <phoneticPr fontId="10" type="noConversion"/>
  </si>
  <si>
    <t>완제품번</t>
    <phoneticPr fontId="3" type="noConversion"/>
  </si>
  <si>
    <t>출고지</t>
    <phoneticPr fontId="3" type="noConversion"/>
  </si>
  <si>
    <t>입고지</t>
    <phoneticPr fontId="3" type="noConversion"/>
  </si>
  <si>
    <t>제품군</t>
    <phoneticPr fontId="10" type="noConversion"/>
  </si>
  <si>
    <t>end buyer</t>
    <phoneticPr fontId="3" type="noConversion"/>
  </si>
  <si>
    <r>
      <t>I</t>
    </r>
    <r>
      <rPr>
        <b/>
        <sz val="11"/>
        <color indexed="8"/>
        <rFont val="맑은 고딕"/>
        <family val="3"/>
        <charset val="129"/>
      </rPr>
      <t>TEM</t>
    </r>
    <phoneticPr fontId="10" type="noConversion"/>
  </si>
  <si>
    <t>COLOR</t>
    <phoneticPr fontId="10" type="noConversion"/>
  </si>
  <si>
    <t>특기 2</t>
    <phoneticPr fontId="3" type="noConversion"/>
  </si>
  <si>
    <t>LOT#</t>
    <phoneticPr fontId="3" type="noConversion"/>
  </si>
  <si>
    <t>절</t>
    <phoneticPr fontId="10" type="noConversion"/>
  </si>
  <si>
    <t>수량(KG)</t>
    <phoneticPr fontId="3" type="noConversion"/>
  </si>
  <si>
    <t>수량(YD)</t>
    <phoneticPr fontId="10" type="noConversion"/>
  </si>
  <si>
    <t>수량(MT)</t>
    <phoneticPr fontId="3" type="noConversion"/>
  </si>
  <si>
    <t>원료단가(kg,y,m/\)</t>
    <phoneticPr fontId="3" type="noConversion"/>
  </si>
  <si>
    <t>원료비(\)</t>
    <phoneticPr fontId="3" type="noConversion"/>
  </si>
  <si>
    <t>임가공단가(\)  kg,y,m</t>
    <phoneticPr fontId="3" type="noConversion"/>
  </si>
  <si>
    <t>가공비금액 계(\)</t>
    <phoneticPr fontId="3" type="noConversion"/>
  </si>
  <si>
    <t>외화매출단가</t>
    <phoneticPr fontId="10" type="noConversion"/>
  </si>
  <si>
    <t>외화매출금액</t>
    <phoneticPr fontId="10" type="noConversion"/>
  </si>
  <si>
    <t>원화매출단가(\)</t>
    <phoneticPr fontId="10" type="noConversion"/>
  </si>
  <si>
    <t>원화매출금액
(\)</t>
    <phoneticPr fontId="10" type="noConversion"/>
  </si>
  <si>
    <t>기타</t>
    <phoneticPr fontId="3" type="noConversion"/>
  </si>
  <si>
    <t>공정</t>
    <phoneticPr fontId="3" type="noConversion"/>
  </si>
  <si>
    <t>매출이익</t>
    <phoneticPr fontId="3" type="noConversion"/>
  </si>
  <si>
    <t>강일섬유</t>
    <phoneticPr fontId="3" type="noConversion"/>
  </si>
  <si>
    <t>실론</t>
    <phoneticPr fontId="3" type="noConversion"/>
  </si>
  <si>
    <t>HPK3042-SJ</t>
    <phoneticPr fontId="3" type="noConversion"/>
  </si>
  <si>
    <t>풍아산업</t>
    <phoneticPr fontId="3" type="noConversion"/>
  </si>
  <si>
    <t>대한실업</t>
    <phoneticPr fontId="3" type="noConversion"/>
  </si>
  <si>
    <t>오아시스</t>
    <phoneticPr fontId="3" type="noConversion"/>
  </si>
  <si>
    <t>HPW3200-SWD</t>
    <phoneticPr fontId="3" type="noConversion"/>
  </si>
  <si>
    <t>#604 라이트브라운</t>
    <phoneticPr fontId="3" type="noConversion"/>
  </si>
  <si>
    <t>#610 본</t>
    <phoneticPr fontId="3" type="noConversion"/>
  </si>
  <si>
    <t>QUITE SHADE/WHITE</t>
    <phoneticPr fontId="3" type="noConversion"/>
  </si>
  <si>
    <t>GREY/WHITE</t>
    <phoneticPr fontId="3" type="noConversion"/>
  </si>
  <si>
    <t>유진폴리테크</t>
    <phoneticPr fontId="3" type="noConversion"/>
  </si>
  <si>
    <t>BLACK/CLEAR</t>
    <phoneticPr fontId="3" type="noConversion"/>
  </si>
  <si>
    <t>하이멜</t>
    <phoneticPr fontId="3" type="noConversion"/>
  </si>
  <si>
    <t>20D PTR-SKIN</t>
    <phoneticPr fontId="3" type="noConversion"/>
  </si>
  <si>
    <t>BLACK/WHITE</t>
    <phoneticPr fontId="3" type="noConversion"/>
  </si>
  <si>
    <t>라임기모</t>
    <phoneticPr fontId="3" type="noConversion"/>
  </si>
  <si>
    <t>에스얀</t>
    <phoneticPr fontId="3" type="noConversion"/>
  </si>
  <si>
    <t>에프에스</t>
    <phoneticPr fontId="3" type="noConversion"/>
  </si>
  <si>
    <t>티에이케이</t>
    <phoneticPr fontId="3" type="noConversion"/>
  </si>
  <si>
    <t>분할사 DTY 480</t>
    <phoneticPr fontId="3" type="noConversion"/>
  </si>
  <si>
    <t>에스티</t>
    <phoneticPr fontId="3" type="noConversion"/>
  </si>
  <si>
    <t>한국윈텍</t>
    <phoneticPr fontId="3" type="noConversion"/>
  </si>
  <si>
    <t>Q851</t>
    <phoneticPr fontId="3" type="noConversion"/>
  </si>
  <si>
    <t>ZIG MOP</t>
    <phoneticPr fontId="3" type="noConversion"/>
  </si>
  <si>
    <t>유진트레이딩</t>
    <phoneticPr fontId="3" type="noConversion"/>
  </si>
  <si>
    <t>GREY</t>
    <phoneticPr fontId="3" type="noConversion"/>
  </si>
  <si>
    <t>은호섬유</t>
    <phoneticPr fontId="3" type="noConversion"/>
  </si>
  <si>
    <t>HYGEN TWIST 540</t>
    <phoneticPr fontId="3" type="noConversion"/>
  </si>
  <si>
    <t>BLUE</t>
    <phoneticPr fontId="3" type="noConversion"/>
  </si>
  <si>
    <t>001</t>
    <phoneticPr fontId="3" type="noConversion"/>
  </si>
  <si>
    <t>002</t>
    <phoneticPr fontId="3" type="noConversion"/>
  </si>
  <si>
    <t>003</t>
    <phoneticPr fontId="3" type="noConversion"/>
  </si>
  <si>
    <t>004</t>
    <phoneticPr fontId="3" type="noConversion"/>
  </si>
  <si>
    <t>005</t>
    <phoneticPr fontId="3" type="noConversion"/>
  </si>
  <si>
    <t>006</t>
    <phoneticPr fontId="3" type="noConversion"/>
  </si>
  <si>
    <t>007</t>
    <phoneticPr fontId="3" type="noConversion"/>
  </si>
  <si>
    <t>GREEN</t>
    <phoneticPr fontId="3" type="noConversion"/>
  </si>
  <si>
    <t>008</t>
    <phoneticPr fontId="3" type="noConversion"/>
  </si>
  <si>
    <t>009</t>
    <phoneticPr fontId="3" type="noConversion"/>
  </si>
  <si>
    <t>010</t>
    <phoneticPr fontId="3" type="noConversion"/>
  </si>
  <si>
    <t>011</t>
    <phoneticPr fontId="3" type="noConversion"/>
  </si>
  <si>
    <t>BLACK</t>
    <phoneticPr fontId="3" type="noConversion"/>
  </si>
  <si>
    <t>GRAPHITE</t>
    <phoneticPr fontId="3" type="noConversion"/>
  </si>
  <si>
    <t>QUITE SHADE</t>
    <phoneticPr fontId="3" type="noConversion"/>
  </si>
  <si>
    <t>실론</t>
  </si>
  <si>
    <t>GRAPHITE/CLEAR</t>
    <phoneticPr fontId="3" type="noConversion"/>
  </si>
  <si>
    <t>QUITE SHADE/CLEAR</t>
    <phoneticPr fontId="3" type="noConversion"/>
  </si>
  <si>
    <t>미래심지</t>
    <phoneticPr fontId="3" type="noConversion"/>
  </si>
  <si>
    <t>HPK3042-SJ</t>
  </si>
  <si>
    <t>015</t>
    <phoneticPr fontId="3" type="noConversion"/>
  </si>
  <si>
    <t>016</t>
    <phoneticPr fontId="3" type="noConversion"/>
  </si>
  <si>
    <t>017</t>
    <phoneticPr fontId="3" type="noConversion"/>
  </si>
  <si>
    <t>디케이티</t>
    <phoneticPr fontId="3" type="noConversion"/>
  </si>
  <si>
    <t>삼덕섬유</t>
    <phoneticPr fontId="3" type="noConversion"/>
  </si>
  <si>
    <t>012</t>
    <phoneticPr fontId="3" type="noConversion"/>
  </si>
  <si>
    <t>013</t>
    <phoneticPr fontId="3" type="noConversion"/>
  </si>
  <si>
    <t>014</t>
    <phoneticPr fontId="3" type="noConversion"/>
  </si>
  <si>
    <t>티에이케이</t>
  </si>
  <si>
    <t>L.GREY</t>
    <phoneticPr fontId="3" type="noConversion"/>
  </si>
  <si>
    <t>안국섬유</t>
    <phoneticPr fontId="3" type="noConversion"/>
  </si>
  <si>
    <t>DTY 450/144</t>
    <phoneticPr fontId="3" type="noConversion"/>
  </si>
  <si>
    <t>20D PTR</t>
    <phoneticPr fontId="3" type="noConversion"/>
  </si>
  <si>
    <t>020</t>
    <phoneticPr fontId="3" type="noConversion"/>
  </si>
  <si>
    <t>홉</t>
    <phoneticPr fontId="3" type="noConversion"/>
  </si>
  <si>
    <t>sample</t>
    <phoneticPr fontId="3" type="noConversion"/>
  </si>
  <si>
    <t>VIEWTY 600</t>
    <phoneticPr fontId="3" type="noConversion"/>
  </si>
  <si>
    <t>에스제이인터내셔널</t>
    <phoneticPr fontId="3" type="noConversion"/>
  </si>
  <si>
    <t>BLACK</t>
  </si>
  <si>
    <t>BEIGE</t>
    <phoneticPr fontId="3" type="noConversion"/>
  </si>
  <si>
    <t>SILVER GREY</t>
    <phoneticPr fontId="3" type="noConversion"/>
  </si>
  <si>
    <t>희현</t>
    <phoneticPr fontId="3" type="noConversion"/>
  </si>
  <si>
    <t>밑지</t>
    <phoneticPr fontId="3" type="noConversion"/>
  </si>
  <si>
    <t>DTY 75/144</t>
    <phoneticPr fontId="3" type="noConversion"/>
  </si>
  <si>
    <t>HPV3-XO</t>
    <phoneticPr fontId="3" type="noConversion"/>
  </si>
  <si>
    <t>남청 3206</t>
    <phoneticPr fontId="3" type="noConversion"/>
  </si>
  <si>
    <t>에프에스</t>
  </si>
  <si>
    <t>019</t>
    <phoneticPr fontId="3" type="noConversion"/>
  </si>
  <si>
    <t>SILVER GREY/WHITE</t>
    <phoneticPr fontId="3" type="noConversion"/>
  </si>
  <si>
    <t>ZINC/CLEAR</t>
    <phoneticPr fontId="3" type="noConversion"/>
  </si>
  <si>
    <t>021</t>
    <phoneticPr fontId="3" type="noConversion"/>
  </si>
  <si>
    <t>ZINC</t>
    <phoneticPr fontId="3" type="noConversion"/>
  </si>
  <si>
    <t>DTY 300/96</t>
    <phoneticPr fontId="3" type="noConversion"/>
  </si>
  <si>
    <t>022</t>
    <phoneticPr fontId="3" type="noConversion"/>
  </si>
  <si>
    <t>ICE GREY</t>
    <phoneticPr fontId="3" type="noConversion"/>
  </si>
  <si>
    <t>팬시크린</t>
    <phoneticPr fontId="3" type="noConversion"/>
  </si>
  <si>
    <t>#604</t>
    <phoneticPr fontId="3" type="noConversion"/>
  </si>
  <si>
    <t>Q851</t>
  </si>
  <si>
    <t>P30D WOVEN</t>
    <phoneticPr fontId="3" type="noConversion"/>
  </si>
  <si>
    <t>미래심지</t>
  </si>
  <si>
    <t>두성섬유</t>
    <phoneticPr fontId="3" type="noConversion"/>
  </si>
  <si>
    <t>POLY 150/48</t>
    <phoneticPr fontId="3" type="noConversion"/>
  </si>
  <si>
    <t>진영텍스코</t>
    <phoneticPr fontId="3" type="noConversion"/>
  </si>
  <si>
    <t>아이온인더스트리</t>
    <phoneticPr fontId="3" type="noConversion"/>
  </si>
  <si>
    <t>메타빈</t>
    <phoneticPr fontId="3" type="noConversion"/>
  </si>
  <si>
    <t>poly 150/48</t>
    <phoneticPr fontId="3" type="noConversion"/>
  </si>
  <si>
    <t>CLAIM</t>
    <phoneticPr fontId="3" type="noConversion"/>
  </si>
  <si>
    <t>HANDRING CHARGE</t>
    <phoneticPr fontId="3" type="noConversion"/>
  </si>
  <si>
    <t>ICE GREY/CLEAR</t>
    <phoneticPr fontId="3" type="noConversion"/>
  </si>
  <si>
    <t>A</t>
    <phoneticPr fontId="3" type="noConversion"/>
  </si>
  <si>
    <t>20D PTR</t>
  </si>
  <si>
    <t>AA</t>
    <phoneticPr fontId="3" type="noConversion"/>
  </si>
  <si>
    <t>poly NSY</t>
    <phoneticPr fontId="3" type="noConversion"/>
  </si>
  <si>
    <t>PP450D</t>
    <phoneticPr fontId="3" type="noConversion"/>
  </si>
  <si>
    <t>GREY 1</t>
    <phoneticPr fontId="3" type="noConversion"/>
  </si>
  <si>
    <t>성일티앤씨</t>
    <phoneticPr fontId="3" type="noConversion"/>
  </si>
  <si>
    <t>GREY/WHIT</t>
    <phoneticPr fontId="3" type="noConversion"/>
  </si>
  <si>
    <t>P15D WOVEN</t>
    <phoneticPr fontId="3" type="noConversion"/>
  </si>
  <si>
    <t>RECYCLE P30D WOVEN</t>
    <phoneticPr fontId="3" type="noConversion"/>
  </si>
  <si>
    <t>건국니트</t>
    <phoneticPr fontId="3" type="noConversion"/>
  </si>
  <si>
    <t>덕산엔터프라이즈</t>
    <phoneticPr fontId="3" type="noConversion"/>
  </si>
  <si>
    <t>30D INTERLOCK</t>
    <phoneticPr fontId="3" type="noConversion"/>
  </si>
  <si>
    <t>VIEWTY 600D</t>
    <phoneticPr fontId="3" type="noConversion"/>
  </si>
  <si>
    <t>11월 정산</t>
    <phoneticPr fontId="3" type="noConversion"/>
  </si>
  <si>
    <t>XXX</t>
    <phoneticPr fontId="3" type="noConversion"/>
  </si>
  <si>
    <t>XXXX</t>
    <phoneticPr fontId="3" type="noConversion"/>
  </si>
  <si>
    <t>종료</t>
    <phoneticPr fontId="3" type="noConversion"/>
  </si>
  <si>
    <t>승진섬유</t>
    <phoneticPr fontId="3" type="noConversion"/>
  </si>
  <si>
    <t>SEALON 633</t>
    <phoneticPr fontId="3" type="noConversion"/>
  </si>
  <si>
    <t>P150/3합</t>
    <phoneticPr fontId="3" type="noConversion"/>
  </si>
  <si>
    <t>NP 150/3</t>
    <phoneticPr fontId="3" type="noConversion"/>
  </si>
  <si>
    <t>아주피피얀</t>
    <phoneticPr fontId="3" type="noConversion"/>
  </si>
  <si>
    <t>Poly NSY</t>
    <phoneticPr fontId="3" type="noConversion"/>
  </si>
  <si>
    <t>동우섬유</t>
    <phoneticPr fontId="3" type="noConversion"/>
  </si>
  <si>
    <t>빛나섬유</t>
    <phoneticPr fontId="3" type="noConversion"/>
  </si>
  <si>
    <t>DTY 150/48</t>
    <phoneticPr fontId="3" type="noConversion"/>
  </si>
  <si>
    <t>SEALON633</t>
    <phoneticPr fontId="3" type="noConversion"/>
  </si>
  <si>
    <t>NP 150/3합</t>
    <phoneticPr fontId="3" type="noConversion"/>
  </si>
  <si>
    <t>W-01</t>
    <phoneticPr fontId="3" type="noConversion"/>
  </si>
  <si>
    <t>L-02</t>
    <phoneticPr fontId="3" type="noConversion"/>
  </si>
  <si>
    <t>원텍스</t>
    <phoneticPr fontId="3" type="noConversion"/>
  </si>
  <si>
    <t>C-01</t>
    <phoneticPr fontId="3" type="noConversion"/>
  </si>
  <si>
    <t>ATY 1050D</t>
    <phoneticPr fontId="3" type="noConversion"/>
  </si>
  <si>
    <t>디케이티앤씨</t>
    <phoneticPr fontId="3" type="noConversion"/>
  </si>
  <si>
    <t>하이젠 540</t>
    <phoneticPr fontId="3" type="noConversion"/>
  </si>
  <si>
    <t>정산이월</t>
    <phoneticPr fontId="3" type="noConversion"/>
  </si>
  <si>
    <t>메타빈(동우섬유)</t>
    <phoneticPr fontId="3" type="noConversion"/>
  </si>
  <si>
    <t>NP 150/2</t>
    <phoneticPr fontId="3" type="noConversion"/>
  </si>
  <si>
    <t>Grey PTFE</t>
    <phoneticPr fontId="3" type="noConversion"/>
  </si>
  <si>
    <t>WUJING FUHUANG TEXTILE CO., LTD</t>
    <phoneticPr fontId="3" type="noConversion"/>
  </si>
  <si>
    <t>tape</t>
    <phoneticPr fontId="3" type="noConversion"/>
  </si>
  <si>
    <t>PTFE GREY 필름</t>
    <phoneticPr fontId="3" type="noConversion"/>
  </si>
  <si>
    <t>KHAKI</t>
    <phoneticPr fontId="3" type="noConversion"/>
  </si>
  <si>
    <t>@1460 X$8.75</t>
  </si>
  <si>
    <t>원료</t>
    <phoneticPr fontId="3" type="noConversion"/>
  </si>
  <si>
    <t>grey ptfe</t>
    <phoneticPr fontId="3" type="noConversion"/>
  </si>
  <si>
    <t>통관비용</t>
    <phoneticPr fontId="3" type="noConversion"/>
  </si>
  <si>
    <t>물류</t>
    <phoneticPr fontId="3" type="noConversion"/>
  </si>
  <si>
    <t>운임비용</t>
    <phoneticPr fontId="3" type="noConversion"/>
  </si>
  <si>
    <t>편직</t>
    <phoneticPr fontId="3" type="noConversion"/>
  </si>
  <si>
    <t>하이젠540</t>
  </si>
  <si>
    <t>cleaner</t>
    <phoneticPr fontId="3" type="noConversion"/>
  </si>
  <si>
    <t>하이젠540</t>
    <phoneticPr fontId="3" type="noConversion"/>
  </si>
  <si>
    <t>GROUND 원사</t>
    <phoneticPr fontId="3" type="noConversion"/>
  </si>
  <si>
    <t>하이젠 540</t>
  </si>
  <si>
    <t>가공</t>
    <phoneticPr fontId="3" type="noConversion"/>
  </si>
  <si>
    <t>COTTON TRICOT</t>
    <phoneticPr fontId="3" type="noConversion"/>
  </si>
  <si>
    <t>15d심지</t>
    <phoneticPr fontId="3" type="noConversion"/>
  </si>
  <si>
    <t>back</t>
    <phoneticPr fontId="3" type="noConversion"/>
  </si>
  <si>
    <t>상품</t>
    <phoneticPr fontId="3" type="noConversion"/>
  </si>
  <si>
    <t>뷰티 내츄럴</t>
    <phoneticPr fontId="3" type="noConversion"/>
  </si>
  <si>
    <t>태광산업</t>
    <phoneticPr fontId="3" type="noConversion"/>
  </si>
  <si>
    <t>blind</t>
    <phoneticPr fontId="3" type="noConversion"/>
  </si>
  <si>
    <t>710-원사</t>
    <phoneticPr fontId="3" type="noConversion"/>
  </si>
  <si>
    <t>뷰티 내츄럴</t>
  </si>
  <si>
    <t>452-원사</t>
    <phoneticPr fontId="3" type="noConversion"/>
  </si>
  <si>
    <t>801-원사</t>
    <phoneticPr fontId="3" type="noConversion"/>
  </si>
  <si>
    <t>704-원사</t>
    <phoneticPr fontId="3" type="noConversion"/>
  </si>
  <si>
    <t>421-원사</t>
    <phoneticPr fontId="3" type="noConversion"/>
  </si>
  <si>
    <t>703-원사</t>
    <phoneticPr fontId="3" type="noConversion"/>
  </si>
  <si>
    <t>708-원사</t>
    <phoneticPr fontId="3" type="noConversion"/>
  </si>
  <si>
    <t xml:space="preserve">뷰티 xo </t>
    <phoneticPr fontId="3" type="noConversion"/>
  </si>
  <si>
    <t>31.32</t>
    <phoneticPr fontId="3" type="noConversion"/>
  </si>
  <si>
    <t>43.44</t>
    <phoneticPr fontId="3" type="noConversion"/>
  </si>
  <si>
    <t>N 15D NTR</t>
  </si>
  <si>
    <t>실론(개발팀)</t>
    <phoneticPr fontId="3" type="noConversion"/>
  </si>
  <si>
    <t>N 15D NTR</t>
    <phoneticPr fontId="3" type="noConversion"/>
  </si>
  <si>
    <t>원사판매</t>
    <phoneticPr fontId="3" type="noConversion"/>
  </si>
  <si>
    <t>메타빈(에프에스)</t>
    <phoneticPr fontId="3" type="noConversion"/>
  </si>
  <si>
    <t>연사</t>
    <phoneticPr fontId="3" type="noConversion"/>
  </si>
  <si>
    <t>승진섬유</t>
  </si>
  <si>
    <t>NP 150/3합</t>
  </si>
  <si>
    <t>PP450D</t>
  </si>
  <si>
    <t>P150/3합</t>
  </si>
  <si>
    <t>PP 450/20</t>
    <phoneticPr fontId="3" type="noConversion"/>
  </si>
  <si>
    <t>PP 450/1</t>
    <phoneticPr fontId="3" type="noConversion"/>
  </si>
  <si>
    <t>메타빈(동우)</t>
    <phoneticPr fontId="3" type="noConversion"/>
  </si>
  <si>
    <t>품질비용</t>
    <phoneticPr fontId="3" type="noConversion"/>
  </si>
  <si>
    <t>제직</t>
    <phoneticPr fontId="3" type="noConversion"/>
  </si>
  <si>
    <t>뷰티 600</t>
    <phoneticPr fontId="3" type="noConversion"/>
  </si>
  <si>
    <t>1.  2.</t>
    <phoneticPr fontId="3" type="noConversion"/>
  </si>
  <si>
    <t>롸잇루트</t>
    <phoneticPr fontId="3" type="noConversion"/>
  </si>
  <si>
    <t>하이젠</t>
    <phoneticPr fontId="3" type="noConversion"/>
  </si>
  <si>
    <t>염색</t>
    <phoneticPr fontId="3" type="noConversion"/>
  </si>
  <si>
    <t>선적누락분</t>
    <phoneticPr fontId="3" type="noConversion"/>
  </si>
  <si>
    <t>2월 이월</t>
    <phoneticPr fontId="3" type="noConversion"/>
  </si>
  <si>
    <t>Handring charge</t>
    <phoneticPr fontId="3" type="noConversion"/>
  </si>
  <si>
    <t>30심지</t>
    <phoneticPr fontId="3" type="noConversion"/>
  </si>
  <si>
    <t>NP150/3합</t>
    <phoneticPr fontId="3" type="noConversion"/>
  </si>
  <si>
    <t>4</t>
    <phoneticPr fontId="3" type="noConversion"/>
  </si>
  <si>
    <t>TRUQ BLUE</t>
    <phoneticPr fontId="3" type="noConversion"/>
  </si>
  <si>
    <t>COOL GREY</t>
    <phoneticPr fontId="3" type="noConversion"/>
  </si>
  <si>
    <t>COOL GREY 2</t>
    <phoneticPr fontId="3" type="noConversion"/>
  </si>
  <si>
    <t>COOL GREY/WHITE</t>
    <phoneticPr fontId="3" type="noConversion"/>
  </si>
  <si>
    <t>33</t>
    <phoneticPr fontId="3" type="noConversion"/>
  </si>
  <si>
    <t>SEALON 633</t>
  </si>
  <si>
    <t>TRUQ BLUE/CLEAR</t>
  </si>
  <si>
    <t>L.GREY/CLEAR</t>
  </si>
  <si>
    <t>COOL GREY2/WHITE</t>
    <phoneticPr fontId="3" type="noConversion"/>
  </si>
  <si>
    <t>풍성포장</t>
    <phoneticPr fontId="3" type="noConversion"/>
  </si>
  <si>
    <t>30 심지</t>
    <phoneticPr fontId="3" type="noConversion"/>
  </si>
  <si>
    <t>HPK342-SJ</t>
    <phoneticPr fontId="3" type="noConversion"/>
  </si>
  <si>
    <t>sofa</t>
    <phoneticPr fontId="3" type="noConversion"/>
  </si>
  <si>
    <t xml:space="preserve">recycle 30심지 </t>
    <phoneticPr fontId="3" type="noConversion"/>
  </si>
  <si>
    <t>이스토리아(에스제이인터내셔널)</t>
    <phoneticPr fontId="3" type="noConversion"/>
  </si>
  <si>
    <t>이스토리아</t>
    <phoneticPr fontId="3" type="noConversion"/>
  </si>
  <si>
    <t>q851</t>
    <phoneticPr fontId="3" type="noConversion"/>
  </si>
  <si>
    <t>1월 정산</t>
    <phoneticPr fontId="3" type="noConversion"/>
  </si>
  <si>
    <t>20ptr</t>
    <phoneticPr fontId="3" type="noConversion"/>
  </si>
  <si>
    <t>테트리스 450</t>
    <phoneticPr fontId="3" type="noConversion"/>
  </si>
  <si>
    <t>HPV3 TETRIS 450</t>
    <phoneticPr fontId="3" type="noConversion"/>
  </si>
  <si>
    <t>테트리스 300</t>
    <phoneticPr fontId="3" type="noConversion"/>
  </si>
  <si>
    <t>HPV3 TETRIS 300</t>
    <phoneticPr fontId="3" type="noConversion"/>
  </si>
  <si>
    <t>HPV XO 시직</t>
    <phoneticPr fontId="3" type="noConversion"/>
  </si>
  <si>
    <t>L02</t>
    <phoneticPr fontId="3" type="noConversion"/>
  </si>
  <si>
    <t>W01</t>
    <phoneticPr fontId="3" type="noConversion"/>
  </si>
  <si>
    <t>C01</t>
    <phoneticPr fontId="3" type="noConversion"/>
  </si>
  <si>
    <t>품질</t>
    <phoneticPr fontId="3" type="noConversion"/>
  </si>
  <si>
    <t>30 심지</t>
  </si>
  <si>
    <t>xxx</t>
    <phoneticPr fontId="3" type="noConversion"/>
  </si>
  <si>
    <t>30D INTERLOCK</t>
  </si>
  <si>
    <t>#610  본</t>
    <phoneticPr fontId="3" type="noConversion"/>
  </si>
  <si>
    <t>탕비</t>
    <phoneticPr fontId="3" type="noConversion"/>
  </si>
  <si>
    <t>HPK4112-NS</t>
    <phoneticPr fontId="3" type="noConversion"/>
  </si>
  <si>
    <t>DIM GREY</t>
    <phoneticPr fontId="3" type="noConversion"/>
  </si>
  <si>
    <t xml:space="preserve">하이멜 </t>
    <phoneticPr fontId="3" type="noConversion"/>
  </si>
  <si>
    <t>N66 NY20D</t>
    <phoneticPr fontId="3" type="noConversion"/>
  </si>
  <si>
    <t>CHARCOAL/WHITE</t>
    <phoneticPr fontId="3" type="noConversion"/>
  </si>
  <si>
    <t>매입:u$10.25/m,매출:u$12.50/m</t>
    <phoneticPr fontId="3" type="noConversion"/>
  </si>
  <si>
    <t>DIM GREY/WHITE</t>
    <phoneticPr fontId="3" type="noConversion"/>
  </si>
  <si>
    <t>hpw3200</t>
    <phoneticPr fontId="3" type="noConversion"/>
  </si>
  <si>
    <t>hkp3042-sj</t>
    <phoneticPr fontId="3" type="noConversion"/>
  </si>
  <si>
    <t>hpk4112</t>
    <phoneticPr fontId="3" type="noConversion"/>
  </si>
  <si>
    <t>hpK3042-sj</t>
    <phoneticPr fontId="3" type="noConversion"/>
  </si>
  <si>
    <t>hpk3042-sj</t>
    <phoneticPr fontId="3" type="noConversion"/>
  </si>
  <si>
    <t>N66 woven PTFE</t>
    <phoneticPr fontId="3" type="noConversion"/>
  </si>
  <si>
    <t>뷰티-XO</t>
    <phoneticPr fontId="3" type="noConversion"/>
  </si>
  <si>
    <t>SUZHOU ROMROL FASHION</t>
    <phoneticPr fontId="3" type="noConversion"/>
  </si>
  <si>
    <t>NP 150D</t>
    <phoneticPr fontId="3" type="noConversion"/>
  </si>
  <si>
    <t>VIEWTY XO</t>
    <phoneticPr fontId="3" type="noConversion"/>
  </si>
  <si>
    <t>NP150D</t>
    <phoneticPr fontId="3" type="noConversion"/>
  </si>
  <si>
    <t>원사이송</t>
    <phoneticPr fontId="3" type="noConversion"/>
  </si>
  <si>
    <t>P150D</t>
    <phoneticPr fontId="3" type="noConversion"/>
  </si>
  <si>
    <t xml:space="preserve">recycle 30심지 </t>
  </si>
  <si>
    <t>국내원산지증명</t>
    <phoneticPr fontId="3" type="noConversion"/>
  </si>
  <si>
    <t>JIN GREY</t>
    <phoneticPr fontId="3" type="noConversion"/>
  </si>
  <si>
    <t>성일티앤씨</t>
  </si>
  <si>
    <t>QUITE SHADE/WHITE</t>
  </si>
  <si>
    <t>BLACK/WHITE</t>
  </si>
  <si>
    <t>back</t>
  </si>
  <si>
    <t>20PTR</t>
    <phoneticPr fontId="3" type="noConversion"/>
  </si>
  <si>
    <t>TAPE</t>
    <phoneticPr fontId="3" type="noConversion"/>
  </si>
  <si>
    <t>원창머티어리얼</t>
    <phoneticPr fontId="3" type="noConversion"/>
  </si>
  <si>
    <t>GREY1</t>
    <phoneticPr fontId="3" type="noConversion"/>
  </si>
  <si>
    <t>반품</t>
    <phoneticPr fontId="3" type="noConversion"/>
  </si>
  <si>
    <t>CLEANER</t>
    <phoneticPr fontId="3" type="noConversion"/>
  </si>
  <si>
    <t>blind</t>
  </si>
  <si>
    <t>뷰티600</t>
    <phoneticPr fontId="3" type="noConversion"/>
  </si>
  <si>
    <t>018</t>
    <phoneticPr fontId="3" type="noConversion"/>
  </si>
  <si>
    <t>단가확인</t>
    <phoneticPr fontId="3" type="noConversion"/>
  </si>
  <si>
    <t>인터마루</t>
    <phoneticPr fontId="3" type="noConversion"/>
  </si>
  <si>
    <t>P150d 3합</t>
    <phoneticPr fontId="3" type="noConversion"/>
  </si>
  <si>
    <t>NP150d 3합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</si>
</sst>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26" formatCode="\$#,##0.00_);[Red]\(\$#,##0.00\)"/>
    <numFmt numFmtId="176" formatCode="0_);[Red]\(0\)"/>
    <numFmt numFmtId="177" formatCode="yyyy/mm/dd;@"/>
    <numFmt numFmtId="178" formatCode="\l\o\t#\ &quot;&quot;"/>
    <numFmt numFmtId="179" formatCode="0_ "/>
    <numFmt numFmtId="180" formatCode="0.00&quot;KG&quot;"/>
    <numFmt numFmtId="181" formatCode="0&quot;YDS&quot;"/>
    <numFmt numFmtId="182" formatCode="0&quot;MT&quot;"/>
    <numFmt numFmtId="183" formatCode="&quot;₩&quot;#,##0_);[Red]\(&quot;₩&quot;#,##0\)"/>
    <numFmt numFmtId="184" formatCode="#,##0_ ;[Red]\-#,##0\ "/>
  </numFmts>
  <fonts count="2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rgb="FFC0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HY견고딕"/>
      <family val="1"/>
      <charset val="129"/>
    </font>
    <font>
      <b/>
      <sz val="10"/>
      <color rgb="FFFF0000"/>
      <name val="HY견고딕"/>
      <family val="1"/>
      <charset val="129"/>
    </font>
    <font>
      <sz val="10"/>
      <color theme="3" tint="0.39997558519241921"/>
      <name val="HY견고딕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78" fontId="4" fillId="2" borderId="1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Border="1" applyAlignment="1" applyProtection="1">
      <alignment horizontal="left" vertical="center"/>
      <protection locked="0"/>
    </xf>
    <xf numFmtId="179" fontId="0" fillId="0" borderId="1" xfId="0" applyNumberFormat="1" applyBorder="1" applyAlignment="1" applyProtection="1">
      <alignment horizontal="right" vertical="center"/>
      <protection locked="0"/>
    </xf>
    <xf numFmtId="180" fontId="0" fillId="0" borderId="1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83" fontId="0" fillId="3" borderId="1" xfId="0" applyNumberFormat="1" applyFill="1" applyBorder="1" applyAlignment="1">
      <alignment horizontal="center" vertical="center"/>
    </xf>
    <xf numFmtId="183" fontId="0" fillId="3" borderId="1" xfId="0" applyNumberFormat="1" applyFill="1" applyBorder="1">
      <alignment vertical="center"/>
    </xf>
    <xf numFmtId="183" fontId="1" fillId="0" borderId="0" xfId="1" applyNumberFormat="1" applyFont="1" applyFill="1" applyAlignment="1">
      <alignment horizontal="right" vertical="center"/>
    </xf>
    <xf numFmtId="26" fontId="6" fillId="0" borderId="1" xfId="0" applyNumberFormat="1" applyFont="1" applyBorder="1" applyAlignment="1">
      <alignment horizontal="right" vertical="center"/>
    </xf>
    <xf numFmtId="26" fontId="6" fillId="0" borderId="1" xfId="1" applyNumberFormat="1" applyFont="1" applyBorder="1" applyAlignment="1">
      <alignment horizontal="right" vertical="center"/>
    </xf>
    <xf numFmtId="183" fontId="6" fillId="0" borderId="1" xfId="0" applyNumberFormat="1" applyFont="1" applyBorder="1" applyAlignment="1">
      <alignment horizontal="right" vertical="center"/>
    </xf>
    <xf numFmtId="183" fontId="6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84" fontId="0" fillId="0" borderId="0" xfId="0" applyNumberFormat="1">
      <alignment vertical="center"/>
    </xf>
    <xf numFmtId="177" fontId="7" fillId="4" borderId="3" xfId="0" applyNumberFormat="1" applyFont="1" applyFill="1" applyBorder="1" applyAlignment="1">
      <alignment horizontal="center" vertical="center"/>
    </xf>
    <xf numFmtId="177" fontId="7" fillId="4" borderId="4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0" fillId="4" borderId="1" xfId="0" applyFill="1" applyBorder="1">
      <alignment vertical="center"/>
    </xf>
    <xf numFmtId="1" fontId="0" fillId="4" borderId="1" xfId="0" applyNumberFormat="1" applyFill="1" applyBorder="1" applyAlignment="1">
      <alignment horizontal="left" vertical="center"/>
    </xf>
    <xf numFmtId="179" fontId="0" fillId="4" borderId="1" xfId="0" applyNumberFormat="1" applyFill="1" applyBorder="1" applyAlignment="1" applyProtection="1">
      <alignment horizontal="right" vertical="center"/>
      <protection locked="0"/>
    </xf>
    <xf numFmtId="180" fontId="0" fillId="4" borderId="1" xfId="0" applyNumberForma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right" vertical="center"/>
    </xf>
    <xf numFmtId="182" fontId="0" fillId="4" borderId="1" xfId="0" applyNumberFormat="1" applyFill="1" applyBorder="1" applyAlignment="1">
      <alignment horizontal="right" vertical="center"/>
    </xf>
    <xf numFmtId="183" fontId="0" fillId="4" borderId="1" xfId="0" applyNumberFormat="1" applyFill="1" applyBorder="1" applyAlignment="1">
      <alignment horizontal="center" vertical="center"/>
    </xf>
    <xf numFmtId="183" fontId="0" fillId="4" borderId="1" xfId="0" applyNumberFormat="1" applyFill="1" applyBorder="1">
      <alignment vertical="center"/>
    </xf>
    <xf numFmtId="183" fontId="12" fillId="4" borderId="0" xfId="1" applyNumberFormat="1" applyFont="1" applyFill="1" applyAlignment="1">
      <alignment horizontal="left" vertical="center"/>
    </xf>
    <xf numFmtId="183" fontId="1" fillId="4" borderId="0" xfId="1" applyNumberFormat="1" applyFill="1" applyAlignment="1">
      <alignment horizontal="right" vertical="center"/>
    </xf>
    <xf numFmtId="26" fontId="6" fillId="4" borderId="1" xfId="0" applyNumberFormat="1" applyFont="1" applyFill="1" applyBorder="1" applyAlignment="1">
      <alignment horizontal="right" vertical="center"/>
    </xf>
    <xf numFmtId="26" fontId="6" fillId="4" borderId="1" xfId="1" applyNumberFormat="1" applyFont="1" applyFill="1" applyBorder="1" applyAlignment="1">
      <alignment horizontal="right" vertical="center"/>
    </xf>
    <xf numFmtId="183" fontId="6" fillId="4" borderId="1" xfId="0" applyNumberFormat="1" applyFont="1" applyFill="1" applyBorder="1" applyAlignment="1">
      <alignment horizontal="right" vertical="center"/>
    </xf>
    <xf numFmtId="183" fontId="6" fillId="4" borderId="1" xfId="0" applyNumberFormat="1" applyFont="1" applyFill="1" applyBorder="1">
      <alignment vertical="center"/>
    </xf>
    <xf numFmtId="0" fontId="0" fillId="4" borderId="0" xfId="0" applyFill="1">
      <alignment vertical="center"/>
    </xf>
    <xf numFmtId="183" fontId="13" fillId="0" borderId="0" xfId="1" applyNumberFormat="1" applyFont="1" applyFill="1" applyAlignment="1">
      <alignment horizontal="center" vertical="center" wrapText="1"/>
    </xf>
    <xf numFmtId="176" fontId="0" fillId="5" borderId="5" xfId="0" applyNumberFormat="1" applyFill="1" applyBorder="1" applyAlignment="1">
      <alignment horizontal="center" vertical="center"/>
    </xf>
    <xf numFmtId="177" fontId="0" fillId="5" borderId="6" xfId="0" applyNumberFormat="1" applyFill="1" applyBorder="1" applyAlignment="1">
      <alignment horizontal="center" vertical="center"/>
    </xf>
    <xf numFmtId="14" fontId="14" fillId="5" borderId="8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/>
    </xf>
    <xf numFmtId="0" fontId="15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1" fontId="14" fillId="5" borderId="7" xfId="0" applyNumberFormat="1" applyFont="1" applyFill="1" applyBorder="1" applyAlignment="1">
      <alignment horizontal="center" vertical="center" wrapText="1"/>
    </xf>
    <xf numFmtId="179" fontId="14" fillId="5" borderId="7" xfId="0" applyNumberFormat="1" applyFont="1" applyFill="1" applyBorder="1" applyAlignment="1" applyProtection="1">
      <alignment horizontal="center" vertical="center" wrapText="1"/>
      <protection locked="0"/>
    </xf>
    <xf numFmtId="180" fontId="14" fillId="5" borderId="7" xfId="0" applyNumberFormat="1" applyFont="1" applyFill="1" applyBorder="1" applyAlignment="1">
      <alignment horizontal="center" vertical="center" wrapText="1"/>
    </xf>
    <xf numFmtId="181" fontId="14" fillId="5" borderId="7" xfId="0" applyNumberFormat="1" applyFont="1" applyFill="1" applyBorder="1" applyAlignment="1">
      <alignment horizontal="center" vertical="center" wrapText="1"/>
    </xf>
    <xf numFmtId="182" fontId="14" fillId="5" borderId="7" xfId="0" applyNumberFormat="1" applyFont="1" applyFill="1" applyBorder="1" applyAlignment="1">
      <alignment horizontal="center" vertical="center" wrapText="1"/>
    </xf>
    <xf numFmtId="183" fontId="14" fillId="3" borderId="7" xfId="0" applyNumberFormat="1" applyFont="1" applyFill="1" applyBorder="1" applyAlignment="1">
      <alignment horizontal="center" vertical="center" wrapText="1"/>
    </xf>
    <xf numFmtId="183" fontId="14" fillId="6" borderId="5" xfId="1" applyNumberFormat="1" applyFont="1" applyFill="1" applyBorder="1" applyAlignment="1">
      <alignment horizontal="center" vertical="center" wrapText="1"/>
    </xf>
    <xf numFmtId="26" fontId="17" fillId="5" borderId="7" xfId="0" applyNumberFormat="1" applyFont="1" applyFill="1" applyBorder="1" applyAlignment="1">
      <alignment horizontal="center" vertical="center" wrapText="1"/>
    </xf>
    <xf numFmtId="26" fontId="17" fillId="5" borderId="7" xfId="1" applyNumberFormat="1" applyFont="1" applyFill="1" applyBorder="1" applyAlignment="1">
      <alignment horizontal="center" vertical="center" wrapText="1"/>
    </xf>
    <xf numFmtId="183" fontId="17" fillId="7" borderId="7" xfId="0" applyNumberFormat="1" applyFont="1" applyFill="1" applyBorder="1" applyAlignment="1">
      <alignment horizontal="center" vertical="center" wrapText="1"/>
    </xf>
    <xf numFmtId="183" fontId="14" fillId="0" borderId="5" xfId="1" applyNumberFormat="1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184" fontId="14" fillId="0" borderId="9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1" fontId="0" fillId="0" borderId="1" xfId="0" applyNumberFormat="1" applyBorder="1" applyAlignment="1">
      <alignment horizontal="left" vertical="center"/>
    </xf>
    <xf numFmtId="0" fontId="0" fillId="8" borderId="0" xfId="0" applyFill="1">
      <alignment vertical="center"/>
    </xf>
    <xf numFmtId="176" fontId="0" fillId="8" borderId="0" xfId="0" applyNumberFormat="1" applyFill="1" applyAlignment="1">
      <alignment horizontal="center" vertical="center"/>
    </xf>
    <xf numFmtId="177" fontId="0" fillId="8" borderId="0" xfId="0" applyNumberFormat="1" applyFill="1" applyAlignment="1">
      <alignment horizontal="left" vertical="center"/>
    </xf>
    <xf numFmtId="14" fontId="0" fillId="8" borderId="0" xfId="0" applyNumberForma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1" fontId="0" fillId="8" borderId="1" xfId="0" applyNumberFormat="1" applyFill="1" applyBorder="1" applyAlignment="1">
      <alignment horizontal="left" vertical="center"/>
    </xf>
    <xf numFmtId="179" fontId="0" fillId="8" borderId="1" xfId="0" applyNumberFormat="1" applyFill="1" applyBorder="1" applyAlignment="1" applyProtection="1">
      <alignment horizontal="right" vertical="center"/>
      <protection locked="0"/>
    </xf>
    <xf numFmtId="180" fontId="0" fillId="8" borderId="1" xfId="0" applyNumberFormat="1" applyFill="1" applyBorder="1" applyAlignment="1">
      <alignment horizontal="center" vertical="center"/>
    </xf>
    <xf numFmtId="181" fontId="0" fillId="8" borderId="1" xfId="0" applyNumberFormat="1" applyFill="1" applyBorder="1" applyAlignment="1">
      <alignment horizontal="right" vertical="center"/>
    </xf>
    <xf numFmtId="182" fontId="0" fillId="8" borderId="1" xfId="0" applyNumberFormat="1" applyFill="1" applyBorder="1" applyAlignment="1">
      <alignment horizontal="right" vertical="center"/>
    </xf>
    <xf numFmtId="26" fontId="6" fillId="8" borderId="1" xfId="0" applyNumberFormat="1" applyFont="1" applyFill="1" applyBorder="1" applyAlignment="1">
      <alignment horizontal="right" vertical="center"/>
    </xf>
    <xf numFmtId="26" fontId="6" fillId="8" borderId="1" xfId="1" applyNumberFormat="1" applyFont="1" applyFill="1" applyBorder="1" applyAlignment="1">
      <alignment horizontal="right" vertical="center"/>
    </xf>
    <xf numFmtId="183" fontId="6" fillId="8" borderId="1" xfId="0" applyNumberFormat="1" applyFont="1" applyFill="1" applyBorder="1" applyAlignment="1">
      <alignment horizontal="right" vertical="center"/>
    </xf>
    <xf numFmtId="183" fontId="6" fillId="8" borderId="1" xfId="0" applyNumberFormat="1" applyFont="1" applyFill="1" applyBorder="1">
      <alignment vertical="center"/>
    </xf>
    <xf numFmtId="14" fontId="0" fillId="9" borderId="0" xfId="0" applyNumberFormat="1" applyFill="1" applyAlignment="1">
      <alignment horizontal="center" vertical="center"/>
    </xf>
    <xf numFmtId="1" fontId="0" fillId="8" borderId="1" xfId="0" quotePrefix="1" applyNumberFormat="1" applyFill="1" applyBorder="1" applyAlignment="1">
      <alignment horizontal="left" vertical="center"/>
    </xf>
    <xf numFmtId="0" fontId="0" fillId="9" borderId="0" xfId="0" applyFill="1">
      <alignment vertical="center"/>
    </xf>
    <xf numFmtId="177" fontId="0" fillId="9" borderId="0" xfId="0" applyNumberFormat="1" applyFill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1" fontId="0" fillId="9" borderId="1" xfId="0" applyNumberFormat="1" applyFill="1" applyBorder="1" applyAlignment="1">
      <alignment horizontal="left" vertical="center"/>
    </xf>
    <xf numFmtId="179" fontId="0" fillId="9" borderId="1" xfId="0" applyNumberFormat="1" applyFill="1" applyBorder="1" applyAlignment="1" applyProtection="1">
      <alignment horizontal="right" vertical="center"/>
      <protection locked="0"/>
    </xf>
    <xf numFmtId="180" fontId="0" fillId="9" borderId="1" xfId="0" applyNumberFormat="1" applyFill="1" applyBorder="1" applyAlignment="1">
      <alignment horizontal="center" vertical="center"/>
    </xf>
    <xf numFmtId="181" fontId="0" fillId="9" borderId="1" xfId="0" applyNumberFormat="1" applyFill="1" applyBorder="1" applyAlignment="1">
      <alignment horizontal="right" vertical="center"/>
    </xf>
    <xf numFmtId="182" fontId="0" fillId="9" borderId="1" xfId="0" applyNumberFormat="1" applyFill="1" applyBorder="1" applyAlignment="1">
      <alignment horizontal="right" vertical="center"/>
    </xf>
    <xf numFmtId="26" fontId="6" fillId="9" borderId="1" xfId="0" applyNumberFormat="1" applyFont="1" applyFill="1" applyBorder="1" applyAlignment="1">
      <alignment horizontal="right" vertical="center"/>
    </xf>
    <xf numFmtId="26" fontId="6" fillId="9" borderId="1" xfId="1" applyNumberFormat="1" applyFont="1" applyFill="1" applyBorder="1" applyAlignment="1">
      <alignment horizontal="right" vertical="center"/>
    </xf>
    <xf numFmtId="183" fontId="6" fillId="9" borderId="1" xfId="0" applyNumberFormat="1" applyFont="1" applyFill="1" applyBorder="1" applyAlignment="1">
      <alignment horizontal="right" vertical="center"/>
    </xf>
    <xf numFmtId="183" fontId="6" fillId="9" borderId="1" xfId="0" applyNumberFormat="1" applyFont="1" applyFill="1" applyBorder="1">
      <alignment vertical="center"/>
    </xf>
    <xf numFmtId="176" fontId="0" fillId="0" borderId="6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>
      <alignment vertical="center"/>
    </xf>
    <xf numFmtId="1" fontId="0" fillId="0" borderId="7" xfId="0" applyNumberFormat="1" applyBorder="1" applyAlignment="1">
      <alignment horizontal="left" vertical="center"/>
    </xf>
    <xf numFmtId="179" fontId="0" fillId="0" borderId="7" xfId="0" applyNumberFormat="1" applyBorder="1" applyAlignment="1" applyProtection="1">
      <alignment horizontal="right" vertical="center"/>
      <protection locked="0"/>
    </xf>
    <xf numFmtId="180" fontId="0" fillId="0" borderId="7" xfId="0" applyNumberFormat="1" applyBorder="1" applyAlignment="1">
      <alignment horizontal="center" vertical="center"/>
    </xf>
    <xf numFmtId="181" fontId="0" fillId="0" borderId="7" xfId="0" applyNumberFormat="1" applyBorder="1" applyAlignment="1">
      <alignment horizontal="right" vertical="center"/>
    </xf>
    <xf numFmtId="182" fontId="0" fillId="0" borderId="7" xfId="0" applyNumberFormat="1" applyBorder="1" applyAlignment="1">
      <alignment horizontal="right" vertical="center"/>
    </xf>
    <xf numFmtId="183" fontId="0" fillId="3" borderId="7" xfId="0" applyNumberFormat="1" applyFill="1" applyBorder="1" applyAlignment="1">
      <alignment horizontal="center" vertical="center"/>
    </xf>
    <xf numFmtId="183" fontId="0" fillId="3" borderId="7" xfId="0" applyNumberFormat="1" applyFill="1" applyBorder="1">
      <alignment vertical="center"/>
    </xf>
    <xf numFmtId="183" fontId="1" fillId="0" borderId="5" xfId="1" applyNumberFormat="1" applyFont="1" applyFill="1" applyBorder="1" applyAlignment="1">
      <alignment horizontal="right" vertical="center"/>
    </xf>
    <xf numFmtId="26" fontId="6" fillId="0" borderId="7" xfId="0" applyNumberFormat="1" applyFont="1" applyBorder="1" applyAlignment="1">
      <alignment horizontal="right" vertical="center"/>
    </xf>
    <xf numFmtId="26" fontId="6" fillId="0" borderId="7" xfId="1" applyNumberFormat="1" applyFont="1" applyBorder="1" applyAlignment="1">
      <alignment horizontal="right" vertical="center"/>
    </xf>
    <xf numFmtId="183" fontId="6" fillId="0" borderId="7" xfId="0" applyNumberFormat="1" applyFont="1" applyBorder="1" applyAlignment="1">
      <alignment horizontal="right" vertical="center"/>
    </xf>
    <xf numFmtId="183" fontId="6" fillId="0" borderId="7" xfId="0" applyNumberFormat="1" applyFont="1" applyBorder="1">
      <alignment vertical="center"/>
    </xf>
    <xf numFmtId="0" fontId="0" fillId="0" borderId="5" xfId="0" applyBorder="1" applyAlignment="1">
      <alignment horizontal="center" vertical="center"/>
    </xf>
    <xf numFmtId="18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1" fontId="0" fillId="0" borderId="1" xfId="0" quotePrefix="1" applyNumberFormat="1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2" xfId="0" applyFill="1" applyBorder="1">
      <alignment vertical="center"/>
    </xf>
    <xf numFmtId="0" fontId="0" fillId="0" borderId="2" xfId="0" applyBorder="1">
      <alignment vertical="center"/>
    </xf>
    <xf numFmtId="26" fontId="6" fillId="0" borderId="0" xfId="0" applyNumberFormat="1" applyFont="1" applyAlignment="1">
      <alignment horizontal="right" vertical="center"/>
    </xf>
    <xf numFmtId="26" fontId="6" fillId="0" borderId="0" xfId="1" applyNumberFormat="1" applyFont="1" applyBorder="1" applyAlignment="1">
      <alignment horizontal="right" vertical="center"/>
    </xf>
    <xf numFmtId="183" fontId="1" fillId="9" borderId="0" xfId="1" applyNumberFormat="1" applyFont="1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183" fontId="0" fillId="8" borderId="1" xfId="0" applyNumberFormat="1" applyFill="1" applyBorder="1" applyAlignment="1">
      <alignment horizontal="center" vertical="center"/>
    </xf>
    <xf numFmtId="183" fontId="0" fillId="8" borderId="1" xfId="0" applyNumberFormat="1" applyFill="1" applyBorder="1">
      <alignment vertical="center"/>
    </xf>
    <xf numFmtId="183" fontId="1" fillId="8" borderId="0" xfId="1" applyNumberFormat="1" applyFont="1" applyFill="1" applyAlignment="1">
      <alignment horizontal="right" vertical="center"/>
    </xf>
    <xf numFmtId="0" fontId="0" fillId="8" borderId="0" xfId="0" applyFill="1" applyAlignment="1">
      <alignment horizontal="center" vertical="center"/>
    </xf>
    <xf numFmtId="183" fontId="5" fillId="8" borderId="1" xfId="0" applyNumberFormat="1" applyFont="1" applyFill="1" applyBorder="1">
      <alignment vertical="center"/>
    </xf>
    <xf numFmtId="26" fontId="6" fillId="8" borderId="0" xfId="0" applyNumberFormat="1" applyFont="1" applyFill="1" applyAlignment="1">
      <alignment horizontal="right" vertical="center"/>
    </xf>
    <xf numFmtId="183" fontId="1" fillId="0" borderId="1" xfId="1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26" fontId="6" fillId="8" borderId="0" xfId="1" applyNumberFormat="1" applyFont="1" applyFill="1" applyBorder="1" applyAlignment="1">
      <alignment horizontal="right" vertical="center"/>
    </xf>
    <xf numFmtId="183" fontId="6" fillId="8" borderId="0" xfId="0" applyNumberFormat="1" applyFont="1" applyFill="1">
      <alignment vertical="center"/>
    </xf>
    <xf numFmtId="183" fontId="1" fillId="8" borderId="1" xfId="1" applyNumberFormat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9" borderId="0" xfId="0" applyNumberFormat="1" applyFill="1">
      <alignment vertical="center"/>
    </xf>
    <xf numFmtId="183" fontId="1" fillId="8" borderId="0" xfId="1" quotePrefix="1" applyNumberFormat="1" applyFont="1" applyFill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22" fillId="0" borderId="1" xfId="0" applyFont="1" applyBorder="1" applyAlignment="1">
      <alignment vertical="center" wrapText="1"/>
    </xf>
    <xf numFmtId="0" fontId="22" fillId="4" borderId="1" xfId="0" applyFont="1" applyFill="1" applyBorder="1">
      <alignment vertical="center"/>
    </xf>
    <xf numFmtId="0" fontId="23" fillId="5" borderId="7" xfId="0" applyFont="1" applyFill="1" applyBorder="1" applyAlignment="1">
      <alignment horizontal="center" vertical="center" wrapText="1"/>
    </xf>
    <xf numFmtId="0" fontId="22" fillId="8" borderId="1" xfId="0" applyFont="1" applyFill="1" applyBorder="1">
      <alignment vertical="center"/>
    </xf>
    <xf numFmtId="0" fontId="22" fillId="0" borderId="1" xfId="0" applyFont="1" applyBorder="1">
      <alignment vertical="center"/>
    </xf>
    <xf numFmtId="0" fontId="22" fillId="0" borderId="7" xfId="0" applyFont="1" applyBorder="1">
      <alignment vertical="center"/>
    </xf>
    <xf numFmtId="0" fontId="22" fillId="8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>
      <alignment vertical="center"/>
    </xf>
    <xf numFmtId="0" fontId="22" fillId="8" borderId="2" xfId="0" applyFont="1" applyFill="1" applyBorder="1">
      <alignment vertical="center"/>
    </xf>
    <xf numFmtId="0" fontId="22" fillId="8" borderId="2" xfId="0" applyFont="1" applyFill="1" applyBorder="1" applyAlignment="1">
      <alignment horizontal="left" vertical="center"/>
    </xf>
    <xf numFmtId="0" fontId="22" fillId="0" borderId="0" xfId="0" applyFont="1">
      <alignment vertical="center"/>
    </xf>
    <xf numFmtId="0" fontId="24" fillId="8" borderId="1" xfId="0" applyFont="1" applyFill="1" applyBorder="1">
      <alignment vertical="center"/>
    </xf>
    <xf numFmtId="14" fontId="0" fillId="8" borderId="0" xfId="0" applyNumberFormat="1" applyFill="1" applyAlignment="1">
      <alignment horizontal="left" vertical="center"/>
    </xf>
    <xf numFmtId="0" fontId="24" fillId="0" borderId="1" xfId="0" applyFont="1" applyBorder="1">
      <alignment vertical="center"/>
    </xf>
  </cellXfs>
  <cellStyles count="4">
    <cellStyle name="쉼표 [0]" xfId="1" builtinId="6"/>
    <cellStyle name="쉼표 [0] 12 2" xfId="3" xr:uid="{13812FE6-AB4D-47EB-B3AB-E8F715CAC448}"/>
    <cellStyle name="표준" xfId="0" builtinId="0"/>
    <cellStyle name="표준 9 4" xfId="2" xr:uid="{8E9C33C8-3B29-4768-8D43-06975CE4D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8C59-A5EC-44F9-96F2-34B93E69F4AA}">
  <sheetPr>
    <tabColor rgb="FFFF0000"/>
  </sheetPr>
  <dimension ref="A1:BP293"/>
  <sheetViews>
    <sheetView tabSelected="1" zoomScale="80" zoomScaleNormal="80" workbookViewId="0">
      <pane xSplit="7" ySplit="3" topLeftCell="H264" activePane="bottomRight" state="frozen"/>
      <selection pane="topRight" activeCell="H1" sqref="H1"/>
      <selection pane="bottomLeft" activeCell="A4" sqref="A4"/>
      <selection pane="bottomRight" activeCell="F185" sqref="F185"/>
    </sheetView>
  </sheetViews>
  <sheetFormatPr defaultRowHeight="17" x14ac:dyDescent="0.45"/>
  <cols>
    <col min="2" max="2" width="11.08203125" customWidth="1"/>
    <col min="3" max="3" width="12.25" style="158" customWidth="1"/>
    <col min="4" max="4" width="10.9140625" style="22" customWidth="1"/>
    <col min="5" max="5" width="11.6640625" style="124" customWidth="1"/>
    <col min="6" max="6" width="9.58203125" style="22" customWidth="1"/>
    <col min="7" max="7" width="13.25" customWidth="1"/>
    <col min="8" max="8" width="22.9140625" customWidth="1"/>
    <col min="13" max="13" width="11.25" bestFit="1" customWidth="1"/>
    <col min="14" max="14" width="9.6640625" customWidth="1"/>
    <col min="16" max="16" width="9.5" customWidth="1"/>
    <col min="17" max="17" width="13.4140625" bestFit="1" customWidth="1"/>
    <col min="19" max="19" width="13.4140625" bestFit="1" customWidth="1"/>
    <col min="22" max="22" width="9.75" customWidth="1"/>
    <col min="23" max="23" width="14.75" bestFit="1" customWidth="1"/>
    <col min="24" max="24" width="29.1640625" bestFit="1" customWidth="1"/>
    <col min="25" max="25" width="8.6640625" style="22"/>
    <col min="26" max="26" width="11.6640625" bestFit="1" customWidth="1"/>
    <col min="258" max="258" width="11.08203125" customWidth="1"/>
    <col min="259" max="259" width="12.25" customWidth="1"/>
    <col min="260" max="260" width="10.9140625" customWidth="1"/>
    <col min="261" max="261" width="11.6640625" customWidth="1"/>
    <col min="262" max="262" width="9.58203125" customWidth="1"/>
    <col min="263" max="263" width="13.25" customWidth="1"/>
    <col min="264" max="264" width="22.9140625" customWidth="1"/>
    <col min="269" max="269" width="11.25" bestFit="1" customWidth="1"/>
    <col min="270" max="270" width="9.6640625" customWidth="1"/>
    <col min="272" max="272" width="9.5" customWidth="1"/>
    <col min="273" max="273" width="13.4140625" bestFit="1" customWidth="1"/>
    <col min="275" max="275" width="13.4140625" bestFit="1" customWidth="1"/>
    <col min="278" max="278" width="9.75" customWidth="1"/>
    <col min="279" max="279" width="14.75" bestFit="1" customWidth="1"/>
    <col min="280" max="280" width="29.1640625" bestFit="1" customWidth="1"/>
    <col min="282" max="282" width="11.6640625" bestFit="1" customWidth="1"/>
    <col min="514" max="514" width="11.08203125" customWidth="1"/>
    <col min="515" max="515" width="12.25" customWidth="1"/>
    <col min="516" max="516" width="10.9140625" customWidth="1"/>
    <col min="517" max="517" width="11.6640625" customWidth="1"/>
    <col min="518" max="518" width="9.58203125" customWidth="1"/>
    <col min="519" max="519" width="13.25" customWidth="1"/>
    <col min="520" max="520" width="22.9140625" customWidth="1"/>
    <col min="525" max="525" width="11.25" bestFit="1" customWidth="1"/>
    <col min="526" max="526" width="9.6640625" customWidth="1"/>
    <col min="528" max="528" width="9.5" customWidth="1"/>
    <col min="529" max="529" width="13.4140625" bestFit="1" customWidth="1"/>
    <col min="531" max="531" width="13.4140625" bestFit="1" customWidth="1"/>
    <col min="534" max="534" width="9.75" customWidth="1"/>
    <col min="535" max="535" width="14.75" bestFit="1" customWidth="1"/>
    <col min="536" max="536" width="29.1640625" bestFit="1" customWidth="1"/>
    <col min="538" max="538" width="11.6640625" bestFit="1" customWidth="1"/>
    <col min="770" max="770" width="11.08203125" customWidth="1"/>
    <col min="771" max="771" width="12.25" customWidth="1"/>
    <col min="772" max="772" width="10.9140625" customWidth="1"/>
    <col min="773" max="773" width="11.6640625" customWidth="1"/>
    <col min="774" max="774" width="9.58203125" customWidth="1"/>
    <col min="775" max="775" width="13.25" customWidth="1"/>
    <col min="776" max="776" width="22.9140625" customWidth="1"/>
    <col min="781" max="781" width="11.25" bestFit="1" customWidth="1"/>
    <col min="782" max="782" width="9.6640625" customWidth="1"/>
    <col min="784" max="784" width="9.5" customWidth="1"/>
    <col min="785" max="785" width="13.4140625" bestFit="1" customWidth="1"/>
    <col min="787" max="787" width="13.4140625" bestFit="1" customWidth="1"/>
    <col min="790" max="790" width="9.75" customWidth="1"/>
    <col min="791" max="791" width="14.75" bestFit="1" customWidth="1"/>
    <col min="792" max="792" width="29.1640625" bestFit="1" customWidth="1"/>
    <col min="794" max="794" width="11.6640625" bestFit="1" customWidth="1"/>
    <col min="1026" max="1026" width="11.08203125" customWidth="1"/>
    <col min="1027" max="1027" width="12.25" customWidth="1"/>
    <col min="1028" max="1028" width="10.9140625" customWidth="1"/>
    <col min="1029" max="1029" width="11.6640625" customWidth="1"/>
    <col min="1030" max="1030" width="9.58203125" customWidth="1"/>
    <col min="1031" max="1031" width="13.25" customWidth="1"/>
    <col min="1032" max="1032" width="22.9140625" customWidth="1"/>
    <col min="1037" max="1037" width="11.25" bestFit="1" customWidth="1"/>
    <col min="1038" max="1038" width="9.6640625" customWidth="1"/>
    <col min="1040" max="1040" width="9.5" customWidth="1"/>
    <col min="1041" max="1041" width="13.4140625" bestFit="1" customWidth="1"/>
    <col min="1043" max="1043" width="13.4140625" bestFit="1" customWidth="1"/>
    <col min="1046" max="1046" width="9.75" customWidth="1"/>
    <col min="1047" max="1047" width="14.75" bestFit="1" customWidth="1"/>
    <col min="1048" max="1048" width="29.1640625" bestFit="1" customWidth="1"/>
    <col min="1050" max="1050" width="11.6640625" bestFit="1" customWidth="1"/>
    <col min="1282" max="1282" width="11.08203125" customWidth="1"/>
    <col min="1283" max="1283" width="12.25" customWidth="1"/>
    <col min="1284" max="1284" width="10.9140625" customWidth="1"/>
    <col min="1285" max="1285" width="11.6640625" customWidth="1"/>
    <col min="1286" max="1286" width="9.58203125" customWidth="1"/>
    <col min="1287" max="1287" width="13.25" customWidth="1"/>
    <col min="1288" max="1288" width="22.9140625" customWidth="1"/>
    <col min="1293" max="1293" width="11.25" bestFit="1" customWidth="1"/>
    <col min="1294" max="1294" width="9.6640625" customWidth="1"/>
    <col min="1296" max="1296" width="9.5" customWidth="1"/>
    <col min="1297" max="1297" width="13.4140625" bestFit="1" customWidth="1"/>
    <col min="1299" max="1299" width="13.4140625" bestFit="1" customWidth="1"/>
    <col min="1302" max="1302" width="9.75" customWidth="1"/>
    <col min="1303" max="1303" width="14.75" bestFit="1" customWidth="1"/>
    <col min="1304" max="1304" width="29.1640625" bestFit="1" customWidth="1"/>
    <col min="1306" max="1306" width="11.6640625" bestFit="1" customWidth="1"/>
    <col min="1538" max="1538" width="11.08203125" customWidth="1"/>
    <col min="1539" max="1539" width="12.25" customWidth="1"/>
    <col min="1540" max="1540" width="10.9140625" customWidth="1"/>
    <col min="1541" max="1541" width="11.6640625" customWidth="1"/>
    <col min="1542" max="1542" width="9.58203125" customWidth="1"/>
    <col min="1543" max="1543" width="13.25" customWidth="1"/>
    <col min="1544" max="1544" width="22.9140625" customWidth="1"/>
    <col min="1549" max="1549" width="11.25" bestFit="1" customWidth="1"/>
    <col min="1550" max="1550" width="9.6640625" customWidth="1"/>
    <col min="1552" max="1552" width="9.5" customWidth="1"/>
    <col min="1553" max="1553" width="13.4140625" bestFit="1" customWidth="1"/>
    <col min="1555" max="1555" width="13.4140625" bestFit="1" customWidth="1"/>
    <col min="1558" max="1558" width="9.75" customWidth="1"/>
    <col min="1559" max="1559" width="14.75" bestFit="1" customWidth="1"/>
    <col min="1560" max="1560" width="29.1640625" bestFit="1" customWidth="1"/>
    <col min="1562" max="1562" width="11.6640625" bestFit="1" customWidth="1"/>
    <col min="1794" max="1794" width="11.08203125" customWidth="1"/>
    <col min="1795" max="1795" width="12.25" customWidth="1"/>
    <col min="1796" max="1796" width="10.9140625" customWidth="1"/>
    <col min="1797" max="1797" width="11.6640625" customWidth="1"/>
    <col min="1798" max="1798" width="9.58203125" customWidth="1"/>
    <col min="1799" max="1799" width="13.25" customWidth="1"/>
    <col min="1800" max="1800" width="22.9140625" customWidth="1"/>
    <col min="1805" max="1805" width="11.25" bestFit="1" customWidth="1"/>
    <col min="1806" max="1806" width="9.6640625" customWidth="1"/>
    <col min="1808" max="1808" width="9.5" customWidth="1"/>
    <col min="1809" max="1809" width="13.4140625" bestFit="1" customWidth="1"/>
    <col min="1811" max="1811" width="13.4140625" bestFit="1" customWidth="1"/>
    <col min="1814" max="1814" width="9.75" customWidth="1"/>
    <col min="1815" max="1815" width="14.75" bestFit="1" customWidth="1"/>
    <col min="1816" max="1816" width="29.1640625" bestFit="1" customWidth="1"/>
    <col min="1818" max="1818" width="11.6640625" bestFit="1" customWidth="1"/>
    <col min="2050" max="2050" width="11.08203125" customWidth="1"/>
    <col min="2051" max="2051" width="12.25" customWidth="1"/>
    <col min="2052" max="2052" width="10.9140625" customWidth="1"/>
    <col min="2053" max="2053" width="11.6640625" customWidth="1"/>
    <col min="2054" max="2054" width="9.58203125" customWidth="1"/>
    <col min="2055" max="2055" width="13.25" customWidth="1"/>
    <col min="2056" max="2056" width="22.9140625" customWidth="1"/>
    <col min="2061" max="2061" width="11.25" bestFit="1" customWidth="1"/>
    <col min="2062" max="2062" width="9.6640625" customWidth="1"/>
    <col min="2064" max="2064" width="9.5" customWidth="1"/>
    <col min="2065" max="2065" width="13.4140625" bestFit="1" customWidth="1"/>
    <col min="2067" max="2067" width="13.4140625" bestFit="1" customWidth="1"/>
    <col min="2070" max="2070" width="9.75" customWidth="1"/>
    <col min="2071" max="2071" width="14.75" bestFit="1" customWidth="1"/>
    <col min="2072" max="2072" width="29.1640625" bestFit="1" customWidth="1"/>
    <col min="2074" max="2074" width="11.6640625" bestFit="1" customWidth="1"/>
    <col min="2306" max="2306" width="11.08203125" customWidth="1"/>
    <col min="2307" max="2307" width="12.25" customWidth="1"/>
    <col min="2308" max="2308" width="10.9140625" customWidth="1"/>
    <col min="2309" max="2309" width="11.6640625" customWidth="1"/>
    <col min="2310" max="2310" width="9.58203125" customWidth="1"/>
    <col min="2311" max="2311" width="13.25" customWidth="1"/>
    <col min="2312" max="2312" width="22.9140625" customWidth="1"/>
    <col min="2317" max="2317" width="11.25" bestFit="1" customWidth="1"/>
    <col min="2318" max="2318" width="9.6640625" customWidth="1"/>
    <col min="2320" max="2320" width="9.5" customWidth="1"/>
    <col min="2321" max="2321" width="13.4140625" bestFit="1" customWidth="1"/>
    <col min="2323" max="2323" width="13.4140625" bestFit="1" customWidth="1"/>
    <col min="2326" max="2326" width="9.75" customWidth="1"/>
    <col min="2327" max="2327" width="14.75" bestFit="1" customWidth="1"/>
    <col min="2328" max="2328" width="29.1640625" bestFit="1" customWidth="1"/>
    <col min="2330" max="2330" width="11.6640625" bestFit="1" customWidth="1"/>
    <col min="2562" max="2562" width="11.08203125" customWidth="1"/>
    <col min="2563" max="2563" width="12.25" customWidth="1"/>
    <col min="2564" max="2564" width="10.9140625" customWidth="1"/>
    <col min="2565" max="2565" width="11.6640625" customWidth="1"/>
    <col min="2566" max="2566" width="9.58203125" customWidth="1"/>
    <col min="2567" max="2567" width="13.25" customWidth="1"/>
    <col min="2568" max="2568" width="22.9140625" customWidth="1"/>
    <col min="2573" max="2573" width="11.25" bestFit="1" customWidth="1"/>
    <col min="2574" max="2574" width="9.6640625" customWidth="1"/>
    <col min="2576" max="2576" width="9.5" customWidth="1"/>
    <col min="2577" max="2577" width="13.4140625" bestFit="1" customWidth="1"/>
    <col min="2579" max="2579" width="13.4140625" bestFit="1" customWidth="1"/>
    <col min="2582" max="2582" width="9.75" customWidth="1"/>
    <col min="2583" max="2583" width="14.75" bestFit="1" customWidth="1"/>
    <col min="2584" max="2584" width="29.1640625" bestFit="1" customWidth="1"/>
    <col min="2586" max="2586" width="11.6640625" bestFit="1" customWidth="1"/>
    <col min="2818" max="2818" width="11.08203125" customWidth="1"/>
    <col min="2819" max="2819" width="12.25" customWidth="1"/>
    <col min="2820" max="2820" width="10.9140625" customWidth="1"/>
    <col min="2821" max="2821" width="11.6640625" customWidth="1"/>
    <col min="2822" max="2822" width="9.58203125" customWidth="1"/>
    <col min="2823" max="2823" width="13.25" customWidth="1"/>
    <col min="2824" max="2824" width="22.9140625" customWidth="1"/>
    <col min="2829" max="2829" width="11.25" bestFit="1" customWidth="1"/>
    <col min="2830" max="2830" width="9.6640625" customWidth="1"/>
    <col min="2832" max="2832" width="9.5" customWidth="1"/>
    <col min="2833" max="2833" width="13.4140625" bestFit="1" customWidth="1"/>
    <col min="2835" max="2835" width="13.4140625" bestFit="1" customWidth="1"/>
    <col min="2838" max="2838" width="9.75" customWidth="1"/>
    <col min="2839" max="2839" width="14.75" bestFit="1" customWidth="1"/>
    <col min="2840" max="2840" width="29.1640625" bestFit="1" customWidth="1"/>
    <col min="2842" max="2842" width="11.6640625" bestFit="1" customWidth="1"/>
    <col min="3074" max="3074" width="11.08203125" customWidth="1"/>
    <col min="3075" max="3075" width="12.25" customWidth="1"/>
    <col min="3076" max="3076" width="10.9140625" customWidth="1"/>
    <col min="3077" max="3077" width="11.6640625" customWidth="1"/>
    <col min="3078" max="3078" width="9.58203125" customWidth="1"/>
    <col min="3079" max="3079" width="13.25" customWidth="1"/>
    <col min="3080" max="3080" width="22.9140625" customWidth="1"/>
    <col min="3085" max="3085" width="11.25" bestFit="1" customWidth="1"/>
    <col min="3086" max="3086" width="9.6640625" customWidth="1"/>
    <col min="3088" max="3088" width="9.5" customWidth="1"/>
    <col min="3089" max="3089" width="13.4140625" bestFit="1" customWidth="1"/>
    <col min="3091" max="3091" width="13.4140625" bestFit="1" customWidth="1"/>
    <col min="3094" max="3094" width="9.75" customWidth="1"/>
    <col min="3095" max="3095" width="14.75" bestFit="1" customWidth="1"/>
    <col min="3096" max="3096" width="29.1640625" bestFit="1" customWidth="1"/>
    <col min="3098" max="3098" width="11.6640625" bestFit="1" customWidth="1"/>
    <col min="3330" max="3330" width="11.08203125" customWidth="1"/>
    <col min="3331" max="3331" width="12.25" customWidth="1"/>
    <col min="3332" max="3332" width="10.9140625" customWidth="1"/>
    <col min="3333" max="3333" width="11.6640625" customWidth="1"/>
    <col min="3334" max="3334" width="9.58203125" customWidth="1"/>
    <col min="3335" max="3335" width="13.25" customWidth="1"/>
    <col min="3336" max="3336" width="22.9140625" customWidth="1"/>
    <col min="3341" max="3341" width="11.25" bestFit="1" customWidth="1"/>
    <col min="3342" max="3342" width="9.6640625" customWidth="1"/>
    <col min="3344" max="3344" width="9.5" customWidth="1"/>
    <col min="3345" max="3345" width="13.4140625" bestFit="1" customWidth="1"/>
    <col min="3347" max="3347" width="13.4140625" bestFit="1" customWidth="1"/>
    <col min="3350" max="3350" width="9.75" customWidth="1"/>
    <col min="3351" max="3351" width="14.75" bestFit="1" customWidth="1"/>
    <col min="3352" max="3352" width="29.1640625" bestFit="1" customWidth="1"/>
    <col min="3354" max="3354" width="11.6640625" bestFit="1" customWidth="1"/>
    <col min="3586" max="3586" width="11.08203125" customWidth="1"/>
    <col min="3587" max="3587" width="12.25" customWidth="1"/>
    <col min="3588" max="3588" width="10.9140625" customWidth="1"/>
    <col min="3589" max="3589" width="11.6640625" customWidth="1"/>
    <col min="3590" max="3590" width="9.58203125" customWidth="1"/>
    <col min="3591" max="3591" width="13.25" customWidth="1"/>
    <col min="3592" max="3592" width="22.9140625" customWidth="1"/>
    <col min="3597" max="3597" width="11.25" bestFit="1" customWidth="1"/>
    <col min="3598" max="3598" width="9.6640625" customWidth="1"/>
    <col min="3600" max="3600" width="9.5" customWidth="1"/>
    <col min="3601" max="3601" width="13.4140625" bestFit="1" customWidth="1"/>
    <col min="3603" max="3603" width="13.4140625" bestFit="1" customWidth="1"/>
    <col min="3606" max="3606" width="9.75" customWidth="1"/>
    <col min="3607" max="3607" width="14.75" bestFit="1" customWidth="1"/>
    <col min="3608" max="3608" width="29.1640625" bestFit="1" customWidth="1"/>
    <col min="3610" max="3610" width="11.6640625" bestFit="1" customWidth="1"/>
    <col min="3842" max="3842" width="11.08203125" customWidth="1"/>
    <col min="3843" max="3843" width="12.25" customWidth="1"/>
    <col min="3844" max="3844" width="10.9140625" customWidth="1"/>
    <col min="3845" max="3845" width="11.6640625" customWidth="1"/>
    <col min="3846" max="3846" width="9.58203125" customWidth="1"/>
    <col min="3847" max="3847" width="13.25" customWidth="1"/>
    <col min="3848" max="3848" width="22.9140625" customWidth="1"/>
    <col min="3853" max="3853" width="11.25" bestFit="1" customWidth="1"/>
    <col min="3854" max="3854" width="9.6640625" customWidth="1"/>
    <col min="3856" max="3856" width="9.5" customWidth="1"/>
    <col min="3857" max="3857" width="13.4140625" bestFit="1" customWidth="1"/>
    <col min="3859" max="3859" width="13.4140625" bestFit="1" customWidth="1"/>
    <col min="3862" max="3862" width="9.75" customWidth="1"/>
    <col min="3863" max="3863" width="14.75" bestFit="1" customWidth="1"/>
    <col min="3864" max="3864" width="29.1640625" bestFit="1" customWidth="1"/>
    <col min="3866" max="3866" width="11.6640625" bestFit="1" customWidth="1"/>
    <col min="4098" max="4098" width="11.08203125" customWidth="1"/>
    <col min="4099" max="4099" width="12.25" customWidth="1"/>
    <col min="4100" max="4100" width="10.9140625" customWidth="1"/>
    <col min="4101" max="4101" width="11.6640625" customWidth="1"/>
    <col min="4102" max="4102" width="9.58203125" customWidth="1"/>
    <col min="4103" max="4103" width="13.25" customWidth="1"/>
    <col min="4104" max="4104" width="22.9140625" customWidth="1"/>
    <col min="4109" max="4109" width="11.25" bestFit="1" customWidth="1"/>
    <col min="4110" max="4110" width="9.6640625" customWidth="1"/>
    <col min="4112" max="4112" width="9.5" customWidth="1"/>
    <col min="4113" max="4113" width="13.4140625" bestFit="1" customWidth="1"/>
    <col min="4115" max="4115" width="13.4140625" bestFit="1" customWidth="1"/>
    <col min="4118" max="4118" width="9.75" customWidth="1"/>
    <col min="4119" max="4119" width="14.75" bestFit="1" customWidth="1"/>
    <col min="4120" max="4120" width="29.1640625" bestFit="1" customWidth="1"/>
    <col min="4122" max="4122" width="11.6640625" bestFit="1" customWidth="1"/>
    <col min="4354" max="4354" width="11.08203125" customWidth="1"/>
    <col min="4355" max="4355" width="12.25" customWidth="1"/>
    <col min="4356" max="4356" width="10.9140625" customWidth="1"/>
    <col min="4357" max="4357" width="11.6640625" customWidth="1"/>
    <col min="4358" max="4358" width="9.58203125" customWidth="1"/>
    <col min="4359" max="4359" width="13.25" customWidth="1"/>
    <col min="4360" max="4360" width="22.9140625" customWidth="1"/>
    <col min="4365" max="4365" width="11.25" bestFit="1" customWidth="1"/>
    <col min="4366" max="4366" width="9.6640625" customWidth="1"/>
    <col min="4368" max="4368" width="9.5" customWidth="1"/>
    <col min="4369" max="4369" width="13.4140625" bestFit="1" customWidth="1"/>
    <col min="4371" max="4371" width="13.4140625" bestFit="1" customWidth="1"/>
    <col min="4374" max="4374" width="9.75" customWidth="1"/>
    <col min="4375" max="4375" width="14.75" bestFit="1" customWidth="1"/>
    <col min="4376" max="4376" width="29.1640625" bestFit="1" customWidth="1"/>
    <col min="4378" max="4378" width="11.6640625" bestFit="1" customWidth="1"/>
    <col min="4610" max="4610" width="11.08203125" customWidth="1"/>
    <col min="4611" max="4611" width="12.25" customWidth="1"/>
    <col min="4612" max="4612" width="10.9140625" customWidth="1"/>
    <col min="4613" max="4613" width="11.6640625" customWidth="1"/>
    <col min="4614" max="4614" width="9.58203125" customWidth="1"/>
    <col min="4615" max="4615" width="13.25" customWidth="1"/>
    <col min="4616" max="4616" width="22.9140625" customWidth="1"/>
    <col min="4621" max="4621" width="11.25" bestFit="1" customWidth="1"/>
    <col min="4622" max="4622" width="9.6640625" customWidth="1"/>
    <col min="4624" max="4624" width="9.5" customWidth="1"/>
    <col min="4625" max="4625" width="13.4140625" bestFit="1" customWidth="1"/>
    <col min="4627" max="4627" width="13.4140625" bestFit="1" customWidth="1"/>
    <col min="4630" max="4630" width="9.75" customWidth="1"/>
    <col min="4631" max="4631" width="14.75" bestFit="1" customWidth="1"/>
    <col min="4632" max="4632" width="29.1640625" bestFit="1" customWidth="1"/>
    <col min="4634" max="4634" width="11.6640625" bestFit="1" customWidth="1"/>
    <col min="4866" max="4866" width="11.08203125" customWidth="1"/>
    <col min="4867" max="4867" width="12.25" customWidth="1"/>
    <col min="4868" max="4868" width="10.9140625" customWidth="1"/>
    <col min="4869" max="4869" width="11.6640625" customWidth="1"/>
    <col min="4870" max="4870" width="9.58203125" customWidth="1"/>
    <col min="4871" max="4871" width="13.25" customWidth="1"/>
    <col min="4872" max="4872" width="22.9140625" customWidth="1"/>
    <col min="4877" max="4877" width="11.25" bestFit="1" customWidth="1"/>
    <col min="4878" max="4878" width="9.6640625" customWidth="1"/>
    <col min="4880" max="4880" width="9.5" customWidth="1"/>
    <col min="4881" max="4881" width="13.4140625" bestFit="1" customWidth="1"/>
    <col min="4883" max="4883" width="13.4140625" bestFit="1" customWidth="1"/>
    <col min="4886" max="4886" width="9.75" customWidth="1"/>
    <col min="4887" max="4887" width="14.75" bestFit="1" customWidth="1"/>
    <col min="4888" max="4888" width="29.1640625" bestFit="1" customWidth="1"/>
    <col min="4890" max="4890" width="11.6640625" bestFit="1" customWidth="1"/>
    <col min="5122" max="5122" width="11.08203125" customWidth="1"/>
    <col min="5123" max="5123" width="12.25" customWidth="1"/>
    <col min="5124" max="5124" width="10.9140625" customWidth="1"/>
    <col min="5125" max="5125" width="11.6640625" customWidth="1"/>
    <col min="5126" max="5126" width="9.58203125" customWidth="1"/>
    <col min="5127" max="5127" width="13.25" customWidth="1"/>
    <col min="5128" max="5128" width="22.9140625" customWidth="1"/>
    <col min="5133" max="5133" width="11.25" bestFit="1" customWidth="1"/>
    <col min="5134" max="5134" width="9.6640625" customWidth="1"/>
    <col min="5136" max="5136" width="9.5" customWidth="1"/>
    <col min="5137" max="5137" width="13.4140625" bestFit="1" customWidth="1"/>
    <col min="5139" max="5139" width="13.4140625" bestFit="1" customWidth="1"/>
    <col min="5142" max="5142" width="9.75" customWidth="1"/>
    <col min="5143" max="5143" width="14.75" bestFit="1" customWidth="1"/>
    <col min="5144" max="5144" width="29.1640625" bestFit="1" customWidth="1"/>
    <col min="5146" max="5146" width="11.6640625" bestFit="1" customWidth="1"/>
    <col min="5378" max="5378" width="11.08203125" customWidth="1"/>
    <col min="5379" max="5379" width="12.25" customWidth="1"/>
    <col min="5380" max="5380" width="10.9140625" customWidth="1"/>
    <col min="5381" max="5381" width="11.6640625" customWidth="1"/>
    <col min="5382" max="5382" width="9.58203125" customWidth="1"/>
    <col min="5383" max="5383" width="13.25" customWidth="1"/>
    <col min="5384" max="5384" width="22.9140625" customWidth="1"/>
    <col min="5389" max="5389" width="11.25" bestFit="1" customWidth="1"/>
    <col min="5390" max="5390" width="9.6640625" customWidth="1"/>
    <col min="5392" max="5392" width="9.5" customWidth="1"/>
    <col min="5393" max="5393" width="13.4140625" bestFit="1" customWidth="1"/>
    <col min="5395" max="5395" width="13.4140625" bestFit="1" customWidth="1"/>
    <col min="5398" max="5398" width="9.75" customWidth="1"/>
    <col min="5399" max="5399" width="14.75" bestFit="1" customWidth="1"/>
    <col min="5400" max="5400" width="29.1640625" bestFit="1" customWidth="1"/>
    <col min="5402" max="5402" width="11.6640625" bestFit="1" customWidth="1"/>
    <col min="5634" max="5634" width="11.08203125" customWidth="1"/>
    <col min="5635" max="5635" width="12.25" customWidth="1"/>
    <col min="5636" max="5636" width="10.9140625" customWidth="1"/>
    <col min="5637" max="5637" width="11.6640625" customWidth="1"/>
    <col min="5638" max="5638" width="9.58203125" customWidth="1"/>
    <col min="5639" max="5639" width="13.25" customWidth="1"/>
    <col min="5640" max="5640" width="22.9140625" customWidth="1"/>
    <col min="5645" max="5645" width="11.25" bestFit="1" customWidth="1"/>
    <col min="5646" max="5646" width="9.6640625" customWidth="1"/>
    <col min="5648" max="5648" width="9.5" customWidth="1"/>
    <col min="5649" max="5649" width="13.4140625" bestFit="1" customWidth="1"/>
    <col min="5651" max="5651" width="13.4140625" bestFit="1" customWidth="1"/>
    <col min="5654" max="5654" width="9.75" customWidth="1"/>
    <col min="5655" max="5655" width="14.75" bestFit="1" customWidth="1"/>
    <col min="5656" max="5656" width="29.1640625" bestFit="1" customWidth="1"/>
    <col min="5658" max="5658" width="11.6640625" bestFit="1" customWidth="1"/>
    <col min="5890" max="5890" width="11.08203125" customWidth="1"/>
    <col min="5891" max="5891" width="12.25" customWidth="1"/>
    <col min="5892" max="5892" width="10.9140625" customWidth="1"/>
    <col min="5893" max="5893" width="11.6640625" customWidth="1"/>
    <col min="5894" max="5894" width="9.58203125" customWidth="1"/>
    <col min="5895" max="5895" width="13.25" customWidth="1"/>
    <col min="5896" max="5896" width="22.9140625" customWidth="1"/>
    <col min="5901" max="5901" width="11.25" bestFit="1" customWidth="1"/>
    <col min="5902" max="5902" width="9.6640625" customWidth="1"/>
    <col min="5904" max="5904" width="9.5" customWidth="1"/>
    <col min="5905" max="5905" width="13.4140625" bestFit="1" customWidth="1"/>
    <col min="5907" max="5907" width="13.4140625" bestFit="1" customWidth="1"/>
    <col min="5910" max="5910" width="9.75" customWidth="1"/>
    <col min="5911" max="5911" width="14.75" bestFit="1" customWidth="1"/>
    <col min="5912" max="5912" width="29.1640625" bestFit="1" customWidth="1"/>
    <col min="5914" max="5914" width="11.6640625" bestFit="1" customWidth="1"/>
    <col min="6146" max="6146" width="11.08203125" customWidth="1"/>
    <col min="6147" max="6147" width="12.25" customWidth="1"/>
    <col min="6148" max="6148" width="10.9140625" customWidth="1"/>
    <col min="6149" max="6149" width="11.6640625" customWidth="1"/>
    <col min="6150" max="6150" width="9.58203125" customWidth="1"/>
    <col min="6151" max="6151" width="13.25" customWidth="1"/>
    <col min="6152" max="6152" width="22.9140625" customWidth="1"/>
    <col min="6157" max="6157" width="11.25" bestFit="1" customWidth="1"/>
    <col min="6158" max="6158" width="9.6640625" customWidth="1"/>
    <col min="6160" max="6160" width="9.5" customWidth="1"/>
    <col min="6161" max="6161" width="13.4140625" bestFit="1" customWidth="1"/>
    <col min="6163" max="6163" width="13.4140625" bestFit="1" customWidth="1"/>
    <col min="6166" max="6166" width="9.75" customWidth="1"/>
    <col min="6167" max="6167" width="14.75" bestFit="1" customWidth="1"/>
    <col min="6168" max="6168" width="29.1640625" bestFit="1" customWidth="1"/>
    <col min="6170" max="6170" width="11.6640625" bestFit="1" customWidth="1"/>
    <col min="6402" max="6402" width="11.08203125" customWidth="1"/>
    <col min="6403" max="6403" width="12.25" customWidth="1"/>
    <col min="6404" max="6404" width="10.9140625" customWidth="1"/>
    <col min="6405" max="6405" width="11.6640625" customWidth="1"/>
    <col min="6406" max="6406" width="9.58203125" customWidth="1"/>
    <col min="6407" max="6407" width="13.25" customWidth="1"/>
    <col min="6408" max="6408" width="22.9140625" customWidth="1"/>
    <col min="6413" max="6413" width="11.25" bestFit="1" customWidth="1"/>
    <col min="6414" max="6414" width="9.6640625" customWidth="1"/>
    <col min="6416" max="6416" width="9.5" customWidth="1"/>
    <col min="6417" max="6417" width="13.4140625" bestFit="1" customWidth="1"/>
    <col min="6419" max="6419" width="13.4140625" bestFit="1" customWidth="1"/>
    <col min="6422" max="6422" width="9.75" customWidth="1"/>
    <col min="6423" max="6423" width="14.75" bestFit="1" customWidth="1"/>
    <col min="6424" max="6424" width="29.1640625" bestFit="1" customWidth="1"/>
    <col min="6426" max="6426" width="11.6640625" bestFit="1" customWidth="1"/>
    <col min="6658" max="6658" width="11.08203125" customWidth="1"/>
    <col min="6659" max="6659" width="12.25" customWidth="1"/>
    <col min="6660" max="6660" width="10.9140625" customWidth="1"/>
    <col min="6661" max="6661" width="11.6640625" customWidth="1"/>
    <col min="6662" max="6662" width="9.58203125" customWidth="1"/>
    <col min="6663" max="6663" width="13.25" customWidth="1"/>
    <col min="6664" max="6664" width="22.9140625" customWidth="1"/>
    <col min="6669" max="6669" width="11.25" bestFit="1" customWidth="1"/>
    <col min="6670" max="6670" width="9.6640625" customWidth="1"/>
    <col min="6672" max="6672" width="9.5" customWidth="1"/>
    <col min="6673" max="6673" width="13.4140625" bestFit="1" customWidth="1"/>
    <col min="6675" max="6675" width="13.4140625" bestFit="1" customWidth="1"/>
    <col min="6678" max="6678" width="9.75" customWidth="1"/>
    <col min="6679" max="6679" width="14.75" bestFit="1" customWidth="1"/>
    <col min="6680" max="6680" width="29.1640625" bestFit="1" customWidth="1"/>
    <col min="6682" max="6682" width="11.6640625" bestFit="1" customWidth="1"/>
    <col min="6914" max="6914" width="11.08203125" customWidth="1"/>
    <col min="6915" max="6915" width="12.25" customWidth="1"/>
    <col min="6916" max="6916" width="10.9140625" customWidth="1"/>
    <col min="6917" max="6917" width="11.6640625" customWidth="1"/>
    <col min="6918" max="6918" width="9.58203125" customWidth="1"/>
    <col min="6919" max="6919" width="13.25" customWidth="1"/>
    <col min="6920" max="6920" width="22.9140625" customWidth="1"/>
    <col min="6925" max="6925" width="11.25" bestFit="1" customWidth="1"/>
    <col min="6926" max="6926" width="9.6640625" customWidth="1"/>
    <col min="6928" max="6928" width="9.5" customWidth="1"/>
    <col min="6929" max="6929" width="13.4140625" bestFit="1" customWidth="1"/>
    <col min="6931" max="6931" width="13.4140625" bestFit="1" customWidth="1"/>
    <col min="6934" max="6934" width="9.75" customWidth="1"/>
    <col min="6935" max="6935" width="14.75" bestFit="1" customWidth="1"/>
    <col min="6936" max="6936" width="29.1640625" bestFit="1" customWidth="1"/>
    <col min="6938" max="6938" width="11.6640625" bestFit="1" customWidth="1"/>
    <col min="7170" max="7170" width="11.08203125" customWidth="1"/>
    <col min="7171" max="7171" width="12.25" customWidth="1"/>
    <col min="7172" max="7172" width="10.9140625" customWidth="1"/>
    <col min="7173" max="7173" width="11.6640625" customWidth="1"/>
    <col min="7174" max="7174" width="9.58203125" customWidth="1"/>
    <col min="7175" max="7175" width="13.25" customWidth="1"/>
    <col min="7176" max="7176" width="22.9140625" customWidth="1"/>
    <col min="7181" max="7181" width="11.25" bestFit="1" customWidth="1"/>
    <col min="7182" max="7182" width="9.6640625" customWidth="1"/>
    <col min="7184" max="7184" width="9.5" customWidth="1"/>
    <col min="7185" max="7185" width="13.4140625" bestFit="1" customWidth="1"/>
    <col min="7187" max="7187" width="13.4140625" bestFit="1" customWidth="1"/>
    <col min="7190" max="7190" width="9.75" customWidth="1"/>
    <col min="7191" max="7191" width="14.75" bestFit="1" customWidth="1"/>
    <col min="7192" max="7192" width="29.1640625" bestFit="1" customWidth="1"/>
    <col min="7194" max="7194" width="11.6640625" bestFit="1" customWidth="1"/>
    <col min="7426" max="7426" width="11.08203125" customWidth="1"/>
    <col min="7427" max="7427" width="12.25" customWidth="1"/>
    <col min="7428" max="7428" width="10.9140625" customWidth="1"/>
    <col min="7429" max="7429" width="11.6640625" customWidth="1"/>
    <col min="7430" max="7430" width="9.58203125" customWidth="1"/>
    <col min="7431" max="7431" width="13.25" customWidth="1"/>
    <col min="7432" max="7432" width="22.9140625" customWidth="1"/>
    <col min="7437" max="7437" width="11.25" bestFit="1" customWidth="1"/>
    <col min="7438" max="7438" width="9.6640625" customWidth="1"/>
    <col min="7440" max="7440" width="9.5" customWidth="1"/>
    <col min="7441" max="7441" width="13.4140625" bestFit="1" customWidth="1"/>
    <col min="7443" max="7443" width="13.4140625" bestFit="1" customWidth="1"/>
    <col min="7446" max="7446" width="9.75" customWidth="1"/>
    <col min="7447" max="7447" width="14.75" bestFit="1" customWidth="1"/>
    <col min="7448" max="7448" width="29.1640625" bestFit="1" customWidth="1"/>
    <col min="7450" max="7450" width="11.6640625" bestFit="1" customWidth="1"/>
    <col min="7682" max="7682" width="11.08203125" customWidth="1"/>
    <col min="7683" max="7683" width="12.25" customWidth="1"/>
    <col min="7684" max="7684" width="10.9140625" customWidth="1"/>
    <col min="7685" max="7685" width="11.6640625" customWidth="1"/>
    <col min="7686" max="7686" width="9.58203125" customWidth="1"/>
    <col min="7687" max="7687" width="13.25" customWidth="1"/>
    <col min="7688" max="7688" width="22.9140625" customWidth="1"/>
    <col min="7693" max="7693" width="11.25" bestFit="1" customWidth="1"/>
    <col min="7694" max="7694" width="9.6640625" customWidth="1"/>
    <col min="7696" max="7696" width="9.5" customWidth="1"/>
    <col min="7697" max="7697" width="13.4140625" bestFit="1" customWidth="1"/>
    <col min="7699" max="7699" width="13.4140625" bestFit="1" customWidth="1"/>
    <col min="7702" max="7702" width="9.75" customWidth="1"/>
    <col min="7703" max="7703" width="14.75" bestFit="1" customWidth="1"/>
    <col min="7704" max="7704" width="29.1640625" bestFit="1" customWidth="1"/>
    <col min="7706" max="7706" width="11.6640625" bestFit="1" customWidth="1"/>
    <col min="7938" max="7938" width="11.08203125" customWidth="1"/>
    <col min="7939" max="7939" width="12.25" customWidth="1"/>
    <col min="7940" max="7940" width="10.9140625" customWidth="1"/>
    <col min="7941" max="7941" width="11.6640625" customWidth="1"/>
    <col min="7942" max="7942" width="9.58203125" customWidth="1"/>
    <col min="7943" max="7943" width="13.25" customWidth="1"/>
    <col min="7944" max="7944" width="22.9140625" customWidth="1"/>
    <col min="7949" max="7949" width="11.25" bestFit="1" customWidth="1"/>
    <col min="7950" max="7950" width="9.6640625" customWidth="1"/>
    <col min="7952" max="7952" width="9.5" customWidth="1"/>
    <col min="7953" max="7953" width="13.4140625" bestFit="1" customWidth="1"/>
    <col min="7955" max="7955" width="13.4140625" bestFit="1" customWidth="1"/>
    <col min="7958" max="7958" width="9.75" customWidth="1"/>
    <col min="7959" max="7959" width="14.75" bestFit="1" customWidth="1"/>
    <col min="7960" max="7960" width="29.1640625" bestFit="1" customWidth="1"/>
    <col min="7962" max="7962" width="11.6640625" bestFit="1" customWidth="1"/>
    <col min="8194" max="8194" width="11.08203125" customWidth="1"/>
    <col min="8195" max="8195" width="12.25" customWidth="1"/>
    <col min="8196" max="8196" width="10.9140625" customWidth="1"/>
    <col min="8197" max="8197" width="11.6640625" customWidth="1"/>
    <col min="8198" max="8198" width="9.58203125" customWidth="1"/>
    <col min="8199" max="8199" width="13.25" customWidth="1"/>
    <col min="8200" max="8200" width="22.9140625" customWidth="1"/>
    <col min="8205" max="8205" width="11.25" bestFit="1" customWidth="1"/>
    <col min="8206" max="8206" width="9.6640625" customWidth="1"/>
    <col min="8208" max="8208" width="9.5" customWidth="1"/>
    <col min="8209" max="8209" width="13.4140625" bestFit="1" customWidth="1"/>
    <col min="8211" max="8211" width="13.4140625" bestFit="1" customWidth="1"/>
    <col min="8214" max="8214" width="9.75" customWidth="1"/>
    <col min="8215" max="8215" width="14.75" bestFit="1" customWidth="1"/>
    <col min="8216" max="8216" width="29.1640625" bestFit="1" customWidth="1"/>
    <col min="8218" max="8218" width="11.6640625" bestFit="1" customWidth="1"/>
    <col min="8450" max="8450" width="11.08203125" customWidth="1"/>
    <col min="8451" max="8451" width="12.25" customWidth="1"/>
    <col min="8452" max="8452" width="10.9140625" customWidth="1"/>
    <col min="8453" max="8453" width="11.6640625" customWidth="1"/>
    <col min="8454" max="8454" width="9.58203125" customWidth="1"/>
    <col min="8455" max="8455" width="13.25" customWidth="1"/>
    <col min="8456" max="8456" width="22.9140625" customWidth="1"/>
    <col min="8461" max="8461" width="11.25" bestFit="1" customWidth="1"/>
    <col min="8462" max="8462" width="9.6640625" customWidth="1"/>
    <col min="8464" max="8464" width="9.5" customWidth="1"/>
    <col min="8465" max="8465" width="13.4140625" bestFit="1" customWidth="1"/>
    <col min="8467" max="8467" width="13.4140625" bestFit="1" customWidth="1"/>
    <col min="8470" max="8470" width="9.75" customWidth="1"/>
    <col min="8471" max="8471" width="14.75" bestFit="1" customWidth="1"/>
    <col min="8472" max="8472" width="29.1640625" bestFit="1" customWidth="1"/>
    <col min="8474" max="8474" width="11.6640625" bestFit="1" customWidth="1"/>
    <col min="8706" max="8706" width="11.08203125" customWidth="1"/>
    <col min="8707" max="8707" width="12.25" customWidth="1"/>
    <col min="8708" max="8708" width="10.9140625" customWidth="1"/>
    <col min="8709" max="8709" width="11.6640625" customWidth="1"/>
    <col min="8710" max="8710" width="9.58203125" customWidth="1"/>
    <col min="8711" max="8711" width="13.25" customWidth="1"/>
    <col min="8712" max="8712" width="22.9140625" customWidth="1"/>
    <col min="8717" max="8717" width="11.25" bestFit="1" customWidth="1"/>
    <col min="8718" max="8718" width="9.6640625" customWidth="1"/>
    <col min="8720" max="8720" width="9.5" customWidth="1"/>
    <col min="8721" max="8721" width="13.4140625" bestFit="1" customWidth="1"/>
    <col min="8723" max="8723" width="13.4140625" bestFit="1" customWidth="1"/>
    <col min="8726" max="8726" width="9.75" customWidth="1"/>
    <col min="8727" max="8727" width="14.75" bestFit="1" customWidth="1"/>
    <col min="8728" max="8728" width="29.1640625" bestFit="1" customWidth="1"/>
    <col min="8730" max="8730" width="11.6640625" bestFit="1" customWidth="1"/>
    <col min="8962" max="8962" width="11.08203125" customWidth="1"/>
    <col min="8963" max="8963" width="12.25" customWidth="1"/>
    <col min="8964" max="8964" width="10.9140625" customWidth="1"/>
    <col min="8965" max="8965" width="11.6640625" customWidth="1"/>
    <col min="8966" max="8966" width="9.58203125" customWidth="1"/>
    <col min="8967" max="8967" width="13.25" customWidth="1"/>
    <col min="8968" max="8968" width="22.9140625" customWidth="1"/>
    <col min="8973" max="8973" width="11.25" bestFit="1" customWidth="1"/>
    <col min="8974" max="8974" width="9.6640625" customWidth="1"/>
    <col min="8976" max="8976" width="9.5" customWidth="1"/>
    <col min="8977" max="8977" width="13.4140625" bestFit="1" customWidth="1"/>
    <col min="8979" max="8979" width="13.4140625" bestFit="1" customWidth="1"/>
    <col min="8982" max="8982" width="9.75" customWidth="1"/>
    <col min="8983" max="8983" width="14.75" bestFit="1" customWidth="1"/>
    <col min="8984" max="8984" width="29.1640625" bestFit="1" customWidth="1"/>
    <col min="8986" max="8986" width="11.6640625" bestFit="1" customWidth="1"/>
    <col min="9218" max="9218" width="11.08203125" customWidth="1"/>
    <col min="9219" max="9219" width="12.25" customWidth="1"/>
    <col min="9220" max="9220" width="10.9140625" customWidth="1"/>
    <col min="9221" max="9221" width="11.6640625" customWidth="1"/>
    <col min="9222" max="9222" width="9.58203125" customWidth="1"/>
    <col min="9223" max="9223" width="13.25" customWidth="1"/>
    <col min="9224" max="9224" width="22.9140625" customWidth="1"/>
    <col min="9229" max="9229" width="11.25" bestFit="1" customWidth="1"/>
    <col min="9230" max="9230" width="9.6640625" customWidth="1"/>
    <col min="9232" max="9232" width="9.5" customWidth="1"/>
    <col min="9233" max="9233" width="13.4140625" bestFit="1" customWidth="1"/>
    <col min="9235" max="9235" width="13.4140625" bestFit="1" customWidth="1"/>
    <col min="9238" max="9238" width="9.75" customWidth="1"/>
    <col min="9239" max="9239" width="14.75" bestFit="1" customWidth="1"/>
    <col min="9240" max="9240" width="29.1640625" bestFit="1" customWidth="1"/>
    <col min="9242" max="9242" width="11.6640625" bestFit="1" customWidth="1"/>
    <col min="9474" max="9474" width="11.08203125" customWidth="1"/>
    <col min="9475" max="9475" width="12.25" customWidth="1"/>
    <col min="9476" max="9476" width="10.9140625" customWidth="1"/>
    <col min="9477" max="9477" width="11.6640625" customWidth="1"/>
    <col min="9478" max="9478" width="9.58203125" customWidth="1"/>
    <col min="9479" max="9479" width="13.25" customWidth="1"/>
    <col min="9480" max="9480" width="22.9140625" customWidth="1"/>
    <col min="9485" max="9485" width="11.25" bestFit="1" customWidth="1"/>
    <col min="9486" max="9486" width="9.6640625" customWidth="1"/>
    <col min="9488" max="9488" width="9.5" customWidth="1"/>
    <col min="9489" max="9489" width="13.4140625" bestFit="1" customWidth="1"/>
    <col min="9491" max="9491" width="13.4140625" bestFit="1" customWidth="1"/>
    <col min="9494" max="9494" width="9.75" customWidth="1"/>
    <col min="9495" max="9495" width="14.75" bestFit="1" customWidth="1"/>
    <col min="9496" max="9496" width="29.1640625" bestFit="1" customWidth="1"/>
    <col min="9498" max="9498" width="11.6640625" bestFit="1" customWidth="1"/>
    <col min="9730" max="9730" width="11.08203125" customWidth="1"/>
    <col min="9731" max="9731" width="12.25" customWidth="1"/>
    <col min="9732" max="9732" width="10.9140625" customWidth="1"/>
    <col min="9733" max="9733" width="11.6640625" customWidth="1"/>
    <col min="9734" max="9734" width="9.58203125" customWidth="1"/>
    <col min="9735" max="9735" width="13.25" customWidth="1"/>
    <col min="9736" max="9736" width="22.9140625" customWidth="1"/>
    <col min="9741" max="9741" width="11.25" bestFit="1" customWidth="1"/>
    <col min="9742" max="9742" width="9.6640625" customWidth="1"/>
    <col min="9744" max="9744" width="9.5" customWidth="1"/>
    <col min="9745" max="9745" width="13.4140625" bestFit="1" customWidth="1"/>
    <col min="9747" max="9747" width="13.4140625" bestFit="1" customWidth="1"/>
    <col min="9750" max="9750" width="9.75" customWidth="1"/>
    <col min="9751" max="9751" width="14.75" bestFit="1" customWidth="1"/>
    <col min="9752" max="9752" width="29.1640625" bestFit="1" customWidth="1"/>
    <col min="9754" max="9754" width="11.6640625" bestFit="1" customWidth="1"/>
    <col min="9986" max="9986" width="11.08203125" customWidth="1"/>
    <col min="9987" max="9987" width="12.25" customWidth="1"/>
    <col min="9988" max="9988" width="10.9140625" customWidth="1"/>
    <col min="9989" max="9989" width="11.6640625" customWidth="1"/>
    <col min="9990" max="9990" width="9.58203125" customWidth="1"/>
    <col min="9991" max="9991" width="13.25" customWidth="1"/>
    <col min="9992" max="9992" width="22.9140625" customWidth="1"/>
    <col min="9997" max="9997" width="11.25" bestFit="1" customWidth="1"/>
    <col min="9998" max="9998" width="9.6640625" customWidth="1"/>
    <col min="10000" max="10000" width="9.5" customWidth="1"/>
    <col min="10001" max="10001" width="13.4140625" bestFit="1" customWidth="1"/>
    <col min="10003" max="10003" width="13.4140625" bestFit="1" customWidth="1"/>
    <col min="10006" max="10006" width="9.75" customWidth="1"/>
    <col min="10007" max="10007" width="14.75" bestFit="1" customWidth="1"/>
    <col min="10008" max="10008" width="29.1640625" bestFit="1" customWidth="1"/>
    <col min="10010" max="10010" width="11.6640625" bestFit="1" customWidth="1"/>
    <col min="10242" max="10242" width="11.08203125" customWidth="1"/>
    <col min="10243" max="10243" width="12.25" customWidth="1"/>
    <col min="10244" max="10244" width="10.9140625" customWidth="1"/>
    <col min="10245" max="10245" width="11.6640625" customWidth="1"/>
    <col min="10246" max="10246" width="9.58203125" customWidth="1"/>
    <col min="10247" max="10247" width="13.25" customWidth="1"/>
    <col min="10248" max="10248" width="22.9140625" customWidth="1"/>
    <col min="10253" max="10253" width="11.25" bestFit="1" customWidth="1"/>
    <col min="10254" max="10254" width="9.6640625" customWidth="1"/>
    <col min="10256" max="10256" width="9.5" customWidth="1"/>
    <col min="10257" max="10257" width="13.4140625" bestFit="1" customWidth="1"/>
    <col min="10259" max="10259" width="13.4140625" bestFit="1" customWidth="1"/>
    <col min="10262" max="10262" width="9.75" customWidth="1"/>
    <col min="10263" max="10263" width="14.75" bestFit="1" customWidth="1"/>
    <col min="10264" max="10264" width="29.1640625" bestFit="1" customWidth="1"/>
    <col min="10266" max="10266" width="11.6640625" bestFit="1" customWidth="1"/>
    <col min="10498" max="10498" width="11.08203125" customWidth="1"/>
    <col min="10499" max="10499" width="12.25" customWidth="1"/>
    <col min="10500" max="10500" width="10.9140625" customWidth="1"/>
    <col min="10501" max="10501" width="11.6640625" customWidth="1"/>
    <col min="10502" max="10502" width="9.58203125" customWidth="1"/>
    <col min="10503" max="10503" width="13.25" customWidth="1"/>
    <col min="10504" max="10504" width="22.9140625" customWidth="1"/>
    <col min="10509" max="10509" width="11.25" bestFit="1" customWidth="1"/>
    <col min="10510" max="10510" width="9.6640625" customWidth="1"/>
    <col min="10512" max="10512" width="9.5" customWidth="1"/>
    <col min="10513" max="10513" width="13.4140625" bestFit="1" customWidth="1"/>
    <col min="10515" max="10515" width="13.4140625" bestFit="1" customWidth="1"/>
    <col min="10518" max="10518" width="9.75" customWidth="1"/>
    <col min="10519" max="10519" width="14.75" bestFit="1" customWidth="1"/>
    <col min="10520" max="10520" width="29.1640625" bestFit="1" customWidth="1"/>
    <col min="10522" max="10522" width="11.6640625" bestFit="1" customWidth="1"/>
    <col min="10754" max="10754" width="11.08203125" customWidth="1"/>
    <col min="10755" max="10755" width="12.25" customWidth="1"/>
    <col min="10756" max="10756" width="10.9140625" customWidth="1"/>
    <col min="10757" max="10757" width="11.6640625" customWidth="1"/>
    <col min="10758" max="10758" width="9.58203125" customWidth="1"/>
    <col min="10759" max="10759" width="13.25" customWidth="1"/>
    <col min="10760" max="10760" width="22.9140625" customWidth="1"/>
    <col min="10765" max="10765" width="11.25" bestFit="1" customWidth="1"/>
    <col min="10766" max="10766" width="9.6640625" customWidth="1"/>
    <col min="10768" max="10768" width="9.5" customWidth="1"/>
    <col min="10769" max="10769" width="13.4140625" bestFit="1" customWidth="1"/>
    <col min="10771" max="10771" width="13.4140625" bestFit="1" customWidth="1"/>
    <col min="10774" max="10774" width="9.75" customWidth="1"/>
    <col min="10775" max="10775" width="14.75" bestFit="1" customWidth="1"/>
    <col min="10776" max="10776" width="29.1640625" bestFit="1" customWidth="1"/>
    <col min="10778" max="10778" width="11.6640625" bestFit="1" customWidth="1"/>
    <col min="11010" max="11010" width="11.08203125" customWidth="1"/>
    <col min="11011" max="11011" width="12.25" customWidth="1"/>
    <col min="11012" max="11012" width="10.9140625" customWidth="1"/>
    <col min="11013" max="11013" width="11.6640625" customWidth="1"/>
    <col min="11014" max="11014" width="9.58203125" customWidth="1"/>
    <col min="11015" max="11015" width="13.25" customWidth="1"/>
    <col min="11016" max="11016" width="22.9140625" customWidth="1"/>
    <col min="11021" max="11021" width="11.25" bestFit="1" customWidth="1"/>
    <col min="11022" max="11022" width="9.6640625" customWidth="1"/>
    <col min="11024" max="11024" width="9.5" customWidth="1"/>
    <col min="11025" max="11025" width="13.4140625" bestFit="1" customWidth="1"/>
    <col min="11027" max="11027" width="13.4140625" bestFit="1" customWidth="1"/>
    <col min="11030" max="11030" width="9.75" customWidth="1"/>
    <col min="11031" max="11031" width="14.75" bestFit="1" customWidth="1"/>
    <col min="11032" max="11032" width="29.1640625" bestFit="1" customWidth="1"/>
    <col min="11034" max="11034" width="11.6640625" bestFit="1" customWidth="1"/>
    <col min="11266" max="11266" width="11.08203125" customWidth="1"/>
    <col min="11267" max="11267" width="12.25" customWidth="1"/>
    <col min="11268" max="11268" width="10.9140625" customWidth="1"/>
    <col min="11269" max="11269" width="11.6640625" customWidth="1"/>
    <col min="11270" max="11270" width="9.58203125" customWidth="1"/>
    <col min="11271" max="11271" width="13.25" customWidth="1"/>
    <col min="11272" max="11272" width="22.9140625" customWidth="1"/>
    <col min="11277" max="11277" width="11.25" bestFit="1" customWidth="1"/>
    <col min="11278" max="11278" width="9.6640625" customWidth="1"/>
    <col min="11280" max="11280" width="9.5" customWidth="1"/>
    <col min="11281" max="11281" width="13.4140625" bestFit="1" customWidth="1"/>
    <col min="11283" max="11283" width="13.4140625" bestFit="1" customWidth="1"/>
    <col min="11286" max="11286" width="9.75" customWidth="1"/>
    <col min="11287" max="11287" width="14.75" bestFit="1" customWidth="1"/>
    <col min="11288" max="11288" width="29.1640625" bestFit="1" customWidth="1"/>
    <col min="11290" max="11290" width="11.6640625" bestFit="1" customWidth="1"/>
    <col min="11522" max="11522" width="11.08203125" customWidth="1"/>
    <col min="11523" max="11523" width="12.25" customWidth="1"/>
    <col min="11524" max="11524" width="10.9140625" customWidth="1"/>
    <col min="11525" max="11525" width="11.6640625" customWidth="1"/>
    <col min="11526" max="11526" width="9.58203125" customWidth="1"/>
    <col min="11527" max="11527" width="13.25" customWidth="1"/>
    <col min="11528" max="11528" width="22.9140625" customWidth="1"/>
    <col min="11533" max="11533" width="11.25" bestFit="1" customWidth="1"/>
    <col min="11534" max="11534" width="9.6640625" customWidth="1"/>
    <col min="11536" max="11536" width="9.5" customWidth="1"/>
    <col min="11537" max="11537" width="13.4140625" bestFit="1" customWidth="1"/>
    <col min="11539" max="11539" width="13.4140625" bestFit="1" customWidth="1"/>
    <col min="11542" max="11542" width="9.75" customWidth="1"/>
    <col min="11543" max="11543" width="14.75" bestFit="1" customWidth="1"/>
    <col min="11544" max="11544" width="29.1640625" bestFit="1" customWidth="1"/>
    <col min="11546" max="11546" width="11.6640625" bestFit="1" customWidth="1"/>
    <col min="11778" max="11778" width="11.08203125" customWidth="1"/>
    <col min="11779" max="11779" width="12.25" customWidth="1"/>
    <col min="11780" max="11780" width="10.9140625" customWidth="1"/>
    <col min="11781" max="11781" width="11.6640625" customWidth="1"/>
    <col min="11782" max="11782" width="9.58203125" customWidth="1"/>
    <col min="11783" max="11783" width="13.25" customWidth="1"/>
    <col min="11784" max="11784" width="22.9140625" customWidth="1"/>
    <col min="11789" max="11789" width="11.25" bestFit="1" customWidth="1"/>
    <col min="11790" max="11790" width="9.6640625" customWidth="1"/>
    <col min="11792" max="11792" width="9.5" customWidth="1"/>
    <col min="11793" max="11793" width="13.4140625" bestFit="1" customWidth="1"/>
    <col min="11795" max="11795" width="13.4140625" bestFit="1" customWidth="1"/>
    <col min="11798" max="11798" width="9.75" customWidth="1"/>
    <col min="11799" max="11799" width="14.75" bestFit="1" customWidth="1"/>
    <col min="11800" max="11800" width="29.1640625" bestFit="1" customWidth="1"/>
    <col min="11802" max="11802" width="11.6640625" bestFit="1" customWidth="1"/>
    <col min="12034" max="12034" width="11.08203125" customWidth="1"/>
    <col min="12035" max="12035" width="12.25" customWidth="1"/>
    <col min="12036" max="12036" width="10.9140625" customWidth="1"/>
    <col min="12037" max="12037" width="11.6640625" customWidth="1"/>
    <col min="12038" max="12038" width="9.58203125" customWidth="1"/>
    <col min="12039" max="12039" width="13.25" customWidth="1"/>
    <col min="12040" max="12040" width="22.9140625" customWidth="1"/>
    <col min="12045" max="12045" width="11.25" bestFit="1" customWidth="1"/>
    <col min="12046" max="12046" width="9.6640625" customWidth="1"/>
    <col min="12048" max="12048" width="9.5" customWidth="1"/>
    <col min="12049" max="12049" width="13.4140625" bestFit="1" customWidth="1"/>
    <col min="12051" max="12051" width="13.4140625" bestFit="1" customWidth="1"/>
    <col min="12054" max="12054" width="9.75" customWidth="1"/>
    <col min="12055" max="12055" width="14.75" bestFit="1" customWidth="1"/>
    <col min="12056" max="12056" width="29.1640625" bestFit="1" customWidth="1"/>
    <col min="12058" max="12058" width="11.6640625" bestFit="1" customWidth="1"/>
    <col min="12290" max="12290" width="11.08203125" customWidth="1"/>
    <col min="12291" max="12291" width="12.25" customWidth="1"/>
    <col min="12292" max="12292" width="10.9140625" customWidth="1"/>
    <col min="12293" max="12293" width="11.6640625" customWidth="1"/>
    <col min="12294" max="12294" width="9.58203125" customWidth="1"/>
    <col min="12295" max="12295" width="13.25" customWidth="1"/>
    <col min="12296" max="12296" width="22.9140625" customWidth="1"/>
    <col min="12301" max="12301" width="11.25" bestFit="1" customWidth="1"/>
    <col min="12302" max="12302" width="9.6640625" customWidth="1"/>
    <col min="12304" max="12304" width="9.5" customWidth="1"/>
    <col min="12305" max="12305" width="13.4140625" bestFit="1" customWidth="1"/>
    <col min="12307" max="12307" width="13.4140625" bestFit="1" customWidth="1"/>
    <col min="12310" max="12310" width="9.75" customWidth="1"/>
    <col min="12311" max="12311" width="14.75" bestFit="1" customWidth="1"/>
    <col min="12312" max="12312" width="29.1640625" bestFit="1" customWidth="1"/>
    <col min="12314" max="12314" width="11.6640625" bestFit="1" customWidth="1"/>
    <col min="12546" max="12546" width="11.08203125" customWidth="1"/>
    <col min="12547" max="12547" width="12.25" customWidth="1"/>
    <col min="12548" max="12548" width="10.9140625" customWidth="1"/>
    <col min="12549" max="12549" width="11.6640625" customWidth="1"/>
    <col min="12550" max="12550" width="9.58203125" customWidth="1"/>
    <col min="12551" max="12551" width="13.25" customWidth="1"/>
    <col min="12552" max="12552" width="22.9140625" customWidth="1"/>
    <col min="12557" max="12557" width="11.25" bestFit="1" customWidth="1"/>
    <col min="12558" max="12558" width="9.6640625" customWidth="1"/>
    <col min="12560" max="12560" width="9.5" customWidth="1"/>
    <col min="12561" max="12561" width="13.4140625" bestFit="1" customWidth="1"/>
    <col min="12563" max="12563" width="13.4140625" bestFit="1" customWidth="1"/>
    <col min="12566" max="12566" width="9.75" customWidth="1"/>
    <col min="12567" max="12567" width="14.75" bestFit="1" customWidth="1"/>
    <col min="12568" max="12568" width="29.1640625" bestFit="1" customWidth="1"/>
    <col min="12570" max="12570" width="11.6640625" bestFit="1" customWidth="1"/>
    <col min="12802" max="12802" width="11.08203125" customWidth="1"/>
    <col min="12803" max="12803" width="12.25" customWidth="1"/>
    <col min="12804" max="12804" width="10.9140625" customWidth="1"/>
    <col min="12805" max="12805" width="11.6640625" customWidth="1"/>
    <col min="12806" max="12806" width="9.58203125" customWidth="1"/>
    <col min="12807" max="12807" width="13.25" customWidth="1"/>
    <col min="12808" max="12808" width="22.9140625" customWidth="1"/>
    <col min="12813" max="12813" width="11.25" bestFit="1" customWidth="1"/>
    <col min="12814" max="12814" width="9.6640625" customWidth="1"/>
    <col min="12816" max="12816" width="9.5" customWidth="1"/>
    <col min="12817" max="12817" width="13.4140625" bestFit="1" customWidth="1"/>
    <col min="12819" max="12819" width="13.4140625" bestFit="1" customWidth="1"/>
    <col min="12822" max="12822" width="9.75" customWidth="1"/>
    <col min="12823" max="12823" width="14.75" bestFit="1" customWidth="1"/>
    <col min="12824" max="12824" width="29.1640625" bestFit="1" customWidth="1"/>
    <col min="12826" max="12826" width="11.6640625" bestFit="1" customWidth="1"/>
    <col min="13058" max="13058" width="11.08203125" customWidth="1"/>
    <col min="13059" max="13059" width="12.25" customWidth="1"/>
    <col min="13060" max="13060" width="10.9140625" customWidth="1"/>
    <col min="13061" max="13061" width="11.6640625" customWidth="1"/>
    <col min="13062" max="13062" width="9.58203125" customWidth="1"/>
    <col min="13063" max="13063" width="13.25" customWidth="1"/>
    <col min="13064" max="13064" width="22.9140625" customWidth="1"/>
    <col min="13069" max="13069" width="11.25" bestFit="1" customWidth="1"/>
    <col min="13070" max="13070" width="9.6640625" customWidth="1"/>
    <col min="13072" max="13072" width="9.5" customWidth="1"/>
    <col min="13073" max="13073" width="13.4140625" bestFit="1" customWidth="1"/>
    <col min="13075" max="13075" width="13.4140625" bestFit="1" customWidth="1"/>
    <col min="13078" max="13078" width="9.75" customWidth="1"/>
    <col min="13079" max="13079" width="14.75" bestFit="1" customWidth="1"/>
    <col min="13080" max="13080" width="29.1640625" bestFit="1" customWidth="1"/>
    <col min="13082" max="13082" width="11.6640625" bestFit="1" customWidth="1"/>
    <col min="13314" max="13314" width="11.08203125" customWidth="1"/>
    <col min="13315" max="13315" width="12.25" customWidth="1"/>
    <col min="13316" max="13316" width="10.9140625" customWidth="1"/>
    <col min="13317" max="13317" width="11.6640625" customWidth="1"/>
    <col min="13318" max="13318" width="9.58203125" customWidth="1"/>
    <col min="13319" max="13319" width="13.25" customWidth="1"/>
    <col min="13320" max="13320" width="22.9140625" customWidth="1"/>
    <col min="13325" max="13325" width="11.25" bestFit="1" customWidth="1"/>
    <col min="13326" max="13326" width="9.6640625" customWidth="1"/>
    <col min="13328" max="13328" width="9.5" customWidth="1"/>
    <col min="13329" max="13329" width="13.4140625" bestFit="1" customWidth="1"/>
    <col min="13331" max="13331" width="13.4140625" bestFit="1" customWidth="1"/>
    <col min="13334" max="13334" width="9.75" customWidth="1"/>
    <col min="13335" max="13335" width="14.75" bestFit="1" customWidth="1"/>
    <col min="13336" max="13336" width="29.1640625" bestFit="1" customWidth="1"/>
    <col min="13338" max="13338" width="11.6640625" bestFit="1" customWidth="1"/>
    <col min="13570" max="13570" width="11.08203125" customWidth="1"/>
    <col min="13571" max="13571" width="12.25" customWidth="1"/>
    <col min="13572" max="13572" width="10.9140625" customWidth="1"/>
    <col min="13573" max="13573" width="11.6640625" customWidth="1"/>
    <col min="13574" max="13574" width="9.58203125" customWidth="1"/>
    <col min="13575" max="13575" width="13.25" customWidth="1"/>
    <col min="13576" max="13576" width="22.9140625" customWidth="1"/>
    <col min="13581" max="13581" width="11.25" bestFit="1" customWidth="1"/>
    <col min="13582" max="13582" width="9.6640625" customWidth="1"/>
    <col min="13584" max="13584" width="9.5" customWidth="1"/>
    <col min="13585" max="13585" width="13.4140625" bestFit="1" customWidth="1"/>
    <col min="13587" max="13587" width="13.4140625" bestFit="1" customWidth="1"/>
    <col min="13590" max="13590" width="9.75" customWidth="1"/>
    <col min="13591" max="13591" width="14.75" bestFit="1" customWidth="1"/>
    <col min="13592" max="13592" width="29.1640625" bestFit="1" customWidth="1"/>
    <col min="13594" max="13594" width="11.6640625" bestFit="1" customWidth="1"/>
    <col min="13826" max="13826" width="11.08203125" customWidth="1"/>
    <col min="13827" max="13827" width="12.25" customWidth="1"/>
    <col min="13828" max="13828" width="10.9140625" customWidth="1"/>
    <col min="13829" max="13829" width="11.6640625" customWidth="1"/>
    <col min="13830" max="13830" width="9.58203125" customWidth="1"/>
    <col min="13831" max="13831" width="13.25" customWidth="1"/>
    <col min="13832" max="13832" width="22.9140625" customWidth="1"/>
    <col min="13837" max="13837" width="11.25" bestFit="1" customWidth="1"/>
    <col min="13838" max="13838" width="9.6640625" customWidth="1"/>
    <col min="13840" max="13840" width="9.5" customWidth="1"/>
    <col min="13841" max="13841" width="13.4140625" bestFit="1" customWidth="1"/>
    <col min="13843" max="13843" width="13.4140625" bestFit="1" customWidth="1"/>
    <col min="13846" max="13846" width="9.75" customWidth="1"/>
    <col min="13847" max="13847" width="14.75" bestFit="1" customWidth="1"/>
    <col min="13848" max="13848" width="29.1640625" bestFit="1" customWidth="1"/>
    <col min="13850" max="13850" width="11.6640625" bestFit="1" customWidth="1"/>
    <col min="14082" max="14082" width="11.08203125" customWidth="1"/>
    <col min="14083" max="14083" width="12.25" customWidth="1"/>
    <col min="14084" max="14084" width="10.9140625" customWidth="1"/>
    <col min="14085" max="14085" width="11.6640625" customWidth="1"/>
    <col min="14086" max="14086" width="9.58203125" customWidth="1"/>
    <col min="14087" max="14087" width="13.25" customWidth="1"/>
    <col min="14088" max="14088" width="22.9140625" customWidth="1"/>
    <col min="14093" max="14093" width="11.25" bestFit="1" customWidth="1"/>
    <col min="14094" max="14094" width="9.6640625" customWidth="1"/>
    <col min="14096" max="14096" width="9.5" customWidth="1"/>
    <col min="14097" max="14097" width="13.4140625" bestFit="1" customWidth="1"/>
    <col min="14099" max="14099" width="13.4140625" bestFit="1" customWidth="1"/>
    <col min="14102" max="14102" width="9.75" customWidth="1"/>
    <col min="14103" max="14103" width="14.75" bestFit="1" customWidth="1"/>
    <col min="14104" max="14104" width="29.1640625" bestFit="1" customWidth="1"/>
    <col min="14106" max="14106" width="11.6640625" bestFit="1" customWidth="1"/>
    <col min="14338" max="14338" width="11.08203125" customWidth="1"/>
    <col min="14339" max="14339" width="12.25" customWidth="1"/>
    <col min="14340" max="14340" width="10.9140625" customWidth="1"/>
    <col min="14341" max="14341" width="11.6640625" customWidth="1"/>
    <col min="14342" max="14342" width="9.58203125" customWidth="1"/>
    <col min="14343" max="14343" width="13.25" customWidth="1"/>
    <col min="14344" max="14344" width="22.9140625" customWidth="1"/>
    <col min="14349" max="14349" width="11.25" bestFit="1" customWidth="1"/>
    <col min="14350" max="14350" width="9.6640625" customWidth="1"/>
    <col min="14352" max="14352" width="9.5" customWidth="1"/>
    <col min="14353" max="14353" width="13.4140625" bestFit="1" customWidth="1"/>
    <col min="14355" max="14355" width="13.4140625" bestFit="1" customWidth="1"/>
    <col min="14358" max="14358" width="9.75" customWidth="1"/>
    <col min="14359" max="14359" width="14.75" bestFit="1" customWidth="1"/>
    <col min="14360" max="14360" width="29.1640625" bestFit="1" customWidth="1"/>
    <col min="14362" max="14362" width="11.6640625" bestFit="1" customWidth="1"/>
    <col min="14594" max="14594" width="11.08203125" customWidth="1"/>
    <col min="14595" max="14595" width="12.25" customWidth="1"/>
    <col min="14596" max="14596" width="10.9140625" customWidth="1"/>
    <col min="14597" max="14597" width="11.6640625" customWidth="1"/>
    <col min="14598" max="14598" width="9.58203125" customWidth="1"/>
    <col min="14599" max="14599" width="13.25" customWidth="1"/>
    <col min="14600" max="14600" width="22.9140625" customWidth="1"/>
    <col min="14605" max="14605" width="11.25" bestFit="1" customWidth="1"/>
    <col min="14606" max="14606" width="9.6640625" customWidth="1"/>
    <col min="14608" max="14608" width="9.5" customWidth="1"/>
    <col min="14609" max="14609" width="13.4140625" bestFit="1" customWidth="1"/>
    <col min="14611" max="14611" width="13.4140625" bestFit="1" customWidth="1"/>
    <col min="14614" max="14614" width="9.75" customWidth="1"/>
    <col min="14615" max="14615" width="14.75" bestFit="1" customWidth="1"/>
    <col min="14616" max="14616" width="29.1640625" bestFit="1" customWidth="1"/>
    <col min="14618" max="14618" width="11.6640625" bestFit="1" customWidth="1"/>
    <col min="14850" max="14850" width="11.08203125" customWidth="1"/>
    <col min="14851" max="14851" width="12.25" customWidth="1"/>
    <col min="14852" max="14852" width="10.9140625" customWidth="1"/>
    <col min="14853" max="14853" width="11.6640625" customWidth="1"/>
    <col min="14854" max="14854" width="9.58203125" customWidth="1"/>
    <col min="14855" max="14855" width="13.25" customWidth="1"/>
    <col min="14856" max="14856" width="22.9140625" customWidth="1"/>
    <col min="14861" max="14861" width="11.25" bestFit="1" customWidth="1"/>
    <col min="14862" max="14862" width="9.6640625" customWidth="1"/>
    <col min="14864" max="14864" width="9.5" customWidth="1"/>
    <col min="14865" max="14865" width="13.4140625" bestFit="1" customWidth="1"/>
    <col min="14867" max="14867" width="13.4140625" bestFit="1" customWidth="1"/>
    <col min="14870" max="14870" width="9.75" customWidth="1"/>
    <col min="14871" max="14871" width="14.75" bestFit="1" customWidth="1"/>
    <col min="14872" max="14872" width="29.1640625" bestFit="1" customWidth="1"/>
    <col min="14874" max="14874" width="11.6640625" bestFit="1" customWidth="1"/>
    <col min="15106" max="15106" width="11.08203125" customWidth="1"/>
    <col min="15107" max="15107" width="12.25" customWidth="1"/>
    <col min="15108" max="15108" width="10.9140625" customWidth="1"/>
    <col min="15109" max="15109" width="11.6640625" customWidth="1"/>
    <col min="15110" max="15110" width="9.58203125" customWidth="1"/>
    <col min="15111" max="15111" width="13.25" customWidth="1"/>
    <col min="15112" max="15112" width="22.9140625" customWidth="1"/>
    <col min="15117" max="15117" width="11.25" bestFit="1" customWidth="1"/>
    <col min="15118" max="15118" width="9.6640625" customWidth="1"/>
    <col min="15120" max="15120" width="9.5" customWidth="1"/>
    <col min="15121" max="15121" width="13.4140625" bestFit="1" customWidth="1"/>
    <col min="15123" max="15123" width="13.4140625" bestFit="1" customWidth="1"/>
    <col min="15126" max="15126" width="9.75" customWidth="1"/>
    <col min="15127" max="15127" width="14.75" bestFit="1" customWidth="1"/>
    <col min="15128" max="15128" width="29.1640625" bestFit="1" customWidth="1"/>
    <col min="15130" max="15130" width="11.6640625" bestFit="1" customWidth="1"/>
    <col min="15362" max="15362" width="11.08203125" customWidth="1"/>
    <col min="15363" max="15363" width="12.25" customWidth="1"/>
    <col min="15364" max="15364" width="10.9140625" customWidth="1"/>
    <col min="15365" max="15365" width="11.6640625" customWidth="1"/>
    <col min="15366" max="15366" width="9.58203125" customWidth="1"/>
    <col min="15367" max="15367" width="13.25" customWidth="1"/>
    <col min="15368" max="15368" width="22.9140625" customWidth="1"/>
    <col min="15373" max="15373" width="11.25" bestFit="1" customWidth="1"/>
    <col min="15374" max="15374" width="9.6640625" customWidth="1"/>
    <col min="15376" max="15376" width="9.5" customWidth="1"/>
    <col min="15377" max="15377" width="13.4140625" bestFit="1" customWidth="1"/>
    <col min="15379" max="15379" width="13.4140625" bestFit="1" customWidth="1"/>
    <col min="15382" max="15382" width="9.75" customWidth="1"/>
    <col min="15383" max="15383" width="14.75" bestFit="1" customWidth="1"/>
    <col min="15384" max="15384" width="29.1640625" bestFit="1" customWidth="1"/>
    <col min="15386" max="15386" width="11.6640625" bestFit="1" customWidth="1"/>
    <col min="15618" max="15618" width="11.08203125" customWidth="1"/>
    <col min="15619" max="15619" width="12.25" customWidth="1"/>
    <col min="15620" max="15620" width="10.9140625" customWidth="1"/>
    <col min="15621" max="15621" width="11.6640625" customWidth="1"/>
    <col min="15622" max="15622" width="9.58203125" customWidth="1"/>
    <col min="15623" max="15623" width="13.25" customWidth="1"/>
    <col min="15624" max="15624" width="22.9140625" customWidth="1"/>
    <col min="15629" max="15629" width="11.25" bestFit="1" customWidth="1"/>
    <col min="15630" max="15630" width="9.6640625" customWidth="1"/>
    <col min="15632" max="15632" width="9.5" customWidth="1"/>
    <col min="15633" max="15633" width="13.4140625" bestFit="1" customWidth="1"/>
    <col min="15635" max="15635" width="13.4140625" bestFit="1" customWidth="1"/>
    <col min="15638" max="15638" width="9.75" customWidth="1"/>
    <col min="15639" max="15639" width="14.75" bestFit="1" customWidth="1"/>
    <col min="15640" max="15640" width="29.1640625" bestFit="1" customWidth="1"/>
    <col min="15642" max="15642" width="11.6640625" bestFit="1" customWidth="1"/>
    <col min="15874" max="15874" width="11.08203125" customWidth="1"/>
    <col min="15875" max="15875" width="12.25" customWidth="1"/>
    <col min="15876" max="15876" width="10.9140625" customWidth="1"/>
    <col min="15877" max="15877" width="11.6640625" customWidth="1"/>
    <col min="15878" max="15878" width="9.58203125" customWidth="1"/>
    <col min="15879" max="15879" width="13.25" customWidth="1"/>
    <col min="15880" max="15880" width="22.9140625" customWidth="1"/>
    <col min="15885" max="15885" width="11.25" bestFit="1" customWidth="1"/>
    <col min="15886" max="15886" width="9.6640625" customWidth="1"/>
    <col min="15888" max="15888" width="9.5" customWidth="1"/>
    <col min="15889" max="15889" width="13.4140625" bestFit="1" customWidth="1"/>
    <col min="15891" max="15891" width="13.4140625" bestFit="1" customWidth="1"/>
    <col min="15894" max="15894" width="9.75" customWidth="1"/>
    <col min="15895" max="15895" width="14.75" bestFit="1" customWidth="1"/>
    <col min="15896" max="15896" width="29.1640625" bestFit="1" customWidth="1"/>
    <col min="15898" max="15898" width="11.6640625" bestFit="1" customWidth="1"/>
    <col min="16130" max="16130" width="11.08203125" customWidth="1"/>
    <col min="16131" max="16131" width="12.25" customWidth="1"/>
    <col min="16132" max="16132" width="10.9140625" customWidth="1"/>
    <col min="16133" max="16133" width="11.6640625" customWidth="1"/>
    <col min="16134" max="16134" width="9.58203125" customWidth="1"/>
    <col min="16135" max="16135" width="13.25" customWidth="1"/>
    <col min="16136" max="16136" width="22.9140625" customWidth="1"/>
    <col min="16141" max="16141" width="11.25" bestFit="1" customWidth="1"/>
    <col min="16142" max="16142" width="9.6640625" customWidth="1"/>
    <col min="16144" max="16144" width="9.5" customWidth="1"/>
    <col min="16145" max="16145" width="13.4140625" bestFit="1" customWidth="1"/>
    <col min="16147" max="16147" width="13.4140625" bestFit="1" customWidth="1"/>
    <col min="16150" max="16150" width="9.75" customWidth="1"/>
    <col min="16151" max="16151" width="14.75" bestFit="1" customWidth="1"/>
    <col min="16152" max="16152" width="29.1640625" bestFit="1" customWidth="1"/>
    <col min="16154" max="16154" width="11.6640625" bestFit="1" customWidth="1"/>
  </cols>
  <sheetData>
    <row r="1" spans="1:31" ht="78" customHeight="1" x14ac:dyDescent="0.45">
      <c r="A1" s="1" t="s">
        <v>0</v>
      </c>
      <c r="B1" s="2" t="s">
        <v>1</v>
      </c>
      <c r="C1" s="146"/>
      <c r="D1" s="3"/>
      <c r="E1" s="4"/>
      <c r="F1" s="5"/>
      <c r="G1" s="6" t="s">
        <v>2</v>
      </c>
      <c r="H1" s="7" t="s">
        <v>3</v>
      </c>
      <c r="I1" s="8" t="s">
        <v>4</v>
      </c>
      <c r="J1" s="9" t="s">
        <v>5</v>
      </c>
      <c r="K1" s="10" t="s">
        <v>6</v>
      </c>
      <c r="L1" s="11"/>
      <c r="M1" s="12"/>
      <c r="N1" s="13"/>
      <c r="O1" s="14"/>
      <c r="P1" s="15"/>
      <c r="Q1" s="16"/>
      <c r="R1" s="17"/>
      <c r="S1" s="17"/>
      <c r="T1" s="18"/>
      <c r="U1" s="19"/>
      <c r="V1" s="20"/>
      <c r="W1" s="21"/>
      <c r="X1" s="17"/>
      <c r="Z1" s="23"/>
    </row>
    <row r="2" spans="1:31" s="43" customFormat="1" ht="51" customHeight="1" thickBot="1" x14ac:dyDescent="0.5">
      <c r="A2" s="24" t="s">
        <v>7</v>
      </c>
      <c r="B2" s="24"/>
      <c r="C2" s="147"/>
      <c r="D2" s="25"/>
      <c r="E2" s="26"/>
      <c r="F2" s="27" t="s">
        <v>8</v>
      </c>
      <c r="G2" s="28"/>
      <c r="H2" s="29"/>
      <c r="I2" s="29"/>
      <c r="J2" s="29"/>
      <c r="K2" s="30"/>
      <c r="L2" s="31"/>
      <c r="M2" s="32"/>
      <c r="N2" s="33"/>
      <c r="O2" s="34"/>
      <c r="P2" s="35"/>
      <c r="Q2" s="36"/>
      <c r="R2" s="37" t="s">
        <v>9</v>
      </c>
      <c r="S2" s="38"/>
      <c r="T2" s="39"/>
      <c r="U2" s="40"/>
      <c r="V2" s="41"/>
      <c r="W2" s="42"/>
      <c r="Y2" s="44" t="s">
        <v>10</v>
      </c>
      <c r="Z2" s="23"/>
      <c r="AA2"/>
      <c r="AB2"/>
      <c r="AC2"/>
      <c r="AD2"/>
      <c r="AE2"/>
    </row>
    <row r="3" spans="1:31" s="22" customFormat="1" ht="54.5" customHeight="1" thickBot="1" x14ac:dyDescent="0.5">
      <c r="A3" s="45" t="s">
        <v>11</v>
      </c>
      <c r="B3" s="46" t="s">
        <v>12</v>
      </c>
      <c r="C3" s="148" t="s">
        <v>13</v>
      </c>
      <c r="D3" s="47" t="s">
        <v>14</v>
      </c>
      <c r="E3" s="48" t="s">
        <v>15</v>
      </c>
      <c r="F3" s="49" t="s">
        <v>16</v>
      </c>
      <c r="G3" s="50" t="s">
        <v>17</v>
      </c>
      <c r="H3" s="51" t="s">
        <v>18</v>
      </c>
      <c r="I3" s="51" t="s">
        <v>19</v>
      </c>
      <c r="J3" s="51" t="s">
        <v>20</v>
      </c>
      <c r="K3" s="52" t="s">
        <v>21</v>
      </c>
      <c r="L3" s="53" t="s">
        <v>22</v>
      </c>
      <c r="M3" s="54" t="s">
        <v>23</v>
      </c>
      <c r="N3" s="55" t="s">
        <v>24</v>
      </c>
      <c r="O3" s="56" t="s">
        <v>25</v>
      </c>
      <c r="P3" s="57" t="s">
        <v>26</v>
      </c>
      <c r="Q3" s="57" t="s">
        <v>27</v>
      </c>
      <c r="R3" s="58" t="s">
        <v>28</v>
      </c>
      <c r="S3" s="58" t="s">
        <v>29</v>
      </c>
      <c r="T3" s="59" t="s">
        <v>30</v>
      </c>
      <c r="U3" s="60" t="s">
        <v>31</v>
      </c>
      <c r="V3" s="61" t="s">
        <v>32</v>
      </c>
      <c r="W3" s="61" t="s">
        <v>33</v>
      </c>
      <c r="X3" s="62" t="s">
        <v>34</v>
      </c>
      <c r="Y3" s="63" t="s">
        <v>35</v>
      </c>
      <c r="Z3" s="64" t="s">
        <v>36</v>
      </c>
    </row>
    <row r="4" spans="1:31" ht="16" customHeight="1" x14ac:dyDescent="0.45">
      <c r="A4" s="69">
        <v>2601</v>
      </c>
      <c r="B4" s="70">
        <v>46044</v>
      </c>
      <c r="C4" s="149" t="s">
        <v>175</v>
      </c>
      <c r="D4" s="71" t="s">
        <v>176</v>
      </c>
      <c r="E4" s="72" t="s">
        <v>50</v>
      </c>
      <c r="F4" s="73" t="s">
        <v>177</v>
      </c>
      <c r="G4" s="72" t="s">
        <v>50</v>
      </c>
      <c r="H4" s="74" t="s">
        <v>178</v>
      </c>
      <c r="I4" s="74" t="s">
        <v>179</v>
      </c>
      <c r="J4" s="74"/>
      <c r="K4" s="75"/>
      <c r="L4" s="76">
        <v>1</v>
      </c>
      <c r="M4" s="77"/>
      <c r="N4" s="78"/>
      <c r="O4" s="79">
        <v>1155</v>
      </c>
      <c r="P4" s="131"/>
      <c r="Q4" s="132"/>
      <c r="R4" s="144"/>
      <c r="S4" s="133">
        <v>3330000</v>
      </c>
      <c r="T4" s="80"/>
      <c r="U4" s="81"/>
      <c r="V4" s="82" t="s">
        <v>180</v>
      </c>
      <c r="W4" s="83">
        <f>O4*X4</f>
        <v>14755125</v>
      </c>
      <c r="X4" s="133">
        <v>12775</v>
      </c>
      <c r="Y4" s="134" t="s">
        <v>181</v>
      </c>
      <c r="Z4" s="143">
        <f t="shared" ref="Z4:Z67" si="0">W4-S4-Q4</f>
        <v>11425125</v>
      </c>
      <c r="AA4" s="68"/>
      <c r="AB4" s="68"/>
      <c r="AC4" s="68"/>
      <c r="AD4" s="68"/>
      <c r="AE4" s="68"/>
    </row>
    <row r="5" spans="1:31" s="68" customFormat="1" ht="16" customHeight="1" x14ac:dyDescent="0.45">
      <c r="A5" s="69">
        <v>2601</v>
      </c>
      <c r="B5" s="2">
        <v>46044</v>
      </c>
      <c r="C5" s="150" t="s">
        <v>182</v>
      </c>
      <c r="D5" s="3" t="s">
        <v>176</v>
      </c>
      <c r="E5" s="4" t="s">
        <v>152</v>
      </c>
      <c r="F5" s="5" t="s">
        <v>177</v>
      </c>
      <c r="G5" s="4" t="s">
        <v>50</v>
      </c>
      <c r="H5" s="66" t="s">
        <v>183</v>
      </c>
      <c r="I5" s="66"/>
      <c r="J5" s="66"/>
      <c r="K5" s="67"/>
      <c r="L5" s="11">
        <v>1</v>
      </c>
      <c r="M5" s="12"/>
      <c r="N5" s="13"/>
      <c r="O5" s="14"/>
      <c r="P5" s="15"/>
      <c r="Q5" s="16"/>
      <c r="R5" s="17"/>
      <c r="S5" s="17">
        <v>287760</v>
      </c>
      <c r="T5" s="18"/>
      <c r="U5" s="19"/>
      <c r="V5" s="20"/>
      <c r="W5" s="21"/>
      <c r="X5" s="17"/>
      <c r="Y5" s="22" t="s">
        <v>184</v>
      </c>
      <c r="Z5" s="143">
        <f t="shared" si="0"/>
        <v>-287760</v>
      </c>
      <c r="AA5"/>
      <c r="AB5"/>
      <c r="AC5"/>
      <c r="AD5"/>
      <c r="AE5"/>
    </row>
    <row r="6" spans="1:31" ht="16" customHeight="1" x14ac:dyDescent="0.45">
      <c r="A6" s="69">
        <v>2601</v>
      </c>
      <c r="B6" s="2">
        <v>46044</v>
      </c>
      <c r="C6" s="150" t="s">
        <v>182</v>
      </c>
      <c r="D6" s="3" t="s">
        <v>176</v>
      </c>
      <c r="E6" s="4" t="s">
        <v>152</v>
      </c>
      <c r="F6" s="5" t="s">
        <v>177</v>
      </c>
      <c r="G6" s="4" t="s">
        <v>50</v>
      </c>
      <c r="H6" s="66" t="s">
        <v>185</v>
      </c>
      <c r="I6" s="66"/>
      <c r="J6" s="66"/>
      <c r="K6" s="67"/>
      <c r="L6" s="11">
        <v>1</v>
      </c>
      <c r="M6" s="12"/>
      <c r="N6" s="13"/>
      <c r="O6" s="14"/>
      <c r="P6" s="15"/>
      <c r="Q6" s="16"/>
      <c r="R6" s="17"/>
      <c r="S6" s="17">
        <v>1268210</v>
      </c>
      <c r="T6" s="18"/>
      <c r="U6" s="19"/>
      <c r="V6" s="20"/>
      <c r="W6" s="21"/>
      <c r="X6" s="17"/>
      <c r="Y6" s="22" t="s">
        <v>184</v>
      </c>
      <c r="Z6" s="143">
        <f t="shared" si="0"/>
        <v>-1268210</v>
      </c>
    </row>
    <row r="7" spans="1:31" s="68" customFormat="1" ht="16" customHeight="1" x14ac:dyDescent="0.45">
      <c r="A7" s="69">
        <v>2601</v>
      </c>
      <c r="B7" s="2">
        <v>46023</v>
      </c>
      <c r="C7" s="150" t="s">
        <v>86</v>
      </c>
      <c r="D7" s="3" t="s">
        <v>37</v>
      </c>
      <c r="E7" s="4" t="s">
        <v>40</v>
      </c>
      <c r="F7" s="5" t="s">
        <v>177</v>
      </c>
      <c r="G7" s="4" t="s">
        <v>38</v>
      </c>
      <c r="H7" s="66" t="s">
        <v>39</v>
      </c>
      <c r="I7" s="66"/>
      <c r="J7" s="66"/>
      <c r="K7" s="67"/>
      <c r="L7" s="11">
        <v>10</v>
      </c>
      <c r="M7" s="12">
        <v>175</v>
      </c>
      <c r="N7" s="13"/>
      <c r="O7" s="14"/>
      <c r="P7" s="15"/>
      <c r="Q7" s="16"/>
      <c r="R7" s="17">
        <v>3800</v>
      </c>
      <c r="S7" s="17">
        <f t="shared" ref="S7:S16" si="1">M7*R7</f>
        <v>665000</v>
      </c>
      <c r="T7" s="18"/>
      <c r="U7" s="19"/>
      <c r="V7" s="20"/>
      <c r="W7" s="21"/>
      <c r="X7" s="17"/>
      <c r="Y7" s="22" t="s">
        <v>186</v>
      </c>
      <c r="Z7" s="143">
        <f t="shared" si="0"/>
        <v>-665000</v>
      </c>
      <c r="AA7"/>
      <c r="AB7"/>
      <c r="AC7"/>
      <c r="AD7"/>
      <c r="AE7"/>
    </row>
    <row r="8" spans="1:31" s="68" customFormat="1" ht="16" customHeight="1" x14ac:dyDescent="0.45">
      <c r="A8" s="69">
        <v>2601</v>
      </c>
      <c r="B8" s="2">
        <v>46041</v>
      </c>
      <c r="C8" s="150" t="s">
        <v>86</v>
      </c>
      <c r="D8" s="3" t="s">
        <v>37</v>
      </c>
      <c r="E8" s="4" t="s">
        <v>40</v>
      </c>
      <c r="F8" s="5" t="s">
        <v>177</v>
      </c>
      <c r="G8" s="4" t="s">
        <v>38</v>
      </c>
      <c r="H8" s="66" t="s">
        <v>39</v>
      </c>
      <c r="I8" s="66"/>
      <c r="J8" s="66"/>
      <c r="K8" s="67"/>
      <c r="L8" s="11">
        <v>21</v>
      </c>
      <c r="M8" s="12">
        <v>367.5</v>
      </c>
      <c r="N8" s="13"/>
      <c r="O8" s="14"/>
      <c r="P8" s="15"/>
      <c r="Q8" s="16"/>
      <c r="R8" s="17">
        <v>3800</v>
      </c>
      <c r="S8" s="17">
        <f t="shared" si="1"/>
        <v>1396500</v>
      </c>
      <c r="T8" s="18"/>
      <c r="U8" s="19"/>
      <c r="V8" s="20"/>
      <c r="W8" s="21"/>
      <c r="X8" s="17"/>
      <c r="Y8" s="22" t="s">
        <v>186</v>
      </c>
      <c r="Z8" s="143">
        <f t="shared" si="0"/>
        <v>-1396500</v>
      </c>
      <c r="AA8"/>
      <c r="AB8"/>
      <c r="AC8"/>
      <c r="AD8"/>
      <c r="AE8"/>
    </row>
    <row r="9" spans="1:31" s="68" customFormat="1" ht="16" customHeight="1" x14ac:dyDescent="0.45">
      <c r="A9" s="69">
        <v>2601</v>
      </c>
      <c r="B9" s="2">
        <v>46045</v>
      </c>
      <c r="C9" s="150" t="s">
        <v>39</v>
      </c>
      <c r="D9" s="3" t="s">
        <v>37</v>
      </c>
      <c r="E9" s="4" t="s">
        <v>40</v>
      </c>
      <c r="F9" s="5" t="s">
        <v>177</v>
      </c>
      <c r="G9" s="4" t="s">
        <v>38</v>
      </c>
      <c r="H9" s="66" t="s">
        <v>39</v>
      </c>
      <c r="I9" s="66"/>
      <c r="J9" s="66"/>
      <c r="K9" s="67"/>
      <c r="L9" s="11">
        <v>11</v>
      </c>
      <c r="M9" s="12">
        <v>192.5</v>
      </c>
      <c r="N9" s="13"/>
      <c r="O9" s="14"/>
      <c r="P9" s="15"/>
      <c r="Q9" s="16"/>
      <c r="R9" s="17">
        <v>3800</v>
      </c>
      <c r="S9" s="17">
        <f t="shared" si="1"/>
        <v>731500</v>
      </c>
      <c r="T9" s="18"/>
      <c r="U9" s="19"/>
      <c r="V9" s="20"/>
      <c r="W9" s="21"/>
      <c r="X9" s="17"/>
      <c r="Y9" s="22" t="s">
        <v>186</v>
      </c>
      <c r="Z9" s="143">
        <f t="shared" si="0"/>
        <v>-731500</v>
      </c>
      <c r="AA9"/>
      <c r="AB9"/>
      <c r="AC9"/>
      <c r="AD9"/>
      <c r="AE9"/>
    </row>
    <row r="10" spans="1:31" s="68" customFormat="1" ht="16" customHeight="1" x14ac:dyDescent="0.45">
      <c r="A10" s="69">
        <v>2601</v>
      </c>
      <c r="B10" s="2">
        <v>46049</v>
      </c>
      <c r="C10" s="150" t="s">
        <v>39</v>
      </c>
      <c r="D10" s="3" t="s">
        <v>37</v>
      </c>
      <c r="E10" s="4" t="s">
        <v>40</v>
      </c>
      <c r="F10" s="5" t="s">
        <v>177</v>
      </c>
      <c r="G10" s="4" t="s">
        <v>38</v>
      </c>
      <c r="H10" s="66" t="s">
        <v>39</v>
      </c>
      <c r="I10" s="66"/>
      <c r="J10" s="66"/>
      <c r="K10" s="67"/>
      <c r="L10" s="11">
        <v>1</v>
      </c>
      <c r="M10" s="12">
        <v>17.5</v>
      </c>
      <c r="N10" s="13"/>
      <c r="O10" s="14"/>
      <c r="P10" s="15"/>
      <c r="Q10" s="16"/>
      <c r="R10" s="17">
        <v>3800</v>
      </c>
      <c r="S10" s="17">
        <f t="shared" si="1"/>
        <v>66500</v>
      </c>
      <c r="T10" s="18"/>
      <c r="U10" s="19"/>
      <c r="V10" s="20"/>
      <c r="W10" s="21"/>
      <c r="X10" s="17"/>
      <c r="Y10" s="22" t="s">
        <v>186</v>
      </c>
      <c r="Z10" s="143">
        <f t="shared" si="0"/>
        <v>-66500</v>
      </c>
      <c r="AA10"/>
      <c r="AB10"/>
      <c r="AC10"/>
      <c r="AD10"/>
      <c r="AE10"/>
    </row>
    <row r="11" spans="1:31" s="68" customFormat="1" ht="16" customHeight="1" x14ac:dyDescent="0.45">
      <c r="A11" s="69">
        <v>2601</v>
      </c>
      <c r="B11" s="2">
        <v>46028</v>
      </c>
      <c r="C11" s="150" t="s">
        <v>187</v>
      </c>
      <c r="D11" s="3" t="s">
        <v>160</v>
      </c>
      <c r="E11" s="4" t="s">
        <v>64</v>
      </c>
      <c r="F11" s="5" t="s">
        <v>188</v>
      </c>
      <c r="G11" s="4" t="s">
        <v>56</v>
      </c>
      <c r="H11" s="66" t="s">
        <v>189</v>
      </c>
      <c r="I11" s="66"/>
      <c r="J11" s="66"/>
      <c r="K11" s="67"/>
      <c r="L11" s="11">
        <v>66</v>
      </c>
      <c r="M11" s="12">
        <v>1358.3</v>
      </c>
      <c r="N11" s="13"/>
      <c r="O11" s="14"/>
      <c r="P11" s="15"/>
      <c r="Q11" s="16"/>
      <c r="R11" s="17">
        <v>2000</v>
      </c>
      <c r="S11" s="17">
        <f t="shared" si="1"/>
        <v>2716600</v>
      </c>
      <c r="T11" s="18"/>
      <c r="U11" s="19"/>
      <c r="V11" s="20"/>
      <c r="W11" s="21"/>
      <c r="X11" s="17"/>
      <c r="Y11" s="22" t="s">
        <v>186</v>
      </c>
      <c r="Z11" s="143">
        <f t="shared" si="0"/>
        <v>-2716600</v>
      </c>
      <c r="AA11"/>
      <c r="AB11"/>
      <c r="AC11"/>
      <c r="AD11"/>
      <c r="AE11"/>
    </row>
    <row r="12" spans="1:31" ht="16" customHeight="1" x14ac:dyDescent="0.45">
      <c r="A12" s="69">
        <v>2601</v>
      </c>
      <c r="B12" s="2">
        <v>46029</v>
      </c>
      <c r="C12" s="150" t="s">
        <v>124</v>
      </c>
      <c r="D12" s="3" t="s">
        <v>160</v>
      </c>
      <c r="E12" s="4" t="s">
        <v>64</v>
      </c>
      <c r="F12" s="5" t="s">
        <v>188</v>
      </c>
      <c r="G12" s="4" t="s">
        <v>56</v>
      </c>
      <c r="H12" s="66" t="s">
        <v>60</v>
      </c>
      <c r="I12" s="66"/>
      <c r="J12" s="66"/>
      <c r="K12" s="67"/>
      <c r="L12" s="11">
        <v>40</v>
      </c>
      <c r="M12" s="12">
        <v>736.5</v>
      </c>
      <c r="N12" s="13"/>
      <c r="O12" s="14"/>
      <c r="P12" s="15"/>
      <c r="Q12" s="16"/>
      <c r="R12" s="17">
        <v>1800</v>
      </c>
      <c r="S12" s="17">
        <f t="shared" si="1"/>
        <v>1325700</v>
      </c>
      <c r="T12" s="18"/>
      <c r="U12" s="19"/>
      <c r="V12" s="20"/>
      <c r="W12" s="21"/>
      <c r="X12" s="17"/>
      <c r="Y12" s="22" t="s">
        <v>186</v>
      </c>
      <c r="Z12" s="142">
        <f t="shared" si="0"/>
        <v>-1325700</v>
      </c>
    </row>
    <row r="13" spans="1:31" ht="16" customHeight="1" x14ac:dyDescent="0.45">
      <c r="A13" s="69">
        <v>2601</v>
      </c>
      <c r="B13" s="2">
        <v>46029</v>
      </c>
      <c r="C13" s="150" t="s">
        <v>171</v>
      </c>
      <c r="D13" s="3" t="s">
        <v>160</v>
      </c>
      <c r="E13" s="4" t="s">
        <v>64</v>
      </c>
      <c r="F13" s="5" t="s">
        <v>188</v>
      </c>
      <c r="G13" s="4" t="s">
        <v>56</v>
      </c>
      <c r="H13" s="66" t="s">
        <v>171</v>
      </c>
      <c r="I13" s="66"/>
      <c r="J13" s="66"/>
      <c r="K13" s="67"/>
      <c r="L13" s="11">
        <v>140</v>
      </c>
      <c r="M13" s="12">
        <v>2839.9</v>
      </c>
      <c r="N13" s="13"/>
      <c r="O13" s="14"/>
      <c r="P13" s="15"/>
      <c r="Q13" s="16"/>
      <c r="R13" s="17">
        <v>2000</v>
      </c>
      <c r="S13" s="17">
        <f t="shared" si="1"/>
        <v>5679800</v>
      </c>
      <c r="T13" s="18"/>
      <c r="U13" s="19"/>
      <c r="V13" s="20"/>
      <c r="W13" s="21"/>
      <c r="X13" s="17"/>
      <c r="Y13" s="22" t="s">
        <v>186</v>
      </c>
      <c r="Z13" s="143">
        <f t="shared" si="0"/>
        <v>-5679800</v>
      </c>
    </row>
    <row r="14" spans="1:31" ht="16" customHeight="1" x14ac:dyDescent="0.45">
      <c r="A14" s="69">
        <v>2601</v>
      </c>
      <c r="B14" s="87">
        <v>46035</v>
      </c>
      <c r="C14" s="150" t="s">
        <v>171</v>
      </c>
      <c r="D14" s="84" t="s">
        <v>160</v>
      </c>
      <c r="E14" s="88" t="s">
        <v>64</v>
      </c>
      <c r="F14" s="89" t="s">
        <v>188</v>
      </c>
      <c r="G14" s="88" t="s">
        <v>56</v>
      </c>
      <c r="H14" s="90" t="s">
        <v>171</v>
      </c>
      <c r="I14" s="90"/>
      <c r="J14" s="90"/>
      <c r="K14" s="91"/>
      <c r="L14" s="92">
        <v>50</v>
      </c>
      <c r="M14" s="93">
        <v>1038.8</v>
      </c>
      <c r="N14" s="94"/>
      <c r="O14" s="95"/>
      <c r="P14" s="15"/>
      <c r="Q14" s="16"/>
      <c r="R14" s="129">
        <v>2000</v>
      </c>
      <c r="S14" s="129">
        <f t="shared" si="1"/>
        <v>2077600</v>
      </c>
      <c r="T14" s="96"/>
      <c r="U14" s="97"/>
      <c r="V14" s="98"/>
      <c r="W14" s="99"/>
      <c r="X14" s="129"/>
      <c r="Y14" s="130" t="s">
        <v>186</v>
      </c>
      <c r="Z14" s="143">
        <f t="shared" si="0"/>
        <v>-2077600</v>
      </c>
      <c r="AA14" s="86"/>
      <c r="AB14" s="86"/>
      <c r="AC14" s="86"/>
      <c r="AD14" s="86"/>
      <c r="AE14" s="86"/>
    </row>
    <row r="15" spans="1:31" ht="16" customHeight="1" x14ac:dyDescent="0.45">
      <c r="A15" s="69">
        <v>2601</v>
      </c>
      <c r="B15" s="2">
        <v>46043</v>
      </c>
      <c r="C15" s="150" t="s">
        <v>171</v>
      </c>
      <c r="D15" s="3" t="s">
        <v>160</v>
      </c>
      <c r="E15" s="4" t="s">
        <v>64</v>
      </c>
      <c r="F15" s="5" t="s">
        <v>188</v>
      </c>
      <c r="G15" s="4" t="s">
        <v>56</v>
      </c>
      <c r="H15" s="66" t="s">
        <v>171</v>
      </c>
      <c r="I15" s="66"/>
      <c r="J15" s="66"/>
      <c r="K15" s="67"/>
      <c r="L15" s="11">
        <v>66</v>
      </c>
      <c r="M15" s="12">
        <v>1352</v>
      </c>
      <c r="N15" s="13"/>
      <c r="O15" s="14"/>
      <c r="P15" s="15"/>
      <c r="Q15" s="16"/>
      <c r="R15" s="17">
        <v>2000</v>
      </c>
      <c r="S15" s="17">
        <f t="shared" si="1"/>
        <v>2704000</v>
      </c>
      <c r="T15" s="18"/>
      <c r="U15" s="19"/>
      <c r="V15" s="20"/>
      <c r="W15" s="21"/>
      <c r="X15" s="17"/>
      <c r="Y15" s="22" t="s">
        <v>186</v>
      </c>
      <c r="Z15" s="143">
        <f t="shared" si="0"/>
        <v>-2704000</v>
      </c>
    </row>
    <row r="16" spans="1:31" ht="16" customHeight="1" x14ac:dyDescent="0.45">
      <c r="A16" s="69">
        <v>2601</v>
      </c>
      <c r="B16" s="2">
        <v>46049</v>
      </c>
      <c r="C16" s="150" t="s">
        <v>171</v>
      </c>
      <c r="D16" s="3" t="s">
        <v>160</v>
      </c>
      <c r="E16" s="4" t="s">
        <v>64</v>
      </c>
      <c r="F16" s="5" t="s">
        <v>188</v>
      </c>
      <c r="G16" s="4" t="s">
        <v>56</v>
      </c>
      <c r="H16" s="66" t="s">
        <v>171</v>
      </c>
      <c r="I16" s="66"/>
      <c r="J16" s="66"/>
      <c r="K16" s="67"/>
      <c r="L16" s="11">
        <v>50</v>
      </c>
      <c r="M16" s="12">
        <v>1034.8</v>
      </c>
      <c r="N16" s="13"/>
      <c r="O16" s="14"/>
      <c r="P16" s="15"/>
      <c r="Q16" s="16"/>
      <c r="R16" s="17">
        <v>2000</v>
      </c>
      <c r="S16" s="17">
        <f t="shared" si="1"/>
        <v>2069600</v>
      </c>
      <c r="T16" s="18"/>
      <c r="U16" s="19"/>
      <c r="V16" s="20"/>
      <c r="W16" s="21"/>
      <c r="X16" s="17"/>
      <c r="Y16" s="22" t="s">
        <v>186</v>
      </c>
      <c r="Z16" s="143">
        <f t="shared" si="0"/>
        <v>-2069600</v>
      </c>
    </row>
    <row r="17" spans="1:31" ht="16" customHeight="1" x14ac:dyDescent="0.45">
      <c r="A17" s="69">
        <v>2601</v>
      </c>
      <c r="B17" s="2">
        <v>46052</v>
      </c>
      <c r="C17" s="150" t="s">
        <v>171</v>
      </c>
      <c r="D17" s="3" t="s">
        <v>160</v>
      </c>
      <c r="E17" s="4" t="s">
        <v>64</v>
      </c>
      <c r="F17" s="5" t="s">
        <v>188</v>
      </c>
      <c r="G17" s="4" t="s">
        <v>56</v>
      </c>
      <c r="H17" s="66" t="s">
        <v>190</v>
      </c>
      <c r="I17" s="66"/>
      <c r="J17" s="66"/>
      <c r="K17" s="67"/>
      <c r="L17" s="11"/>
      <c r="M17" s="12">
        <v>1254.05</v>
      </c>
      <c r="N17" s="13"/>
      <c r="O17" s="14"/>
      <c r="P17" s="15">
        <v>2505</v>
      </c>
      <c r="Q17" s="16">
        <v>3141668</v>
      </c>
      <c r="R17" s="17"/>
      <c r="S17" s="17"/>
      <c r="T17" s="18"/>
      <c r="U17" s="19"/>
      <c r="V17" s="20"/>
      <c r="W17" s="21"/>
      <c r="X17" s="17"/>
      <c r="Y17" s="22" t="s">
        <v>186</v>
      </c>
      <c r="Z17" s="143">
        <f t="shared" si="0"/>
        <v>-3141668</v>
      </c>
    </row>
    <row r="18" spans="1:31" ht="16" customHeight="1" x14ac:dyDescent="0.45">
      <c r="A18" s="69">
        <v>2601</v>
      </c>
      <c r="B18" s="2">
        <v>46037</v>
      </c>
      <c r="C18" s="150" t="s">
        <v>191</v>
      </c>
      <c r="D18" s="3" t="s">
        <v>127</v>
      </c>
      <c r="E18" s="4" t="s">
        <v>154</v>
      </c>
      <c r="F18" s="5" t="s">
        <v>188</v>
      </c>
      <c r="G18" s="4" t="s">
        <v>56</v>
      </c>
      <c r="H18" s="66" t="s">
        <v>128</v>
      </c>
      <c r="I18" s="66"/>
      <c r="J18" s="66"/>
      <c r="K18" s="67" t="s">
        <v>138</v>
      </c>
      <c r="L18" s="11">
        <v>7</v>
      </c>
      <c r="M18" s="12">
        <v>2625</v>
      </c>
      <c r="N18" s="13"/>
      <c r="O18" s="14"/>
      <c r="P18" s="15">
        <v>2205</v>
      </c>
      <c r="Q18" s="16">
        <f>M18*P18</f>
        <v>5788125</v>
      </c>
      <c r="R18" s="17"/>
      <c r="S18" s="17"/>
      <c r="T18" s="18"/>
      <c r="U18" s="19"/>
      <c r="V18" s="20"/>
      <c r="W18" s="21"/>
      <c r="X18" s="17"/>
      <c r="Y18" s="22" t="s">
        <v>181</v>
      </c>
      <c r="Z18" s="143">
        <f t="shared" si="0"/>
        <v>-5788125</v>
      </c>
    </row>
    <row r="19" spans="1:31" ht="16" customHeight="1" x14ac:dyDescent="0.45">
      <c r="A19" s="69">
        <v>2601</v>
      </c>
      <c r="B19" s="2">
        <v>46037</v>
      </c>
      <c r="C19" s="150" t="s">
        <v>191</v>
      </c>
      <c r="D19" s="3" t="s">
        <v>127</v>
      </c>
      <c r="E19" s="4" t="s">
        <v>154</v>
      </c>
      <c r="F19" s="5" t="s">
        <v>188</v>
      </c>
      <c r="G19" s="4" t="s">
        <v>56</v>
      </c>
      <c r="H19" s="66" t="s">
        <v>128</v>
      </c>
      <c r="I19" s="66"/>
      <c r="J19" s="66"/>
      <c r="K19" s="67" t="s">
        <v>136</v>
      </c>
      <c r="L19" s="11">
        <v>1</v>
      </c>
      <c r="M19" s="12">
        <v>365</v>
      </c>
      <c r="N19" s="13"/>
      <c r="O19" s="14"/>
      <c r="P19" s="15">
        <v>1874</v>
      </c>
      <c r="Q19" s="16">
        <f>M19*P19</f>
        <v>684010</v>
      </c>
      <c r="R19" s="17"/>
      <c r="S19" s="17"/>
      <c r="T19" s="18"/>
      <c r="U19" s="19"/>
      <c r="V19" s="20"/>
      <c r="W19" s="21"/>
      <c r="X19" s="17"/>
      <c r="Y19" s="22" t="s">
        <v>181</v>
      </c>
      <c r="Z19" s="143">
        <f t="shared" si="0"/>
        <v>-684010</v>
      </c>
    </row>
    <row r="20" spans="1:31" ht="16" customHeight="1" x14ac:dyDescent="0.45">
      <c r="A20" s="69">
        <v>2601</v>
      </c>
      <c r="B20" s="70">
        <v>46035</v>
      </c>
      <c r="C20" s="150" t="s">
        <v>137</v>
      </c>
      <c r="D20" s="71" t="s">
        <v>90</v>
      </c>
      <c r="E20" s="72" t="s">
        <v>50</v>
      </c>
      <c r="F20" s="73" t="s">
        <v>177</v>
      </c>
      <c r="G20" s="72" t="s">
        <v>50</v>
      </c>
      <c r="H20" s="74" t="s">
        <v>51</v>
      </c>
      <c r="I20" s="74" t="s">
        <v>143</v>
      </c>
      <c r="J20" s="74"/>
      <c r="K20" s="75"/>
      <c r="L20" s="76">
        <v>5</v>
      </c>
      <c r="M20" s="77"/>
      <c r="N20" s="78"/>
      <c r="O20" s="79">
        <v>3700</v>
      </c>
      <c r="P20" s="131"/>
      <c r="Q20" s="132"/>
      <c r="R20" s="133">
        <v>1850</v>
      </c>
      <c r="S20" s="133">
        <f>O20*R20</f>
        <v>6845000</v>
      </c>
      <c r="T20" s="80"/>
      <c r="U20" s="81"/>
      <c r="V20" s="82">
        <v>3595</v>
      </c>
      <c r="W20" s="83">
        <f>O20*V20</f>
        <v>13301500</v>
      </c>
      <c r="X20" s="133"/>
      <c r="Y20" s="134" t="s">
        <v>192</v>
      </c>
      <c r="Z20" s="143">
        <f t="shared" si="0"/>
        <v>6456500</v>
      </c>
      <c r="AA20" s="68"/>
      <c r="AB20" s="68"/>
      <c r="AC20" s="68"/>
      <c r="AD20" s="68"/>
      <c r="AE20" s="68"/>
    </row>
    <row r="21" spans="1:31" s="68" customFormat="1" ht="16" customHeight="1" x14ac:dyDescent="0.45">
      <c r="A21" s="69">
        <v>2601</v>
      </c>
      <c r="B21" s="70">
        <v>46035</v>
      </c>
      <c r="C21" s="150" t="s">
        <v>102</v>
      </c>
      <c r="D21" s="71" t="s">
        <v>90</v>
      </c>
      <c r="E21" s="72" t="s">
        <v>50</v>
      </c>
      <c r="F21" s="73" t="s">
        <v>177</v>
      </c>
      <c r="G21" s="72" t="s">
        <v>50</v>
      </c>
      <c r="H21" s="74" t="s">
        <v>193</v>
      </c>
      <c r="I21" s="74" t="s">
        <v>106</v>
      </c>
      <c r="J21" s="74"/>
      <c r="K21" s="75"/>
      <c r="L21" s="76">
        <v>1</v>
      </c>
      <c r="M21" s="77"/>
      <c r="N21" s="78"/>
      <c r="O21" s="79">
        <v>25</v>
      </c>
      <c r="P21" s="131"/>
      <c r="Q21" s="132"/>
      <c r="R21" s="133">
        <v>1850</v>
      </c>
      <c r="S21" s="133">
        <f>O21*R21</f>
        <v>46250</v>
      </c>
      <c r="T21" s="80"/>
      <c r="U21" s="81"/>
      <c r="V21" s="82">
        <v>2250</v>
      </c>
      <c r="W21" s="83">
        <f>O21*V21</f>
        <v>56250</v>
      </c>
      <c r="X21" s="133"/>
      <c r="Y21" s="134" t="s">
        <v>192</v>
      </c>
      <c r="Z21" s="143">
        <f t="shared" si="0"/>
        <v>10000</v>
      </c>
    </row>
    <row r="22" spans="1:31" s="68" customFormat="1" ht="16" customHeight="1" x14ac:dyDescent="0.45">
      <c r="A22" s="69">
        <v>2601</v>
      </c>
      <c r="B22" s="70">
        <v>46035</v>
      </c>
      <c r="C22" s="150" t="s">
        <v>102</v>
      </c>
      <c r="D22" s="71" t="s">
        <v>90</v>
      </c>
      <c r="E22" s="72" t="s">
        <v>50</v>
      </c>
      <c r="F22" s="73" t="s">
        <v>177</v>
      </c>
      <c r="G22" s="72" t="s">
        <v>50</v>
      </c>
      <c r="H22" s="74" t="s">
        <v>193</v>
      </c>
      <c r="I22" s="74" t="s">
        <v>106</v>
      </c>
      <c r="J22" s="74"/>
      <c r="K22" s="75"/>
      <c r="L22" s="76">
        <v>2</v>
      </c>
      <c r="M22" s="77"/>
      <c r="N22" s="78"/>
      <c r="O22" s="79">
        <v>31</v>
      </c>
      <c r="P22" s="131"/>
      <c r="Q22" s="132"/>
      <c r="R22" s="133">
        <v>1850</v>
      </c>
      <c r="S22" s="133">
        <f>O22*R22</f>
        <v>57350</v>
      </c>
      <c r="T22" s="80"/>
      <c r="U22" s="81"/>
      <c r="V22" s="82">
        <v>2250</v>
      </c>
      <c r="W22" s="83">
        <f>O22*V22</f>
        <v>69750</v>
      </c>
      <c r="X22" s="133"/>
      <c r="Y22" s="134" t="s">
        <v>192</v>
      </c>
      <c r="Z22" s="143">
        <f t="shared" si="0"/>
        <v>12400</v>
      </c>
    </row>
    <row r="23" spans="1:31" s="68" customFormat="1" ht="16" customHeight="1" x14ac:dyDescent="0.45">
      <c r="A23" s="69">
        <v>2601</v>
      </c>
      <c r="B23" s="70">
        <v>46036</v>
      </c>
      <c r="C23" s="150" t="s">
        <v>194</v>
      </c>
      <c r="D23" s="71" t="s">
        <v>85</v>
      </c>
      <c r="E23" s="72" t="s">
        <v>104</v>
      </c>
      <c r="F23" s="73" t="s">
        <v>195</v>
      </c>
      <c r="G23" s="72" t="s">
        <v>104</v>
      </c>
      <c r="H23" s="74" t="s">
        <v>144</v>
      </c>
      <c r="I23" s="74" t="s">
        <v>63</v>
      </c>
      <c r="J23" s="74"/>
      <c r="K23" s="75"/>
      <c r="L23" s="76">
        <v>3</v>
      </c>
      <c r="M23" s="77"/>
      <c r="N23" s="78">
        <v>1045</v>
      </c>
      <c r="O23" s="79"/>
      <c r="P23" s="131"/>
      <c r="Q23" s="132"/>
      <c r="R23" s="133">
        <v>1020</v>
      </c>
      <c r="S23" s="133">
        <f>N23*R23</f>
        <v>1065900</v>
      </c>
      <c r="T23" s="80"/>
      <c r="U23" s="81"/>
      <c r="V23" s="82">
        <v>1600</v>
      </c>
      <c r="W23" s="83">
        <f>N23*V23</f>
        <v>1672000</v>
      </c>
      <c r="X23" s="133"/>
      <c r="Y23" s="134" t="s">
        <v>196</v>
      </c>
      <c r="Z23" s="142">
        <f t="shared" si="0"/>
        <v>606100</v>
      </c>
    </row>
    <row r="24" spans="1:31" s="68" customFormat="1" ht="16" customHeight="1" x14ac:dyDescent="0.45">
      <c r="A24" s="69">
        <v>2601</v>
      </c>
      <c r="B24" s="2">
        <v>46044</v>
      </c>
      <c r="C24" s="150" t="s">
        <v>197</v>
      </c>
      <c r="D24" s="3" t="s">
        <v>161</v>
      </c>
      <c r="E24" s="4" t="s">
        <v>198</v>
      </c>
      <c r="F24" s="5" t="s">
        <v>199</v>
      </c>
      <c r="G24" s="4" t="s">
        <v>59</v>
      </c>
      <c r="H24" s="66" t="s">
        <v>162</v>
      </c>
      <c r="I24" s="66" t="s">
        <v>200</v>
      </c>
      <c r="J24" s="66"/>
      <c r="K24" s="67"/>
      <c r="L24" s="11">
        <v>30</v>
      </c>
      <c r="M24" s="12">
        <v>150</v>
      </c>
      <c r="N24" s="13"/>
      <c r="O24" s="14"/>
      <c r="P24" s="15">
        <v>3750</v>
      </c>
      <c r="Q24" s="16">
        <f t="shared" ref="Q24:Q30" si="2">P24*M24</f>
        <v>562500</v>
      </c>
      <c r="R24" s="17"/>
      <c r="S24" s="17"/>
      <c r="T24" s="18"/>
      <c r="U24" s="19"/>
      <c r="V24" s="20"/>
      <c r="W24" s="21"/>
      <c r="X24" s="17"/>
      <c r="Y24" s="22" t="s">
        <v>181</v>
      </c>
      <c r="Z24" s="143">
        <f t="shared" si="0"/>
        <v>-562500</v>
      </c>
      <c r="AA24"/>
      <c r="AB24"/>
      <c r="AC24"/>
      <c r="AD24"/>
      <c r="AE24"/>
    </row>
    <row r="25" spans="1:31" s="68" customFormat="1" ht="16" customHeight="1" x14ac:dyDescent="0.45">
      <c r="A25" s="69">
        <v>2601</v>
      </c>
      <c r="B25" s="2">
        <v>46044</v>
      </c>
      <c r="C25" s="150" t="s">
        <v>201</v>
      </c>
      <c r="D25" s="3" t="s">
        <v>161</v>
      </c>
      <c r="E25" s="4" t="s">
        <v>198</v>
      </c>
      <c r="F25" s="5" t="s">
        <v>199</v>
      </c>
      <c r="G25" s="4" t="s">
        <v>59</v>
      </c>
      <c r="H25" s="66" t="s">
        <v>162</v>
      </c>
      <c r="I25" s="66" t="s">
        <v>202</v>
      </c>
      <c r="J25" s="66"/>
      <c r="K25" s="67"/>
      <c r="L25" s="11">
        <v>21</v>
      </c>
      <c r="M25" s="12">
        <v>105</v>
      </c>
      <c r="N25" s="13"/>
      <c r="O25" s="14"/>
      <c r="P25" s="15">
        <v>3750</v>
      </c>
      <c r="Q25" s="16">
        <f t="shared" si="2"/>
        <v>393750</v>
      </c>
      <c r="R25" s="17"/>
      <c r="S25" s="17"/>
      <c r="T25" s="18"/>
      <c r="U25" s="19"/>
      <c r="V25" s="20"/>
      <c r="W25" s="21"/>
      <c r="X25" s="17"/>
      <c r="Y25" s="22" t="s">
        <v>181</v>
      </c>
      <c r="Z25" s="143">
        <f t="shared" si="0"/>
        <v>-393750</v>
      </c>
      <c r="AA25"/>
      <c r="AB25"/>
      <c r="AC25"/>
      <c r="AD25"/>
      <c r="AE25"/>
    </row>
    <row r="26" spans="1:31" s="68" customFormat="1" ht="16" customHeight="1" x14ac:dyDescent="0.45">
      <c r="A26" s="69">
        <v>2601</v>
      </c>
      <c r="B26" s="2">
        <v>46044</v>
      </c>
      <c r="C26" s="150" t="s">
        <v>201</v>
      </c>
      <c r="D26" s="3" t="s">
        <v>161</v>
      </c>
      <c r="E26" s="4" t="s">
        <v>198</v>
      </c>
      <c r="F26" s="5" t="s">
        <v>199</v>
      </c>
      <c r="G26" s="4" t="s">
        <v>59</v>
      </c>
      <c r="H26" s="66" t="s">
        <v>162</v>
      </c>
      <c r="I26" s="66" t="s">
        <v>203</v>
      </c>
      <c r="J26" s="66"/>
      <c r="K26" s="67"/>
      <c r="L26" s="11">
        <v>9</v>
      </c>
      <c r="M26" s="12">
        <v>45</v>
      </c>
      <c r="N26" s="13"/>
      <c r="O26" s="14"/>
      <c r="P26" s="15">
        <v>3750</v>
      </c>
      <c r="Q26" s="16">
        <f t="shared" si="2"/>
        <v>168750</v>
      </c>
      <c r="R26" s="17"/>
      <c r="S26" s="17"/>
      <c r="T26" s="18"/>
      <c r="U26" s="19"/>
      <c r="V26" s="20"/>
      <c r="W26" s="21"/>
      <c r="X26" s="17"/>
      <c r="Y26" s="22" t="s">
        <v>181</v>
      </c>
      <c r="Z26" s="143">
        <f t="shared" si="0"/>
        <v>-168750</v>
      </c>
      <c r="AA26"/>
      <c r="AB26"/>
      <c r="AC26"/>
      <c r="AD26"/>
      <c r="AE26"/>
    </row>
    <row r="27" spans="1:31" s="68" customFormat="1" ht="16" customHeight="1" x14ac:dyDescent="0.45">
      <c r="A27" s="69">
        <v>2601</v>
      </c>
      <c r="B27" s="2">
        <v>46044</v>
      </c>
      <c r="C27" s="150" t="s">
        <v>201</v>
      </c>
      <c r="D27" s="3" t="s">
        <v>161</v>
      </c>
      <c r="E27" s="4" t="s">
        <v>198</v>
      </c>
      <c r="F27" s="5" t="s">
        <v>199</v>
      </c>
      <c r="G27" s="4" t="s">
        <v>59</v>
      </c>
      <c r="H27" s="66" t="s">
        <v>162</v>
      </c>
      <c r="I27" s="66" t="s">
        <v>204</v>
      </c>
      <c r="J27" s="66"/>
      <c r="K27" s="67"/>
      <c r="L27" s="11">
        <v>3</v>
      </c>
      <c r="M27" s="12">
        <v>15</v>
      </c>
      <c r="N27" s="13"/>
      <c r="O27" s="14"/>
      <c r="P27" s="15">
        <v>3750</v>
      </c>
      <c r="Q27" s="16">
        <f t="shared" si="2"/>
        <v>56250</v>
      </c>
      <c r="R27" s="17"/>
      <c r="S27" s="17"/>
      <c r="T27" s="18"/>
      <c r="U27" s="19"/>
      <c r="V27" s="20"/>
      <c r="W27" s="21"/>
      <c r="X27" s="17"/>
      <c r="Y27" s="22" t="s">
        <v>181</v>
      </c>
      <c r="Z27" s="143">
        <f t="shared" si="0"/>
        <v>-56250</v>
      </c>
      <c r="AA27"/>
      <c r="AB27"/>
      <c r="AC27"/>
      <c r="AD27"/>
      <c r="AE27"/>
    </row>
    <row r="28" spans="1:31" s="68" customFormat="1" ht="16" customHeight="1" x14ac:dyDescent="0.45">
      <c r="A28" s="69">
        <v>2601</v>
      </c>
      <c r="B28" s="2">
        <v>46044</v>
      </c>
      <c r="C28" s="150" t="s">
        <v>201</v>
      </c>
      <c r="D28" s="3" t="s">
        <v>161</v>
      </c>
      <c r="E28" s="4" t="s">
        <v>198</v>
      </c>
      <c r="F28" s="5" t="s">
        <v>199</v>
      </c>
      <c r="G28" s="4" t="s">
        <v>59</v>
      </c>
      <c r="H28" s="66" t="s">
        <v>162</v>
      </c>
      <c r="I28" s="66" t="s">
        <v>205</v>
      </c>
      <c r="J28" s="66"/>
      <c r="K28" s="67"/>
      <c r="L28" s="11">
        <v>12</v>
      </c>
      <c r="M28" s="12">
        <v>60</v>
      </c>
      <c r="N28" s="13"/>
      <c r="O28" s="14"/>
      <c r="P28" s="15">
        <v>3750</v>
      </c>
      <c r="Q28" s="16">
        <f t="shared" si="2"/>
        <v>225000</v>
      </c>
      <c r="R28" s="17"/>
      <c r="S28" s="17"/>
      <c r="T28" s="18"/>
      <c r="U28" s="19"/>
      <c r="V28" s="20"/>
      <c r="W28" s="21"/>
      <c r="X28" s="17"/>
      <c r="Y28" s="22" t="s">
        <v>181</v>
      </c>
      <c r="Z28" s="143">
        <f t="shared" si="0"/>
        <v>-225000</v>
      </c>
      <c r="AA28"/>
      <c r="AB28"/>
      <c r="AC28"/>
      <c r="AD28"/>
      <c r="AE28"/>
    </row>
    <row r="29" spans="1:31" s="68" customFormat="1" ht="16" customHeight="1" x14ac:dyDescent="0.45">
      <c r="A29" s="69">
        <v>2601</v>
      </c>
      <c r="B29" s="2">
        <v>46044</v>
      </c>
      <c r="C29" s="150" t="s">
        <v>201</v>
      </c>
      <c r="D29" s="3" t="s">
        <v>161</v>
      </c>
      <c r="E29" s="4" t="s">
        <v>198</v>
      </c>
      <c r="F29" s="5" t="s">
        <v>199</v>
      </c>
      <c r="G29" s="4" t="s">
        <v>59</v>
      </c>
      <c r="H29" s="66" t="s">
        <v>162</v>
      </c>
      <c r="I29" s="66" t="s">
        <v>206</v>
      </c>
      <c r="J29" s="66"/>
      <c r="K29" s="67"/>
      <c r="L29" s="11">
        <v>6</v>
      </c>
      <c r="M29" s="12">
        <v>30</v>
      </c>
      <c r="N29" s="13"/>
      <c r="O29" s="14"/>
      <c r="P29" s="15">
        <v>3750</v>
      </c>
      <c r="Q29" s="16">
        <f t="shared" si="2"/>
        <v>112500</v>
      </c>
      <c r="R29" s="17"/>
      <c r="S29" s="17"/>
      <c r="T29" s="18"/>
      <c r="U29" s="19"/>
      <c r="V29" s="20"/>
      <c r="W29" s="21"/>
      <c r="X29" s="17"/>
      <c r="Y29" s="22" t="s">
        <v>181</v>
      </c>
      <c r="Z29" s="143">
        <f t="shared" si="0"/>
        <v>-112500</v>
      </c>
      <c r="AA29"/>
      <c r="AB29"/>
      <c r="AC29"/>
      <c r="AD29"/>
      <c r="AE29"/>
    </row>
    <row r="30" spans="1:31" ht="16" customHeight="1" x14ac:dyDescent="0.45">
      <c r="A30" s="69">
        <v>2601</v>
      </c>
      <c r="B30" s="2">
        <v>46044</v>
      </c>
      <c r="C30" s="150" t="s">
        <v>201</v>
      </c>
      <c r="D30" s="3" t="s">
        <v>161</v>
      </c>
      <c r="E30" s="4" t="s">
        <v>198</v>
      </c>
      <c r="F30" s="5" t="s">
        <v>199</v>
      </c>
      <c r="G30" s="4" t="s">
        <v>59</v>
      </c>
      <c r="H30" s="66" t="s">
        <v>162</v>
      </c>
      <c r="I30" s="66" t="s">
        <v>207</v>
      </c>
      <c r="J30" s="66"/>
      <c r="K30" s="67"/>
      <c r="L30" s="11">
        <v>3</v>
      </c>
      <c r="M30" s="12">
        <v>15</v>
      </c>
      <c r="N30" s="13"/>
      <c r="O30" s="14"/>
      <c r="P30" s="15">
        <v>3950</v>
      </c>
      <c r="Q30" s="16">
        <f t="shared" si="2"/>
        <v>59250</v>
      </c>
      <c r="R30" s="17"/>
      <c r="S30" s="17"/>
      <c r="T30" s="18"/>
      <c r="U30" s="19"/>
      <c r="V30" s="20"/>
      <c r="W30" s="21"/>
      <c r="X30" s="17"/>
      <c r="Y30" s="22" t="s">
        <v>181</v>
      </c>
      <c r="Z30" s="143">
        <f t="shared" si="0"/>
        <v>-59250</v>
      </c>
    </row>
    <row r="31" spans="1:31" ht="16" customHeight="1" x14ac:dyDescent="0.45">
      <c r="A31" s="69">
        <v>2601</v>
      </c>
      <c r="B31" s="2">
        <v>46028</v>
      </c>
      <c r="C31" s="150" t="s">
        <v>208</v>
      </c>
      <c r="D31" s="3" t="s">
        <v>91</v>
      </c>
      <c r="E31" s="4" t="s">
        <v>58</v>
      </c>
      <c r="F31" s="5" t="s">
        <v>199</v>
      </c>
      <c r="G31" s="4" t="s">
        <v>59</v>
      </c>
      <c r="H31" s="66" t="s">
        <v>98</v>
      </c>
      <c r="I31" s="66"/>
      <c r="J31" s="66"/>
      <c r="K31" s="67"/>
      <c r="L31" s="11">
        <v>3</v>
      </c>
      <c r="M31" s="12">
        <v>1548</v>
      </c>
      <c r="N31" s="13"/>
      <c r="O31" s="14"/>
      <c r="P31" s="15">
        <v>2304</v>
      </c>
      <c r="Q31" s="16">
        <f>M31*P31</f>
        <v>3566592</v>
      </c>
      <c r="R31" s="17"/>
      <c r="S31" s="17"/>
      <c r="T31" s="18"/>
      <c r="U31" s="19"/>
      <c r="V31" s="20"/>
      <c r="W31" s="21"/>
      <c r="X31" s="17"/>
      <c r="Y31" s="22" t="s">
        <v>181</v>
      </c>
      <c r="Z31" s="143">
        <f t="shared" si="0"/>
        <v>-3566592</v>
      </c>
    </row>
    <row r="32" spans="1:31" s="68" customFormat="1" ht="16" customHeight="1" x14ac:dyDescent="0.45">
      <c r="A32" s="69">
        <v>2601</v>
      </c>
      <c r="B32" s="70">
        <v>46035</v>
      </c>
      <c r="C32" s="150" t="s">
        <v>39</v>
      </c>
      <c r="D32" s="71" t="s">
        <v>142</v>
      </c>
      <c r="E32" s="72" t="s">
        <v>38</v>
      </c>
      <c r="F32" s="73" t="s">
        <v>177</v>
      </c>
      <c r="G32" s="72" t="s">
        <v>38</v>
      </c>
      <c r="H32" s="74" t="s">
        <v>163</v>
      </c>
      <c r="I32" s="74" t="s">
        <v>84</v>
      </c>
      <c r="J32" s="74"/>
      <c r="K32" s="85" t="s">
        <v>209</v>
      </c>
      <c r="L32" s="76">
        <v>8</v>
      </c>
      <c r="M32" s="77"/>
      <c r="N32" s="78"/>
      <c r="O32" s="79">
        <v>2819</v>
      </c>
      <c r="P32" s="131"/>
      <c r="Q32" s="132"/>
      <c r="R32" s="133">
        <v>2350</v>
      </c>
      <c r="S32" s="133">
        <f>O32*R32</f>
        <v>6624650</v>
      </c>
      <c r="T32" s="80"/>
      <c r="U32" s="81"/>
      <c r="V32" s="82">
        <v>4700</v>
      </c>
      <c r="W32" s="83">
        <f>O32*V32</f>
        <v>13249300</v>
      </c>
      <c r="X32" s="133"/>
      <c r="Y32" s="134" t="s">
        <v>192</v>
      </c>
      <c r="Z32" s="143">
        <f t="shared" si="0"/>
        <v>6624650</v>
      </c>
    </row>
    <row r="33" spans="1:31" ht="16" customHeight="1" x14ac:dyDescent="0.45">
      <c r="A33" s="69">
        <v>2601</v>
      </c>
      <c r="B33" s="70">
        <v>46028</v>
      </c>
      <c r="C33" s="150" t="s">
        <v>39</v>
      </c>
      <c r="D33" s="71" t="s">
        <v>142</v>
      </c>
      <c r="E33" s="72" t="s">
        <v>38</v>
      </c>
      <c r="F33" s="73" t="s">
        <v>177</v>
      </c>
      <c r="G33" s="72" t="s">
        <v>38</v>
      </c>
      <c r="H33" s="74" t="s">
        <v>155</v>
      </c>
      <c r="I33" s="74" t="s">
        <v>52</v>
      </c>
      <c r="J33" s="74"/>
      <c r="K33" s="85" t="s">
        <v>210</v>
      </c>
      <c r="L33" s="76">
        <v>10</v>
      </c>
      <c r="M33" s="77"/>
      <c r="N33" s="78"/>
      <c r="O33" s="79">
        <v>2938</v>
      </c>
      <c r="P33" s="131"/>
      <c r="Q33" s="132"/>
      <c r="R33" s="133">
        <v>2350</v>
      </c>
      <c r="S33" s="133">
        <f>O33*R33</f>
        <v>6904300</v>
      </c>
      <c r="T33" s="80"/>
      <c r="U33" s="81"/>
      <c r="V33" s="82">
        <v>4700</v>
      </c>
      <c r="W33" s="83">
        <f>O33*V33</f>
        <v>13808600</v>
      </c>
      <c r="X33" s="133"/>
      <c r="Y33" s="134" t="s">
        <v>192</v>
      </c>
      <c r="Z33" s="143">
        <f t="shared" si="0"/>
        <v>6904300</v>
      </c>
      <c r="AA33" s="68"/>
      <c r="AB33" s="68"/>
      <c r="AC33" s="68"/>
      <c r="AD33" s="68"/>
      <c r="AE33" s="68"/>
    </row>
    <row r="34" spans="1:31" s="68" customFormat="1" ht="16" customHeight="1" x14ac:dyDescent="0.45">
      <c r="A34" s="69">
        <v>2601</v>
      </c>
      <c r="B34" s="70">
        <v>46052</v>
      </c>
      <c r="C34" s="150" t="s">
        <v>39</v>
      </c>
      <c r="D34" s="71" t="s">
        <v>142</v>
      </c>
      <c r="E34" s="72" t="s">
        <v>38</v>
      </c>
      <c r="F34" s="73" t="s">
        <v>177</v>
      </c>
      <c r="G34" s="72" t="s">
        <v>38</v>
      </c>
      <c r="H34" s="74" t="s">
        <v>155</v>
      </c>
      <c r="I34" s="74" t="s">
        <v>49</v>
      </c>
      <c r="J34" s="74"/>
      <c r="K34" s="75"/>
      <c r="L34" s="76">
        <v>3</v>
      </c>
      <c r="M34" s="77"/>
      <c r="N34" s="78"/>
      <c r="O34" s="79">
        <v>1411</v>
      </c>
      <c r="P34" s="131"/>
      <c r="Q34" s="132"/>
      <c r="R34" s="133">
        <v>2350</v>
      </c>
      <c r="S34" s="133">
        <f>O34*R34</f>
        <v>3315850</v>
      </c>
      <c r="T34" s="80"/>
      <c r="U34" s="81"/>
      <c r="V34" s="82">
        <v>4700</v>
      </c>
      <c r="W34" s="83">
        <f>O34*V34</f>
        <v>6631700</v>
      </c>
      <c r="X34" s="133"/>
      <c r="Y34" s="134" t="s">
        <v>192</v>
      </c>
      <c r="Z34" s="142">
        <f t="shared" si="0"/>
        <v>3315850</v>
      </c>
    </row>
    <row r="35" spans="1:31" s="68" customFormat="1" ht="16" customHeight="1" x14ac:dyDescent="0.45">
      <c r="A35" s="69">
        <v>2601</v>
      </c>
      <c r="B35" s="70">
        <v>46052</v>
      </c>
      <c r="C35" s="150" t="s">
        <v>39</v>
      </c>
      <c r="D35" s="71" t="s">
        <v>142</v>
      </c>
      <c r="E35" s="72" t="s">
        <v>38</v>
      </c>
      <c r="F35" s="73" t="s">
        <v>177</v>
      </c>
      <c r="G35" s="72" t="s">
        <v>38</v>
      </c>
      <c r="H35" s="74" t="s">
        <v>155</v>
      </c>
      <c r="I35" s="74" t="s">
        <v>116</v>
      </c>
      <c r="J35" s="74"/>
      <c r="K35" s="75"/>
      <c r="L35" s="76">
        <v>3</v>
      </c>
      <c r="M35" s="77"/>
      <c r="N35" s="78"/>
      <c r="O35" s="79">
        <v>1428</v>
      </c>
      <c r="P35" s="131"/>
      <c r="Q35" s="132"/>
      <c r="R35" s="133">
        <v>2350</v>
      </c>
      <c r="S35" s="133">
        <f>O35*R35</f>
        <v>3355800</v>
      </c>
      <c r="T35" s="80"/>
      <c r="U35" s="81"/>
      <c r="V35" s="82">
        <v>4700</v>
      </c>
      <c r="W35" s="83">
        <f>O35*V35</f>
        <v>6711600</v>
      </c>
      <c r="X35" s="133"/>
      <c r="Y35" s="134" t="s">
        <v>192</v>
      </c>
      <c r="Z35" s="142">
        <f t="shared" si="0"/>
        <v>3355800</v>
      </c>
    </row>
    <row r="36" spans="1:31" s="68" customFormat="1" ht="16" customHeight="1" x14ac:dyDescent="0.45">
      <c r="A36" s="69">
        <v>2601</v>
      </c>
      <c r="B36" s="70">
        <v>46052</v>
      </c>
      <c r="C36" s="150" t="s">
        <v>211</v>
      </c>
      <c r="D36" s="71" t="s">
        <v>142</v>
      </c>
      <c r="E36" s="72" t="s">
        <v>212</v>
      </c>
      <c r="F36" s="73" t="s">
        <v>177</v>
      </c>
      <c r="G36" s="72" t="s">
        <v>38</v>
      </c>
      <c r="H36" s="74" t="s">
        <v>213</v>
      </c>
      <c r="I36" s="74" t="s">
        <v>47</v>
      </c>
      <c r="J36" s="74"/>
      <c r="K36" s="75"/>
      <c r="L36" s="76">
        <v>1</v>
      </c>
      <c r="M36" s="77"/>
      <c r="N36" s="78"/>
      <c r="O36" s="79">
        <v>353</v>
      </c>
      <c r="P36" s="131"/>
      <c r="Q36" s="132"/>
      <c r="R36" s="133">
        <v>2350</v>
      </c>
      <c r="S36" s="133">
        <f>O36*R36</f>
        <v>829550</v>
      </c>
      <c r="T36" s="80"/>
      <c r="U36" s="81"/>
      <c r="V36" s="82">
        <v>5950</v>
      </c>
      <c r="W36" s="83">
        <f>O36*V36</f>
        <v>2100350</v>
      </c>
      <c r="X36" s="133"/>
      <c r="Y36" s="134" t="s">
        <v>192</v>
      </c>
      <c r="Z36" s="142">
        <f t="shared" si="0"/>
        <v>1270800</v>
      </c>
    </row>
    <row r="37" spans="1:31" s="68" customFormat="1" ht="16" customHeight="1" x14ac:dyDescent="0.45">
      <c r="A37" s="69">
        <v>2601</v>
      </c>
      <c r="B37" s="70">
        <v>46024</v>
      </c>
      <c r="C37" s="150" t="s">
        <v>214</v>
      </c>
      <c r="D37" s="71" t="s">
        <v>154</v>
      </c>
      <c r="E37" s="72" t="s">
        <v>215</v>
      </c>
      <c r="F37" s="73" t="s">
        <v>188</v>
      </c>
      <c r="G37" s="72" t="s">
        <v>131</v>
      </c>
      <c r="H37" s="74" t="s">
        <v>140</v>
      </c>
      <c r="I37" s="74"/>
      <c r="J37" s="74"/>
      <c r="K37" s="75"/>
      <c r="L37" s="76">
        <v>10</v>
      </c>
      <c r="M37" s="77">
        <v>803.4</v>
      </c>
      <c r="N37" s="78"/>
      <c r="O37" s="79"/>
      <c r="P37" s="131"/>
      <c r="Q37" s="132"/>
      <c r="R37" s="133">
        <v>1000</v>
      </c>
      <c r="S37" s="133">
        <f t="shared" ref="S37:S46" si="3">M37*R37</f>
        <v>803400</v>
      </c>
      <c r="T37" s="80"/>
      <c r="U37" s="81"/>
      <c r="V37" s="82">
        <v>5480</v>
      </c>
      <c r="W37" s="83">
        <f>M37*V37</f>
        <v>4402632</v>
      </c>
      <c r="X37" s="133"/>
      <c r="Y37" s="134" t="s">
        <v>216</v>
      </c>
      <c r="Z37" s="143">
        <f t="shared" si="0"/>
        <v>3599232</v>
      </c>
    </row>
    <row r="38" spans="1:31" s="68" customFormat="1" ht="16" customHeight="1" x14ac:dyDescent="0.45">
      <c r="A38" s="69">
        <v>2601</v>
      </c>
      <c r="B38" s="70">
        <v>46045</v>
      </c>
      <c r="C38" s="150" t="s">
        <v>214</v>
      </c>
      <c r="D38" s="71" t="s">
        <v>154</v>
      </c>
      <c r="E38" s="72" t="s">
        <v>215</v>
      </c>
      <c r="F38" s="73" t="s">
        <v>188</v>
      </c>
      <c r="G38" s="72" t="s">
        <v>131</v>
      </c>
      <c r="H38" s="74" t="s">
        <v>140</v>
      </c>
      <c r="I38" s="74" t="s">
        <v>66</v>
      </c>
      <c r="J38" s="74"/>
      <c r="K38" s="75"/>
      <c r="L38" s="76">
        <v>9</v>
      </c>
      <c r="M38" s="77">
        <v>758.1</v>
      </c>
      <c r="N38" s="78"/>
      <c r="O38" s="79"/>
      <c r="P38" s="131"/>
      <c r="Q38" s="132"/>
      <c r="R38" s="133">
        <v>1000</v>
      </c>
      <c r="S38" s="133">
        <f t="shared" si="3"/>
        <v>758100</v>
      </c>
      <c r="T38" s="80"/>
      <c r="U38" s="81"/>
      <c r="V38" s="82">
        <v>5480</v>
      </c>
      <c r="W38" s="83">
        <f>M38*V38</f>
        <v>4154388</v>
      </c>
      <c r="X38" s="133"/>
      <c r="Y38" s="134" t="s">
        <v>216</v>
      </c>
      <c r="Z38" s="143">
        <f t="shared" si="0"/>
        <v>3396288</v>
      </c>
    </row>
    <row r="39" spans="1:31" s="68" customFormat="1" ht="16" customHeight="1" x14ac:dyDescent="0.45">
      <c r="A39" s="69">
        <v>2601</v>
      </c>
      <c r="B39" s="2">
        <v>46042</v>
      </c>
      <c r="C39" s="150" t="s">
        <v>171</v>
      </c>
      <c r="D39" s="3" t="s">
        <v>154</v>
      </c>
      <c r="E39" s="4" t="s">
        <v>55</v>
      </c>
      <c r="F39" s="5" t="s">
        <v>188</v>
      </c>
      <c r="G39" s="4" t="s">
        <v>56</v>
      </c>
      <c r="H39" s="66" t="s">
        <v>164</v>
      </c>
      <c r="I39" s="66"/>
      <c r="J39" s="66"/>
      <c r="K39" s="67"/>
      <c r="L39" s="11">
        <v>2</v>
      </c>
      <c r="M39" s="12">
        <v>840.2</v>
      </c>
      <c r="N39" s="13"/>
      <c r="O39" s="14"/>
      <c r="P39" s="15"/>
      <c r="Q39" s="16"/>
      <c r="R39" s="17">
        <v>1000</v>
      </c>
      <c r="S39" s="17">
        <f t="shared" si="3"/>
        <v>840200</v>
      </c>
      <c r="T39" s="18"/>
      <c r="U39" s="19"/>
      <c r="V39" s="20"/>
      <c r="W39" s="21"/>
      <c r="X39" s="17"/>
      <c r="Y39" s="22" t="s">
        <v>216</v>
      </c>
      <c r="Z39" s="142">
        <f t="shared" si="0"/>
        <v>-840200</v>
      </c>
      <c r="AA39"/>
      <c r="AB39"/>
      <c r="AC39"/>
      <c r="AD39"/>
      <c r="AE39"/>
    </row>
    <row r="40" spans="1:31" s="68" customFormat="1" ht="16" customHeight="1" x14ac:dyDescent="0.45">
      <c r="A40" s="69">
        <v>2601</v>
      </c>
      <c r="B40" s="2">
        <v>46042</v>
      </c>
      <c r="C40" s="150" t="s">
        <v>191</v>
      </c>
      <c r="D40" s="3" t="s">
        <v>154</v>
      </c>
      <c r="E40" s="4" t="s">
        <v>55</v>
      </c>
      <c r="F40" s="5" t="s">
        <v>188</v>
      </c>
      <c r="G40" s="4" t="s">
        <v>56</v>
      </c>
      <c r="H40" s="66" t="s">
        <v>140</v>
      </c>
      <c r="I40" s="66"/>
      <c r="J40" s="66"/>
      <c r="K40" s="67"/>
      <c r="L40" s="11">
        <v>1</v>
      </c>
      <c r="M40" s="12">
        <v>218.3</v>
      </c>
      <c r="N40" s="13"/>
      <c r="O40" s="14"/>
      <c r="P40" s="15"/>
      <c r="Q40" s="16"/>
      <c r="R40" s="17">
        <v>1000</v>
      </c>
      <c r="S40" s="17">
        <f t="shared" si="3"/>
        <v>218300</v>
      </c>
      <c r="T40" s="18"/>
      <c r="U40" s="19"/>
      <c r="V40" s="20"/>
      <c r="W40" s="21"/>
      <c r="X40" s="17"/>
      <c r="Y40" s="22" t="s">
        <v>216</v>
      </c>
      <c r="Z40" s="142">
        <f t="shared" si="0"/>
        <v>-218300</v>
      </c>
      <c r="AA40"/>
      <c r="AB40"/>
      <c r="AC40"/>
      <c r="AD40"/>
      <c r="AE40"/>
    </row>
    <row r="41" spans="1:31" s="68" customFormat="1" ht="16" customHeight="1" x14ac:dyDescent="0.45">
      <c r="A41" s="69">
        <v>2601</v>
      </c>
      <c r="B41" s="2">
        <v>46042</v>
      </c>
      <c r="C41" s="150" t="s">
        <v>191</v>
      </c>
      <c r="D41" s="3" t="s">
        <v>154</v>
      </c>
      <c r="E41" s="4" t="s">
        <v>55</v>
      </c>
      <c r="F41" s="5" t="s">
        <v>188</v>
      </c>
      <c r="G41" s="4" t="s">
        <v>56</v>
      </c>
      <c r="H41" s="66" t="s">
        <v>156</v>
      </c>
      <c r="I41" s="66"/>
      <c r="J41" s="66"/>
      <c r="K41" s="67"/>
      <c r="L41" s="11">
        <v>10</v>
      </c>
      <c r="M41" s="12">
        <v>286.39999999999998</v>
      </c>
      <c r="N41" s="13"/>
      <c r="O41" s="14"/>
      <c r="P41" s="15"/>
      <c r="Q41" s="16"/>
      <c r="R41" s="17">
        <v>1000</v>
      </c>
      <c r="S41" s="17">
        <f t="shared" si="3"/>
        <v>286400</v>
      </c>
      <c r="T41" s="18"/>
      <c r="U41" s="19"/>
      <c r="V41" s="20"/>
      <c r="W41" s="21"/>
      <c r="X41" s="17"/>
      <c r="Y41" s="22" t="s">
        <v>216</v>
      </c>
      <c r="Z41" s="142">
        <f t="shared" si="0"/>
        <v>-286400</v>
      </c>
      <c r="AA41"/>
      <c r="AB41"/>
      <c r="AC41"/>
      <c r="AD41"/>
      <c r="AE41"/>
    </row>
    <row r="42" spans="1:31" s="86" customFormat="1" ht="16" customHeight="1" x14ac:dyDescent="0.45">
      <c r="A42" s="69">
        <v>2601</v>
      </c>
      <c r="B42" s="2">
        <v>46044</v>
      </c>
      <c r="C42" s="150" t="s">
        <v>191</v>
      </c>
      <c r="D42" s="3" t="s">
        <v>217</v>
      </c>
      <c r="E42" s="4" t="s">
        <v>113</v>
      </c>
      <c r="F42" s="5" t="s">
        <v>188</v>
      </c>
      <c r="G42" s="4" t="s">
        <v>95</v>
      </c>
      <c r="H42" s="66" t="s">
        <v>218</v>
      </c>
      <c r="I42" s="66"/>
      <c r="J42" s="66"/>
      <c r="K42" s="67"/>
      <c r="L42" s="11">
        <v>1</v>
      </c>
      <c r="M42" s="12">
        <v>420.8</v>
      </c>
      <c r="N42" s="13"/>
      <c r="O42" s="14"/>
      <c r="P42" s="15"/>
      <c r="Q42" s="16"/>
      <c r="R42" s="17">
        <v>1000</v>
      </c>
      <c r="S42" s="17">
        <f t="shared" si="3"/>
        <v>420800</v>
      </c>
      <c r="T42" s="18"/>
      <c r="U42" s="19"/>
      <c r="V42" s="20"/>
      <c r="W42" s="21"/>
      <c r="X42" s="17"/>
      <c r="Y42" s="22" t="s">
        <v>216</v>
      </c>
      <c r="Z42" s="142">
        <f t="shared" si="0"/>
        <v>-420800</v>
      </c>
      <c r="AA42"/>
      <c r="AB42"/>
      <c r="AC42"/>
      <c r="AD42"/>
      <c r="AE42"/>
    </row>
    <row r="43" spans="1:31" s="68" customFormat="1" ht="16" customHeight="1" x14ac:dyDescent="0.45">
      <c r="A43" s="69">
        <v>2601</v>
      </c>
      <c r="B43" s="2">
        <v>46044</v>
      </c>
      <c r="C43" s="150" t="s">
        <v>191</v>
      </c>
      <c r="D43" s="3" t="s">
        <v>217</v>
      </c>
      <c r="E43" s="4" t="s">
        <v>113</v>
      </c>
      <c r="F43" s="5" t="s">
        <v>188</v>
      </c>
      <c r="G43" s="4" t="s">
        <v>95</v>
      </c>
      <c r="H43" s="66" t="s">
        <v>219</v>
      </c>
      <c r="I43" s="66"/>
      <c r="J43" s="66"/>
      <c r="K43" s="67"/>
      <c r="L43" s="11">
        <v>1</v>
      </c>
      <c r="M43" s="12">
        <v>215.4</v>
      </c>
      <c r="N43" s="13"/>
      <c r="O43" s="14"/>
      <c r="P43" s="15"/>
      <c r="Q43" s="16"/>
      <c r="R43" s="17">
        <v>1000</v>
      </c>
      <c r="S43" s="17">
        <f t="shared" si="3"/>
        <v>215400</v>
      </c>
      <c r="T43" s="18"/>
      <c r="U43" s="19"/>
      <c r="V43" s="20"/>
      <c r="W43" s="21"/>
      <c r="X43" s="17"/>
      <c r="Y43" s="22" t="s">
        <v>216</v>
      </c>
      <c r="Z43" s="142">
        <f t="shared" si="0"/>
        <v>-215400</v>
      </c>
      <c r="AA43"/>
      <c r="AB43"/>
      <c r="AC43"/>
      <c r="AD43"/>
      <c r="AE43"/>
    </row>
    <row r="44" spans="1:31" s="68" customFormat="1" ht="16" customHeight="1" x14ac:dyDescent="0.45">
      <c r="A44" s="69">
        <v>2601</v>
      </c>
      <c r="B44" s="2">
        <v>46044</v>
      </c>
      <c r="C44" s="150" t="s">
        <v>191</v>
      </c>
      <c r="D44" s="3" t="s">
        <v>217</v>
      </c>
      <c r="E44" s="4" t="s">
        <v>113</v>
      </c>
      <c r="F44" s="5" t="s">
        <v>188</v>
      </c>
      <c r="G44" s="4" t="s">
        <v>95</v>
      </c>
      <c r="H44" s="66" t="s">
        <v>220</v>
      </c>
      <c r="I44" s="66"/>
      <c r="J44" s="66"/>
      <c r="K44" s="67"/>
      <c r="L44" s="11">
        <v>1</v>
      </c>
      <c r="M44" s="12">
        <v>422.5</v>
      </c>
      <c r="N44" s="13"/>
      <c r="O44" s="14"/>
      <c r="P44" s="15"/>
      <c r="Q44" s="16"/>
      <c r="R44" s="17">
        <v>1000</v>
      </c>
      <c r="S44" s="17">
        <f t="shared" si="3"/>
        <v>422500</v>
      </c>
      <c r="T44" s="18"/>
      <c r="U44" s="19"/>
      <c r="V44" s="20"/>
      <c r="W44" s="21"/>
      <c r="X44" s="17"/>
      <c r="Y44" s="22" t="s">
        <v>216</v>
      </c>
      <c r="Z44" s="142">
        <f t="shared" si="0"/>
        <v>-422500</v>
      </c>
      <c r="AA44"/>
      <c r="AB44"/>
      <c r="AC44"/>
      <c r="AD44"/>
      <c r="AE44"/>
    </row>
    <row r="45" spans="1:31" s="68" customFormat="1" ht="16" customHeight="1" x14ac:dyDescent="0.45">
      <c r="A45" s="69">
        <v>2601</v>
      </c>
      <c r="B45" s="2">
        <v>46048</v>
      </c>
      <c r="C45" s="150" t="s">
        <v>191</v>
      </c>
      <c r="D45" s="3" t="s">
        <v>154</v>
      </c>
      <c r="E45" s="4" t="s">
        <v>55</v>
      </c>
      <c r="F45" s="5" t="s">
        <v>188</v>
      </c>
      <c r="G45" s="4" t="s">
        <v>56</v>
      </c>
      <c r="H45" s="66" t="s">
        <v>164</v>
      </c>
      <c r="I45" s="66"/>
      <c r="J45" s="66"/>
      <c r="K45" s="67"/>
      <c r="L45" s="11">
        <v>2</v>
      </c>
      <c r="M45" s="12">
        <v>846.1</v>
      </c>
      <c r="N45" s="13"/>
      <c r="O45" s="14"/>
      <c r="P45" s="15"/>
      <c r="Q45" s="16"/>
      <c r="R45" s="17">
        <v>1000</v>
      </c>
      <c r="S45" s="17">
        <f t="shared" si="3"/>
        <v>846100</v>
      </c>
      <c r="T45" s="18"/>
      <c r="U45" s="19"/>
      <c r="V45" s="20"/>
      <c r="W45" s="21"/>
      <c r="X45" s="17"/>
      <c r="Y45" s="22" t="s">
        <v>216</v>
      </c>
      <c r="Z45" s="143">
        <f t="shared" si="0"/>
        <v>-846100</v>
      </c>
      <c r="AA45"/>
      <c r="AB45"/>
      <c r="AC45"/>
      <c r="AD45"/>
      <c r="AE45"/>
    </row>
    <row r="46" spans="1:31" s="68" customFormat="1" ht="16" customHeight="1" x14ac:dyDescent="0.45">
      <c r="A46" s="69">
        <v>2601</v>
      </c>
      <c r="B46" s="2">
        <v>46048</v>
      </c>
      <c r="C46" s="150" t="s">
        <v>191</v>
      </c>
      <c r="D46" s="3" t="s">
        <v>154</v>
      </c>
      <c r="E46" s="4" t="s">
        <v>55</v>
      </c>
      <c r="F46" s="5" t="s">
        <v>188</v>
      </c>
      <c r="G46" s="4" t="s">
        <v>56</v>
      </c>
      <c r="H46" s="66" t="s">
        <v>156</v>
      </c>
      <c r="I46" s="66"/>
      <c r="J46" s="66"/>
      <c r="K46" s="67"/>
      <c r="L46" s="11">
        <v>1</v>
      </c>
      <c r="M46" s="12">
        <v>423.8</v>
      </c>
      <c r="N46" s="13"/>
      <c r="O46" s="14"/>
      <c r="P46" s="15"/>
      <c r="Q46" s="16"/>
      <c r="R46" s="17">
        <v>1000</v>
      </c>
      <c r="S46" s="17">
        <f t="shared" si="3"/>
        <v>423800</v>
      </c>
      <c r="T46" s="18"/>
      <c r="U46" s="19"/>
      <c r="V46" s="20"/>
      <c r="W46" s="21"/>
      <c r="X46" s="17"/>
      <c r="Y46" s="22" t="s">
        <v>216</v>
      </c>
      <c r="Z46" s="143">
        <f t="shared" si="0"/>
        <v>-423800</v>
      </c>
      <c r="AA46"/>
      <c r="AB46"/>
      <c r="AC46"/>
      <c r="AD46"/>
      <c r="AE46"/>
    </row>
    <row r="47" spans="1:31" ht="16" customHeight="1" x14ac:dyDescent="0.45">
      <c r="A47" s="69">
        <v>2601</v>
      </c>
      <c r="B47" s="2">
        <v>46038</v>
      </c>
      <c r="C47" s="150" t="s">
        <v>191</v>
      </c>
      <c r="D47" s="3" t="s">
        <v>158</v>
      </c>
      <c r="E47" s="4" t="s">
        <v>154</v>
      </c>
      <c r="F47" s="5" t="s">
        <v>188</v>
      </c>
      <c r="G47" s="4" t="s">
        <v>56</v>
      </c>
      <c r="H47" s="66" t="s">
        <v>221</v>
      </c>
      <c r="I47" s="66" t="s">
        <v>112</v>
      </c>
      <c r="J47" s="66"/>
      <c r="K47" s="67"/>
      <c r="L47" s="11">
        <v>59</v>
      </c>
      <c r="M47" s="12">
        <v>1704.8</v>
      </c>
      <c r="N47" s="13"/>
      <c r="O47" s="14"/>
      <c r="P47" s="15">
        <v>4000</v>
      </c>
      <c r="Q47" s="16">
        <f>M47*P47</f>
        <v>6819200</v>
      </c>
      <c r="R47" s="17"/>
      <c r="S47" s="17"/>
      <c r="T47" s="18"/>
      <c r="U47" s="19"/>
      <c r="V47" s="20"/>
      <c r="W47" s="21"/>
      <c r="X47" s="17"/>
      <c r="Y47" s="22" t="s">
        <v>181</v>
      </c>
      <c r="Z47" s="143">
        <f t="shared" si="0"/>
        <v>-6819200</v>
      </c>
    </row>
    <row r="48" spans="1:31" ht="16" customHeight="1" x14ac:dyDescent="0.45">
      <c r="A48" s="69">
        <v>2601</v>
      </c>
      <c r="B48" s="2">
        <v>46029</v>
      </c>
      <c r="C48" s="150" t="s">
        <v>191</v>
      </c>
      <c r="D48" s="3" t="s">
        <v>158</v>
      </c>
      <c r="E48" s="4" t="s">
        <v>154</v>
      </c>
      <c r="F48" s="5" t="s">
        <v>188</v>
      </c>
      <c r="G48" s="4" t="s">
        <v>56</v>
      </c>
      <c r="H48" s="66" t="s">
        <v>140</v>
      </c>
      <c r="I48" s="66" t="s">
        <v>112</v>
      </c>
      <c r="J48" s="66"/>
      <c r="K48" s="67"/>
      <c r="L48" s="11">
        <v>24</v>
      </c>
      <c r="M48" s="12">
        <v>717.6</v>
      </c>
      <c r="N48" s="13"/>
      <c r="O48" s="14"/>
      <c r="P48" s="15">
        <v>4000</v>
      </c>
      <c r="Q48" s="16">
        <f>M48*P48</f>
        <v>2870400</v>
      </c>
      <c r="R48" s="17"/>
      <c r="S48" s="17"/>
      <c r="T48" s="18"/>
      <c r="U48" s="19"/>
      <c r="V48" s="20"/>
      <c r="W48" s="21"/>
      <c r="X48" s="17"/>
      <c r="Y48" s="22" t="s">
        <v>181</v>
      </c>
      <c r="Z48" s="143">
        <f t="shared" si="0"/>
        <v>-2870400</v>
      </c>
    </row>
    <row r="49" spans="1:31" s="68" customFormat="1" ht="16" customHeight="1" x14ac:dyDescent="0.45">
      <c r="A49" s="69">
        <v>2601</v>
      </c>
      <c r="B49" s="2">
        <v>46027</v>
      </c>
      <c r="C49" s="150" t="s">
        <v>191</v>
      </c>
      <c r="D49" s="3" t="s">
        <v>158</v>
      </c>
      <c r="E49" s="4" t="s">
        <v>154</v>
      </c>
      <c r="F49" s="5" t="s">
        <v>188</v>
      </c>
      <c r="G49" s="4" t="s">
        <v>56</v>
      </c>
      <c r="H49" s="66" t="s">
        <v>140</v>
      </c>
      <c r="I49" s="66" t="s">
        <v>112</v>
      </c>
      <c r="J49" s="66"/>
      <c r="K49" s="67"/>
      <c r="L49" s="11">
        <v>24</v>
      </c>
      <c r="M49" s="12">
        <v>743.7</v>
      </c>
      <c r="N49" s="13"/>
      <c r="O49" s="14"/>
      <c r="P49" s="15">
        <v>4000</v>
      </c>
      <c r="Q49" s="16">
        <f>M49*P49</f>
        <v>2974800</v>
      </c>
      <c r="R49" s="17"/>
      <c r="S49" s="17"/>
      <c r="T49" s="18"/>
      <c r="U49" s="19"/>
      <c r="V49" s="20"/>
      <c r="W49" s="21"/>
      <c r="X49" s="17"/>
      <c r="Y49" s="22" t="s">
        <v>181</v>
      </c>
      <c r="Z49" s="143">
        <f t="shared" si="0"/>
        <v>-2974800</v>
      </c>
      <c r="AA49"/>
      <c r="AB49"/>
      <c r="AC49"/>
      <c r="AD49"/>
      <c r="AE49"/>
    </row>
    <row r="50" spans="1:31" ht="16" customHeight="1" x14ac:dyDescent="0.45">
      <c r="A50" s="69">
        <v>2601</v>
      </c>
      <c r="B50" s="2">
        <v>46031</v>
      </c>
      <c r="C50" s="150" t="s">
        <v>191</v>
      </c>
      <c r="D50" s="3" t="s">
        <v>97</v>
      </c>
      <c r="E50" s="4" t="s">
        <v>160</v>
      </c>
      <c r="F50" s="5" t="s">
        <v>188</v>
      </c>
      <c r="G50" s="4" t="s">
        <v>56</v>
      </c>
      <c r="H50" s="66" t="s">
        <v>157</v>
      </c>
      <c r="I50" s="66"/>
      <c r="J50" s="66"/>
      <c r="K50" s="67"/>
      <c r="L50" s="11">
        <v>2</v>
      </c>
      <c r="M50" s="12">
        <v>875</v>
      </c>
      <c r="N50" s="13"/>
      <c r="O50" s="14"/>
      <c r="P50" s="15"/>
      <c r="Q50" s="16"/>
      <c r="R50" s="17">
        <v>1050</v>
      </c>
      <c r="S50" s="17">
        <f t="shared" ref="S50:S55" si="4">M50*R50</f>
        <v>918750</v>
      </c>
      <c r="T50" s="18"/>
      <c r="U50" s="19"/>
      <c r="V50" s="20"/>
      <c r="W50" s="21"/>
      <c r="X50" s="17"/>
      <c r="Y50" s="22" t="s">
        <v>216</v>
      </c>
      <c r="Z50" s="143">
        <f t="shared" si="0"/>
        <v>-918750</v>
      </c>
    </row>
    <row r="51" spans="1:31" ht="16" customHeight="1" x14ac:dyDescent="0.45">
      <c r="A51" s="69">
        <v>2601</v>
      </c>
      <c r="B51" s="2">
        <v>46031</v>
      </c>
      <c r="C51" s="150" t="s">
        <v>191</v>
      </c>
      <c r="D51" s="3" t="s">
        <v>97</v>
      </c>
      <c r="E51" s="4" t="s">
        <v>160</v>
      </c>
      <c r="F51" s="5" t="s">
        <v>188</v>
      </c>
      <c r="G51" s="4" t="s">
        <v>56</v>
      </c>
      <c r="H51" s="66" t="s">
        <v>222</v>
      </c>
      <c r="I51" s="66"/>
      <c r="J51" s="66"/>
      <c r="K51" s="67"/>
      <c r="L51" s="11">
        <v>2</v>
      </c>
      <c r="M51" s="12">
        <v>703.5</v>
      </c>
      <c r="N51" s="13"/>
      <c r="O51" s="14"/>
      <c r="P51" s="15"/>
      <c r="Q51" s="16"/>
      <c r="R51" s="17">
        <v>1050</v>
      </c>
      <c r="S51" s="17">
        <f t="shared" si="4"/>
        <v>738675</v>
      </c>
      <c r="T51" s="18"/>
      <c r="U51" s="19"/>
      <c r="V51" s="20"/>
      <c r="W51" s="21"/>
      <c r="X51" s="17"/>
      <c r="Y51" s="22" t="s">
        <v>216</v>
      </c>
      <c r="Z51" s="143">
        <f t="shared" si="0"/>
        <v>-738675</v>
      </c>
    </row>
    <row r="52" spans="1:31" ht="16" customHeight="1" x14ac:dyDescent="0.45">
      <c r="A52" s="69">
        <v>2601</v>
      </c>
      <c r="B52" s="2">
        <v>46042</v>
      </c>
      <c r="C52" s="150" t="s">
        <v>191</v>
      </c>
      <c r="D52" s="3" t="s">
        <v>97</v>
      </c>
      <c r="E52" s="4" t="s">
        <v>160</v>
      </c>
      <c r="F52" s="5" t="s">
        <v>188</v>
      </c>
      <c r="G52" s="4" t="s">
        <v>56</v>
      </c>
      <c r="H52" s="66" t="s">
        <v>164</v>
      </c>
      <c r="I52" s="66"/>
      <c r="J52" s="66"/>
      <c r="K52" s="67"/>
      <c r="L52" s="11">
        <v>3</v>
      </c>
      <c r="M52" s="12">
        <v>1312.5</v>
      </c>
      <c r="N52" s="13"/>
      <c r="O52" s="14"/>
      <c r="P52" s="15"/>
      <c r="Q52" s="16"/>
      <c r="R52" s="17">
        <v>1050</v>
      </c>
      <c r="S52" s="17">
        <f t="shared" si="4"/>
        <v>1378125</v>
      </c>
      <c r="T52" s="18"/>
      <c r="U52" s="19"/>
      <c r="V52" s="20"/>
      <c r="W52" s="21"/>
      <c r="X52" s="17"/>
      <c r="Y52" s="22" t="s">
        <v>216</v>
      </c>
      <c r="Z52" s="143">
        <f t="shared" si="0"/>
        <v>-1378125</v>
      </c>
    </row>
    <row r="53" spans="1:31" ht="16" customHeight="1" x14ac:dyDescent="0.45">
      <c r="A53" s="69">
        <v>2601</v>
      </c>
      <c r="B53" s="2">
        <v>46042</v>
      </c>
      <c r="C53" s="150" t="s">
        <v>191</v>
      </c>
      <c r="D53" s="3" t="s">
        <v>97</v>
      </c>
      <c r="E53" s="4" t="s">
        <v>160</v>
      </c>
      <c r="F53" s="5" t="s">
        <v>188</v>
      </c>
      <c r="G53" s="4" t="s">
        <v>56</v>
      </c>
      <c r="H53" s="66" t="s">
        <v>156</v>
      </c>
      <c r="I53" s="66"/>
      <c r="J53" s="66"/>
      <c r="K53" s="67"/>
      <c r="L53" s="11">
        <v>2</v>
      </c>
      <c r="M53" s="12">
        <v>875</v>
      </c>
      <c r="N53" s="13"/>
      <c r="O53" s="14"/>
      <c r="P53" s="15"/>
      <c r="Q53" s="16"/>
      <c r="R53" s="17">
        <v>1050</v>
      </c>
      <c r="S53" s="17">
        <f t="shared" si="4"/>
        <v>918750</v>
      </c>
      <c r="T53" s="18"/>
      <c r="U53" s="19"/>
      <c r="V53" s="20"/>
      <c r="W53" s="21"/>
      <c r="X53" s="17"/>
      <c r="Y53" s="22" t="s">
        <v>216</v>
      </c>
      <c r="Z53" s="143">
        <f t="shared" si="0"/>
        <v>-918750</v>
      </c>
    </row>
    <row r="54" spans="1:31" ht="16" customHeight="1" x14ac:dyDescent="0.45">
      <c r="A54" s="69">
        <v>2601</v>
      </c>
      <c r="B54" s="70">
        <v>46029</v>
      </c>
      <c r="C54" s="150" t="s">
        <v>214</v>
      </c>
      <c r="D54" s="71" t="s">
        <v>97</v>
      </c>
      <c r="E54" s="72" t="s">
        <v>223</v>
      </c>
      <c r="F54" s="73" t="s">
        <v>188</v>
      </c>
      <c r="G54" s="72" t="s">
        <v>131</v>
      </c>
      <c r="H54" s="74" t="s">
        <v>174</v>
      </c>
      <c r="I54" s="74"/>
      <c r="J54" s="74"/>
      <c r="K54" s="75"/>
      <c r="L54" s="76"/>
      <c r="M54" s="77">
        <v>437.5</v>
      </c>
      <c r="N54" s="78"/>
      <c r="O54" s="79"/>
      <c r="P54" s="131"/>
      <c r="Q54" s="132"/>
      <c r="R54" s="133">
        <v>1250</v>
      </c>
      <c r="S54" s="133">
        <f t="shared" si="4"/>
        <v>546875</v>
      </c>
      <c r="T54" s="80"/>
      <c r="U54" s="81"/>
      <c r="V54" s="82">
        <v>4350</v>
      </c>
      <c r="W54" s="83">
        <f>V54*M54</f>
        <v>1903125</v>
      </c>
      <c r="X54" s="133"/>
      <c r="Y54" s="134" t="s">
        <v>216</v>
      </c>
      <c r="Z54" s="143">
        <f t="shared" si="0"/>
        <v>1356250</v>
      </c>
      <c r="AA54" s="68"/>
      <c r="AB54" s="68"/>
      <c r="AC54" s="68"/>
      <c r="AD54" s="68"/>
      <c r="AE54" s="68"/>
    </row>
    <row r="55" spans="1:31" ht="16" customHeight="1" x14ac:dyDescent="0.45">
      <c r="A55" s="69">
        <v>2601</v>
      </c>
      <c r="B55" s="70">
        <v>46042</v>
      </c>
      <c r="C55" s="150" t="s">
        <v>214</v>
      </c>
      <c r="D55" s="71" t="s">
        <v>97</v>
      </c>
      <c r="E55" s="72" t="s">
        <v>173</v>
      </c>
      <c r="F55" s="73" t="s">
        <v>188</v>
      </c>
      <c r="G55" s="72" t="s">
        <v>131</v>
      </c>
      <c r="H55" s="74" t="s">
        <v>174</v>
      </c>
      <c r="I55" s="74"/>
      <c r="J55" s="74"/>
      <c r="K55" s="75"/>
      <c r="L55" s="76"/>
      <c r="M55" s="77">
        <v>395</v>
      </c>
      <c r="N55" s="78"/>
      <c r="O55" s="79"/>
      <c r="P55" s="131"/>
      <c r="Q55" s="132"/>
      <c r="R55" s="133">
        <v>1250</v>
      </c>
      <c r="S55" s="133">
        <f t="shared" si="4"/>
        <v>493750</v>
      </c>
      <c r="T55" s="80"/>
      <c r="U55" s="81"/>
      <c r="V55" s="82">
        <v>4350</v>
      </c>
      <c r="W55" s="83">
        <f>M55*V55</f>
        <v>1718250</v>
      </c>
      <c r="X55" s="133"/>
      <c r="Y55" s="134" t="s">
        <v>216</v>
      </c>
      <c r="Z55" s="143">
        <f t="shared" si="0"/>
        <v>1224500</v>
      </c>
      <c r="AA55" s="68"/>
      <c r="AB55" s="68"/>
      <c r="AC55" s="68"/>
      <c r="AD55" s="68"/>
      <c r="AE55" s="68"/>
    </row>
    <row r="56" spans="1:31" ht="16" customHeight="1" x14ac:dyDescent="0.45">
      <c r="A56" s="69">
        <v>2601</v>
      </c>
      <c r="B56" s="2">
        <v>46052</v>
      </c>
      <c r="C56" s="150" t="s">
        <v>60</v>
      </c>
      <c r="D56" s="3" t="s">
        <v>54</v>
      </c>
      <c r="E56" s="4" t="s">
        <v>160</v>
      </c>
      <c r="F56" s="5" t="s">
        <v>188</v>
      </c>
      <c r="G56" s="4" t="s">
        <v>56</v>
      </c>
      <c r="H56" s="66" t="s">
        <v>57</v>
      </c>
      <c r="I56" s="66"/>
      <c r="J56" s="66"/>
      <c r="K56" s="67"/>
      <c r="L56" s="11"/>
      <c r="M56" s="12">
        <v>2188</v>
      </c>
      <c r="N56" s="13"/>
      <c r="O56" s="14"/>
      <c r="P56" s="15">
        <v>4800</v>
      </c>
      <c r="Q56" s="16">
        <f>M56*P56</f>
        <v>10502400</v>
      </c>
      <c r="R56" s="17"/>
      <c r="S56" s="17"/>
      <c r="T56" s="18"/>
      <c r="U56" s="19"/>
      <c r="V56" s="20"/>
      <c r="W56" s="21"/>
      <c r="X56" s="17"/>
      <c r="Y56" s="22" t="s">
        <v>181</v>
      </c>
      <c r="Z56" s="143">
        <f t="shared" si="0"/>
        <v>-10502400</v>
      </c>
    </row>
    <row r="57" spans="1:31" ht="16" customHeight="1" x14ac:dyDescent="0.45">
      <c r="A57" s="69">
        <v>2601</v>
      </c>
      <c r="B57" s="70">
        <v>46053</v>
      </c>
      <c r="C57" s="150" t="s">
        <v>224</v>
      </c>
      <c r="D57" s="71" t="s">
        <v>58</v>
      </c>
      <c r="E57" s="72" t="s">
        <v>59</v>
      </c>
      <c r="F57" s="73" t="s">
        <v>199</v>
      </c>
      <c r="G57" s="72" t="s">
        <v>59</v>
      </c>
      <c r="H57" s="74" t="s">
        <v>133</v>
      </c>
      <c r="I57" s="74"/>
      <c r="J57" s="74"/>
      <c r="K57" s="75"/>
      <c r="L57" s="76"/>
      <c r="M57" s="77"/>
      <c r="N57" s="78"/>
      <c r="O57" s="79"/>
      <c r="P57" s="131"/>
      <c r="Q57" s="132"/>
      <c r="R57" s="133"/>
      <c r="S57" s="133"/>
      <c r="T57" s="80"/>
      <c r="U57" s="81"/>
      <c r="V57" s="82"/>
      <c r="W57" s="83">
        <v>-1901150</v>
      </c>
      <c r="X57" s="133"/>
      <c r="Y57" s="134" t="s">
        <v>225</v>
      </c>
      <c r="Z57" s="143">
        <f t="shared" si="0"/>
        <v>-1901150</v>
      </c>
      <c r="AA57" s="68"/>
      <c r="AB57" s="68"/>
      <c r="AC57" s="68"/>
      <c r="AD57" s="68"/>
      <c r="AE57" s="68"/>
    </row>
    <row r="58" spans="1:31" ht="16" customHeight="1" x14ac:dyDescent="0.45">
      <c r="A58" s="69">
        <v>2601</v>
      </c>
      <c r="B58" s="70">
        <v>46049</v>
      </c>
      <c r="C58" s="150" t="s">
        <v>208</v>
      </c>
      <c r="D58" s="71" t="s">
        <v>58</v>
      </c>
      <c r="E58" s="72" t="s">
        <v>59</v>
      </c>
      <c r="F58" s="73" t="s">
        <v>199</v>
      </c>
      <c r="G58" s="72" t="s">
        <v>59</v>
      </c>
      <c r="H58" s="74" t="s">
        <v>111</v>
      </c>
      <c r="I58" s="74"/>
      <c r="J58" s="74"/>
      <c r="K58" s="75"/>
      <c r="L58" s="76">
        <v>8</v>
      </c>
      <c r="M58" s="77"/>
      <c r="N58" s="78"/>
      <c r="O58" s="79">
        <v>5600</v>
      </c>
      <c r="P58" s="131"/>
      <c r="Q58" s="132"/>
      <c r="R58" s="133">
        <v>1470</v>
      </c>
      <c r="S58" s="133">
        <f>O58*R58</f>
        <v>8232000</v>
      </c>
      <c r="T58" s="80"/>
      <c r="U58" s="81"/>
      <c r="V58" s="82">
        <v>2450</v>
      </c>
      <c r="W58" s="83">
        <f>O58*V58</f>
        <v>13720000</v>
      </c>
      <c r="X58" s="133"/>
      <c r="Y58" s="134" t="s">
        <v>225</v>
      </c>
      <c r="Z58" s="143">
        <f t="shared" si="0"/>
        <v>5488000</v>
      </c>
      <c r="AA58" s="68"/>
      <c r="AB58" s="68"/>
      <c r="AC58" s="68"/>
      <c r="AD58" s="68"/>
      <c r="AE58" s="68"/>
    </row>
    <row r="59" spans="1:31" ht="16" customHeight="1" x14ac:dyDescent="0.45">
      <c r="A59" s="69">
        <v>2601</v>
      </c>
      <c r="B59" s="70">
        <v>46049</v>
      </c>
      <c r="C59" s="150" t="s">
        <v>226</v>
      </c>
      <c r="D59" s="71" t="s">
        <v>58</v>
      </c>
      <c r="E59" s="72" t="s">
        <v>59</v>
      </c>
      <c r="F59" s="73" t="s">
        <v>199</v>
      </c>
      <c r="G59" s="72" t="s">
        <v>59</v>
      </c>
      <c r="H59" s="74" t="s">
        <v>103</v>
      </c>
      <c r="I59" s="74"/>
      <c r="J59" s="74"/>
      <c r="K59" s="75"/>
      <c r="L59" s="76">
        <v>4</v>
      </c>
      <c r="M59" s="77"/>
      <c r="N59" s="78"/>
      <c r="O59" s="79">
        <v>4000</v>
      </c>
      <c r="P59" s="131"/>
      <c r="Q59" s="132"/>
      <c r="R59" s="133">
        <v>1230</v>
      </c>
      <c r="S59" s="133">
        <f>O59*R59</f>
        <v>4920000</v>
      </c>
      <c r="T59" s="80"/>
      <c r="U59" s="81"/>
      <c r="V59" s="82">
        <v>1380</v>
      </c>
      <c r="W59" s="83">
        <f>O59*V59</f>
        <v>5520000</v>
      </c>
      <c r="X59" s="133"/>
      <c r="Y59" s="134" t="s">
        <v>225</v>
      </c>
      <c r="Z59" s="143">
        <f t="shared" si="0"/>
        <v>600000</v>
      </c>
      <c r="AA59" s="68"/>
      <c r="AB59" s="68"/>
      <c r="AC59" s="68"/>
      <c r="AD59" s="68"/>
      <c r="AE59" s="68"/>
    </row>
    <row r="60" spans="1:31" ht="16" customHeight="1" x14ac:dyDescent="0.45">
      <c r="A60" s="69">
        <v>2601</v>
      </c>
      <c r="B60" s="2">
        <v>46027</v>
      </c>
      <c r="C60" s="150" t="s">
        <v>171</v>
      </c>
      <c r="D60" s="3" t="s">
        <v>55</v>
      </c>
      <c r="E60" s="4" t="s">
        <v>64</v>
      </c>
      <c r="F60" s="5" t="s">
        <v>188</v>
      </c>
      <c r="G60" s="4" t="s">
        <v>56</v>
      </c>
      <c r="H60" s="66" t="s">
        <v>61</v>
      </c>
      <c r="I60" s="66"/>
      <c r="J60" s="66"/>
      <c r="K60" s="67"/>
      <c r="L60" s="11">
        <v>88</v>
      </c>
      <c r="M60" s="12">
        <v>1540</v>
      </c>
      <c r="N60" s="13"/>
      <c r="O60" s="14"/>
      <c r="P60" s="15"/>
      <c r="Q60" s="16"/>
      <c r="R60" s="17">
        <v>2000</v>
      </c>
      <c r="S60" s="17">
        <f>M60*R60</f>
        <v>3080000</v>
      </c>
      <c r="T60" s="18"/>
      <c r="U60" s="19"/>
      <c r="V60" s="20"/>
      <c r="W60" s="21"/>
      <c r="X60" s="17"/>
      <c r="Y60" s="22" t="s">
        <v>186</v>
      </c>
      <c r="Z60" s="143">
        <f t="shared" si="0"/>
        <v>-3080000</v>
      </c>
    </row>
    <row r="61" spans="1:31" ht="16" customHeight="1" x14ac:dyDescent="0.45">
      <c r="A61" s="69">
        <v>2601</v>
      </c>
      <c r="B61" s="2">
        <v>46036</v>
      </c>
      <c r="C61" s="150" t="s">
        <v>171</v>
      </c>
      <c r="D61" s="3" t="s">
        <v>55</v>
      </c>
      <c r="E61" s="4" t="s">
        <v>64</v>
      </c>
      <c r="F61" s="5" t="s">
        <v>188</v>
      </c>
      <c r="G61" s="4" t="s">
        <v>56</v>
      </c>
      <c r="H61" s="66" t="s">
        <v>61</v>
      </c>
      <c r="I61" s="66"/>
      <c r="J61" s="66"/>
      <c r="K61" s="67"/>
      <c r="L61" s="11">
        <v>28</v>
      </c>
      <c r="M61" s="12">
        <v>480</v>
      </c>
      <c r="N61" s="13"/>
      <c r="O61" s="14"/>
      <c r="P61" s="15"/>
      <c r="Q61" s="16"/>
      <c r="R61" s="17">
        <v>2000</v>
      </c>
      <c r="S61" s="17">
        <f>M61*R61</f>
        <v>960000</v>
      </c>
      <c r="T61" s="18"/>
      <c r="U61" s="19"/>
      <c r="V61" s="20"/>
      <c r="W61" s="21"/>
      <c r="X61" s="17"/>
      <c r="Y61" s="22" t="s">
        <v>186</v>
      </c>
      <c r="Z61" s="142">
        <f t="shared" si="0"/>
        <v>-960000</v>
      </c>
    </row>
    <row r="62" spans="1:31" ht="16" customHeight="1" x14ac:dyDescent="0.45">
      <c r="A62" s="69">
        <v>2601</v>
      </c>
      <c r="B62" s="2">
        <v>46036</v>
      </c>
      <c r="C62" s="150" t="s">
        <v>191</v>
      </c>
      <c r="D62" s="3" t="s">
        <v>55</v>
      </c>
      <c r="E62" s="4" t="s">
        <v>64</v>
      </c>
      <c r="F62" s="5" t="s">
        <v>188</v>
      </c>
      <c r="G62" s="4" t="s">
        <v>56</v>
      </c>
      <c r="H62" s="66" t="s">
        <v>61</v>
      </c>
      <c r="I62" s="66"/>
      <c r="J62" s="66"/>
      <c r="K62" s="67"/>
      <c r="L62" s="11">
        <v>56</v>
      </c>
      <c r="M62" s="12">
        <v>980</v>
      </c>
      <c r="N62" s="13"/>
      <c r="O62" s="14"/>
      <c r="P62" s="15"/>
      <c r="Q62" s="16"/>
      <c r="R62" s="17">
        <v>2000</v>
      </c>
      <c r="S62" s="17">
        <f>M62*R62</f>
        <v>1960000</v>
      </c>
      <c r="T62" s="18"/>
      <c r="U62" s="19"/>
      <c r="V62" s="20"/>
      <c r="W62" s="21"/>
      <c r="X62" s="17"/>
      <c r="Y62" s="22" t="s">
        <v>186</v>
      </c>
      <c r="Z62" s="142">
        <f t="shared" si="0"/>
        <v>-1960000</v>
      </c>
    </row>
    <row r="63" spans="1:31" ht="16" customHeight="1" x14ac:dyDescent="0.45">
      <c r="A63" s="69">
        <v>2601</v>
      </c>
      <c r="B63" s="2">
        <v>46053</v>
      </c>
      <c r="C63" s="150" t="s">
        <v>191</v>
      </c>
      <c r="D63" s="3" t="s">
        <v>55</v>
      </c>
      <c r="E63" s="145" t="s">
        <v>55</v>
      </c>
      <c r="F63" s="5" t="s">
        <v>188</v>
      </c>
      <c r="G63" s="4" t="s">
        <v>56</v>
      </c>
      <c r="H63" s="66" t="s">
        <v>139</v>
      </c>
      <c r="I63" s="66"/>
      <c r="J63" s="66"/>
      <c r="K63" s="67"/>
      <c r="L63" s="11"/>
      <c r="M63" s="12">
        <v>630</v>
      </c>
      <c r="N63" s="13"/>
      <c r="O63" s="14"/>
      <c r="P63" s="15">
        <v>2390</v>
      </c>
      <c r="Q63" s="16">
        <f>M63*P63</f>
        <v>1505700</v>
      </c>
      <c r="R63" s="17"/>
      <c r="S63" s="17"/>
      <c r="T63" s="18"/>
      <c r="U63" s="19"/>
      <c r="V63" s="20"/>
      <c r="W63" s="21"/>
      <c r="X63" s="17"/>
      <c r="Y63" s="22" t="s">
        <v>181</v>
      </c>
      <c r="Z63" s="143">
        <f t="shared" si="0"/>
        <v>-1505700</v>
      </c>
    </row>
    <row r="64" spans="1:31" ht="16" customHeight="1" x14ac:dyDescent="0.45">
      <c r="A64" s="69">
        <v>2601</v>
      </c>
      <c r="B64" s="2">
        <v>46027</v>
      </c>
      <c r="C64" s="150" t="s">
        <v>137</v>
      </c>
      <c r="D64" s="3" t="s">
        <v>62</v>
      </c>
      <c r="E64" s="4" t="s">
        <v>170</v>
      </c>
      <c r="F64" s="5" t="s">
        <v>177</v>
      </c>
      <c r="G64" s="4" t="s">
        <v>50</v>
      </c>
      <c r="H64" s="66" t="s">
        <v>99</v>
      </c>
      <c r="I64" s="66" t="s">
        <v>63</v>
      </c>
      <c r="J64" s="66"/>
      <c r="K64" s="67"/>
      <c r="L64" s="11">
        <v>9</v>
      </c>
      <c r="M64" s="12">
        <v>229.4</v>
      </c>
      <c r="N64" s="13">
        <v>4500</v>
      </c>
      <c r="O64" s="14"/>
      <c r="P64" s="15"/>
      <c r="Q64" s="16"/>
      <c r="R64" s="17">
        <v>970</v>
      </c>
      <c r="S64" s="17">
        <f>N64*R64</f>
        <v>4365000</v>
      </c>
      <c r="T64" s="18"/>
      <c r="U64" s="19"/>
      <c r="V64" s="20"/>
      <c r="W64" s="21"/>
      <c r="X64" s="17"/>
      <c r="Y64" s="22" t="s">
        <v>181</v>
      </c>
      <c r="Z64" s="143">
        <f t="shared" si="0"/>
        <v>-4365000</v>
      </c>
    </row>
    <row r="65" spans="1:31" ht="16" customHeight="1" x14ac:dyDescent="0.45">
      <c r="A65" s="69">
        <v>2601</v>
      </c>
      <c r="B65" s="2">
        <v>46027</v>
      </c>
      <c r="C65" s="150" t="s">
        <v>137</v>
      </c>
      <c r="D65" s="3" t="s">
        <v>62</v>
      </c>
      <c r="E65" s="4" t="s">
        <v>170</v>
      </c>
      <c r="F65" s="5" t="s">
        <v>177</v>
      </c>
      <c r="G65" s="4" t="s">
        <v>50</v>
      </c>
      <c r="H65" s="66" t="s">
        <v>99</v>
      </c>
      <c r="I65" s="66" t="s">
        <v>63</v>
      </c>
      <c r="J65" s="66"/>
      <c r="K65" s="67"/>
      <c r="L65" s="11"/>
      <c r="M65" s="12"/>
      <c r="N65" s="13">
        <v>-500</v>
      </c>
      <c r="O65" s="14"/>
      <c r="P65" s="15"/>
      <c r="Q65" s="16"/>
      <c r="R65" s="17">
        <v>970</v>
      </c>
      <c r="S65" s="17">
        <f>N65*R65</f>
        <v>-485000</v>
      </c>
      <c r="T65" s="18"/>
      <c r="U65" s="19"/>
      <c r="V65" s="20"/>
      <c r="W65" s="21"/>
      <c r="X65" s="17"/>
      <c r="Y65" s="22" t="s">
        <v>181</v>
      </c>
      <c r="Z65" s="143">
        <f t="shared" si="0"/>
        <v>485000</v>
      </c>
    </row>
    <row r="66" spans="1:31" ht="16" customHeight="1" x14ac:dyDescent="0.45">
      <c r="A66" s="69">
        <v>2601</v>
      </c>
      <c r="B66" s="2">
        <v>46050</v>
      </c>
      <c r="C66" s="150" t="s">
        <v>137</v>
      </c>
      <c r="D66" s="3" t="s">
        <v>62</v>
      </c>
      <c r="E66" s="4" t="s">
        <v>170</v>
      </c>
      <c r="F66" s="5" t="s">
        <v>177</v>
      </c>
      <c r="G66" s="4" t="s">
        <v>50</v>
      </c>
      <c r="H66" s="66" t="s">
        <v>99</v>
      </c>
      <c r="I66" s="66" t="s">
        <v>79</v>
      </c>
      <c r="J66" s="66"/>
      <c r="K66" s="67" t="s">
        <v>227</v>
      </c>
      <c r="L66" s="11">
        <v>14</v>
      </c>
      <c r="M66" s="12">
        <v>326.5</v>
      </c>
      <c r="N66" s="13">
        <v>6399</v>
      </c>
      <c r="O66" s="14"/>
      <c r="P66" s="15"/>
      <c r="Q66" s="16"/>
      <c r="R66" s="17">
        <v>970</v>
      </c>
      <c r="S66" s="17">
        <f>N66*R66</f>
        <v>6207030</v>
      </c>
      <c r="T66" s="18"/>
      <c r="U66" s="19"/>
      <c r="V66" s="20"/>
      <c r="W66" s="21"/>
      <c r="X66" s="17"/>
      <c r="Y66" s="22" t="s">
        <v>181</v>
      </c>
      <c r="Z66" s="143">
        <f t="shared" si="0"/>
        <v>-6207030</v>
      </c>
    </row>
    <row r="67" spans="1:31" ht="16" customHeight="1" x14ac:dyDescent="0.45">
      <c r="A67" s="69">
        <v>2601</v>
      </c>
      <c r="B67" s="70">
        <v>46044</v>
      </c>
      <c r="C67" s="150" t="s">
        <v>137</v>
      </c>
      <c r="D67" s="71" t="s">
        <v>62</v>
      </c>
      <c r="E67" s="72" t="s">
        <v>228</v>
      </c>
      <c r="F67" s="73" t="s">
        <v>177</v>
      </c>
      <c r="G67" s="72" t="s">
        <v>228</v>
      </c>
      <c r="H67" s="74" t="s">
        <v>99</v>
      </c>
      <c r="I67" s="74" t="s">
        <v>79</v>
      </c>
      <c r="J67" s="74"/>
      <c r="K67" s="75"/>
      <c r="L67" s="76"/>
      <c r="M67" s="77"/>
      <c r="N67" s="78">
        <v>40</v>
      </c>
      <c r="O67" s="79"/>
      <c r="P67" s="131"/>
      <c r="Q67" s="132"/>
      <c r="R67" s="133"/>
      <c r="S67" s="133"/>
      <c r="T67" s="80"/>
      <c r="U67" s="81"/>
      <c r="V67" s="82">
        <v>1150</v>
      </c>
      <c r="W67" s="83">
        <f>N67*V67</f>
        <v>46000</v>
      </c>
      <c r="X67" s="133"/>
      <c r="Y67" s="134" t="s">
        <v>196</v>
      </c>
      <c r="Z67" s="143">
        <f t="shared" si="0"/>
        <v>46000</v>
      </c>
      <c r="AA67" s="68"/>
      <c r="AB67" s="68"/>
      <c r="AC67" s="68"/>
      <c r="AD67" s="68"/>
      <c r="AE67" s="68"/>
    </row>
    <row r="68" spans="1:31" ht="16" customHeight="1" x14ac:dyDescent="0.45">
      <c r="A68" s="69">
        <v>2601</v>
      </c>
      <c r="B68" s="70">
        <v>46031</v>
      </c>
      <c r="C68" s="150" t="s">
        <v>191</v>
      </c>
      <c r="D68" s="71" t="s">
        <v>64</v>
      </c>
      <c r="E68" s="72" t="s">
        <v>131</v>
      </c>
      <c r="F68" s="73" t="s">
        <v>188</v>
      </c>
      <c r="G68" s="72" t="s">
        <v>131</v>
      </c>
      <c r="H68" s="74" t="s">
        <v>229</v>
      </c>
      <c r="I68" s="74" t="s">
        <v>131</v>
      </c>
      <c r="J68" s="74"/>
      <c r="K68" s="75"/>
      <c r="L68" s="76"/>
      <c r="M68" s="77">
        <v>443.7</v>
      </c>
      <c r="N68" s="78">
        <v>758</v>
      </c>
      <c r="O68" s="79"/>
      <c r="P68" s="131"/>
      <c r="Q68" s="132"/>
      <c r="R68" s="133"/>
      <c r="S68" s="133"/>
      <c r="T68" s="80"/>
      <c r="U68" s="81"/>
      <c r="V68" s="82">
        <v>3000</v>
      </c>
      <c r="W68" s="83">
        <f>N68*V68</f>
        <v>2274000</v>
      </c>
      <c r="X68" s="133"/>
      <c r="Y68" s="134" t="s">
        <v>230</v>
      </c>
      <c r="Z68" s="143">
        <f t="shared" ref="Z68:Z98" si="5">W68-S68-Q68</f>
        <v>2274000</v>
      </c>
      <c r="AA68" s="68"/>
      <c r="AB68" s="68"/>
      <c r="AC68" s="68"/>
      <c r="AD68" s="68"/>
      <c r="AE68" s="68"/>
    </row>
    <row r="69" spans="1:31" ht="16" customHeight="1" x14ac:dyDescent="0.45">
      <c r="A69" s="69">
        <v>2601</v>
      </c>
      <c r="B69" s="70">
        <v>46028</v>
      </c>
      <c r="C69" s="150" t="s">
        <v>191</v>
      </c>
      <c r="D69" s="71" t="s">
        <v>64</v>
      </c>
      <c r="E69" s="72" t="s">
        <v>56</v>
      </c>
      <c r="F69" s="73" t="s">
        <v>188</v>
      </c>
      <c r="G69" s="72" t="s">
        <v>56</v>
      </c>
      <c r="H69" s="74" t="s">
        <v>65</v>
      </c>
      <c r="I69" s="74" t="s">
        <v>66</v>
      </c>
      <c r="J69" s="74"/>
      <c r="K69" s="85" t="s">
        <v>69</v>
      </c>
      <c r="L69" s="76">
        <v>32</v>
      </c>
      <c r="M69" s="77">
        <v>468.2</v>
      </c>
      <c r="N69" s="78"/>
      <c r="O69" s="79">
        <v>738</v>
      </c>
      <c r="P69" s="131"/>
      <c r="Q69" s="132"/>
      <c r="R69" s="133">
        <v>2500</v>
      </c>
      <c r="S69" s="133">
        <f t="shared" ref="S69:S90" si="6">M69*R69</f>
        <v>1170500</v>
      </c>
      <c r="T69" s="80"/>
      <c r="U69" s="81"/>
      <c r="V69" s="82">
        <v>6566</v>
      </c>
      <c r="W69" s="83">
        <f t="shared" ref="W69:W74" si="7">O69*V69</f>
        <v>4845708</v>
      </c>
      <c r="X69" s="133"/>
      <c r="Y69" s="134" t="s">
        <v>230</v>
      </c>
      <c r="Z69" s="143">
        <f t="shared" si="5"/>
        <v>3675208</v>
      </c>
      <c r="AA69" s="68"/>
      <c r="AB69" s="68"/>
      <c r="AC69" s="68"/>
      <c r="AD69" s="68"/>
      <c r="AE69" s="68"/>
    </row>
    <row r="70" spans="1:31" s="68" customFormat="1" ht="16" customHeight="1" x14ac:dyDescent="0.45">
      <c r="A70" s="69">
        <v>2601</v>
      </c>
      <c r="B70" s="70">
        <v>46028</v>
      </c>
      <c r="C70" s="150" t="s">
        <v>191</v>
      </c>
      <c r="D70" s="71" t="s">
        <v>64</v>
      </c>
      <c r="E70" s="72" t="s">
        <v>56</v>
      </c>
      <c r="F70" s="73" t="s">
        <v>188</v>
      </c>
      <c r="G70" s="72" t="s">
        <v>56</v>
      </c>
      <c r="H70" s="74" t="s">
        <v>65</v>
      </c>
      <c r="I70" s="74" t="s">
        <v>66</v>
      </c>
      <c r="J70" s="74"/>
      <c r="K70" s="85" t="s">
        <v>70</v>
      </c>
      <c r="L70" s="76">
        <v>29</v>
      </c>
      <c r="M70" s="77">
        <v>443.8</v>
      </c>
      <c r="N70" s="78"/>
      <c r="O70" s="79">
        <v>703</v>
      </c>
      <c r="P70" s="131"/>
      <c r="Q70" s="132"/>
      <c r="R70" s="133">
        <v>2500</v>
      </c>
      <c r="S70" s="133">
        <f t="shared" si="6"/>
        <v>1109500</v>
      </c>
      <c r="T70" s="80"/>
      <c r="U70" s="81"/>
      <c r="V70" s="82">
        <v>6566</v>
      </c>
      <c r="W70" s="83">
        <f t="shared" si="7"/>
        <v>4615898</v>
      </c>
      <c r="X70" s="133"/>
      <c r="Y70" s="134" t="s">
        <v>230</v>
      </c>
      <c r="Z70" s="143">
        <f t="shared" si="5"/>
        <v>3506398</v>
      </c>
    </row>
    <row r="71" spans="1:31" ht="16" customHeight="1" x14ac:dyDescent="0.45">
      <c r="A71" s="69">
        <v>2601</v>
      </c>
      <c r="B71" s="70">
        <v>46028</v>
      </c>
      <c r="C71" s="150" t="s">
        <v>191</v>
      </c>
      <c r="D71" s="71" t="s">
        <v>64</v>
      </c>
      <c r="E71" s="72" t="s">
        <v>56</v>
      </c>
      <c r="F71" s="73" t="s">
        <v>188</v>
      </c>
      <c r="G71" s="72" t="s">
        <v>56</v>
      </c>
      <c r="H71" s="74" t="s">
        <v>65</v>
      </c>
      <c r="I71" s="74" t="s">
        <v>66</v>
      </c>
      <c r="J71" s="74"/>
      <c r="K71" s="85" t="s">
        <v>75</v>
      </c>
      <c r="L71" s="76">
        <v>32</v>
      </c>
      <c r="M71" s="77">
        <v>468.1</v>
      </c>
      <c r="N71" s="78"/>
      <c r="O71" s="79">
        <v>755</v>
      </c>
      <c r="P71" s="131"/>
      <c r="Q71" s="132"/>
      <c r="R71" s="133">
        <v>2500</v>
      </c>
      <c r="S71" s="133">
        <f t="shared" si="6"/>
        <v>1170250</v>
      </c>
      <c r="T71" s="80"/>
      <c r="U71" s="81"/>
      <c r="V71" s="82">
        <v>6566</v>
      </c>
      <c r="W71" s="83">
        <f t="shared" si="7"/>
        <v>4957330</v>
      </c>
      <c r="X71" s="133"/>
      <c r="Y71" s="134" t="s">
        <v>230</v>
      </c>
      <c r="Z71" s="143">
        <f t="shared" si="5"/>
        <v>3787080</v>
      </c>
      <c r="AA71" s="68"/>
      <c r="AB71" s="68"/>
      <c r="AC71" s="68"/>
      <c r="AD71" s="68"/>
      <c r="AE71" s="68"/>
    </row>
    <row r="72" spans="1:31" ht="16" customHeight="1" x14ac:dyDescent="0.45">
      <c r="A72" s="69">
        <v>2601</v>
      </c>
      <c r="B72" s="70">
        <v>46028</v>
      </c>
      <c r="C72" s="150" t="s">
        <v>191</v>
      </c>
      <c r="D72" s="71" t="s">
        <v>64</v>
      </c>
      <c r="E72" s="72" t="s">
        <v>56</v>
      </c>
      <c r="F72" s="73" t="s">
        <v>188</v>
      </c>
      <c r="G72" s="72" t="s">
        <v>56</v>
      </c>
      <c r="H72" s="74" t="s">
        <v>65</v>
      </c>
      <c r="I72" s="74" t="s">
        <v>66</v>
      </c>
      <c r="J72" s="74"/>
      <c r="K72" s="85" t="s">
        <v>75</v>
      </c>
      <c r="L72" s="76">
        <v>24</v>
      </c>
      <c r="M72" s="77">
        <v>453.9</v>
      </c>
      <c r="N72" s="78"/>
      <c r="O72" s="79">
        <v>710</v>
      </c>
      <c r="P72" s="131"/>
      <c r="Q72" s="132"/>
      <c r="R72" s="133">
        <v>2500</v>
      </c>
      <c r="S72" s="133">
        <f t="shared" si="6"/>
        <v>1134750</v>
      </c>
      <c r="T72" s="80"/>
      <c r="U72" s="81"/>
      <c r="V72" s="82">
        <v>6566</v>
      </c>
      <c r="W72" s="83">
        <f t="shared" si="7"/>
        <v>4661860</v>
      </c>
      <c r="X72" s="133"/>
      <c r="Y72" s="134" t="s">
        <v>230</v>
      </c>
      <c r="Z72" s="143">
        <f t="shared" si="5"/>
        <v>3527110</v>
      </c>
      <c r="AA72" s="68"/>
      <c r="AB72" s="68"/>
      <c r="AC72" s="68"/>
      <c r="AD72" s="68"/>
      <c r="AE72" s="68"/>
    </row>
    <row r="73" spans="1:31" s="68" customFormat="1" ht="16" customHeight="1" x14ac:dyDescent="0.45">
      <c r="A73" s="69">
        <v>2601</v>
      </c>
      <c r="B73" s="70">
        <v>46028</v>
      </c>
      <c r="C73" s="150" t="s">
        <v>191</v>
      </c>
      <c r="D73" s="71" t="s">
        <v>64</v>
      </c>
      <c r="E73" s="72" t="s">
        <v>56</v>
      </c>
      <c r="F73" s="73" t="s">
        <v>188</v>
      </c>
      <c r="G73" s="72" t="s">
        <v>56</v>
      </c>
      <c r="H73" s="74" t="s">
        <v>65</v>
      </c>
      <c r="I73" s="74" t="s">
        <v>66</v>
      </c>
      <c r="J73" s="74"/>
      <c r="K73" s="85" t="s">
        <v>76</v>
      </c>
      <c r="L73" s="76">
        <v>19</v>
      </c>
      <c r="M73" s="77">
        <v>282.3</v>
      </c>
      <c r="N73" s="78"/>
      <c r="O73" s="79">
        <v>451</v>
      </c>
      <c r="P73" s="131"/>
      <c r="Q73" s="132"/>
      <c r="R73" s="133">
        <v>2500</v>
      </c>
      <c r="S73" s="133">
        <f t="shared" si="6"/>
        <v>705750</v>
      </c>
      <c r="T73" s="80"/>
      <c r="U73" s="81"/>
      <c r="V73" s="82">
        <v>6566</v>
      </c>
      <c r="W73" s="83">
        <f t="shared" si="7"/>
        <v>2961266</v>
      </c>
      <c r="X73" s="133"/>
      <c r="Y73" s="134" t="s">
        <v>230</v>
      </c>
      <c r="Z73" s="143">
        <f t="shared" si="5"/>
        <v>2255516</v>
      </c>
    </row>
    <row r="74" spans="1:31" ht="16" customHeight="1" x14ac:dyDescent="0.45">
      <c r="A74" s="69">
        <v>2601</v>
      </c>
      <c r="B74" s="70">
        <v>46028</v>
      </c>
      <c r="C74" s="150" t="s">
        <v>191</v>
      </c>
      <c r="D74" s="71" t="s">
        <v>64</v>
      </c>
      <c r="E74" s="72" t="s">
        <v>56</v>
      </c>
      <c r="F74" s="73" t="s">
        <v>188</v>
      </c>
      <c r="G74" s="72" t="s">
        <v>56</v>
      </c>
      <c r="H74" s="74" t="s">
        <v>65</v>
      </c>
      <c r="I74" s="74" t="s">
        <v>66</v>
      </c>
      <c r="J74" s="74"/>
      <c r="K74" s="85" t="s">
        <v>76</v>
      </c>
      <c r="L74" s="76">
        <v>24</v>
      </c>
      <c r="M74" s="77">
        <v>456.5</v>
      </c>
      <c r="N74" s="78"/>
      <c r="O74" s="79">
        <v>707</v>
      </c>
      <c r="P74" s="131"/>
      <c r="Q74" s="132"/>
      <c r="R74" s="133">
        <v>2500</v>
      </c>
      <c r="S74" s="133">
        <f t="shared" si="6"/>
        <v>1141250</v>
      </c>
      <c r="T74" s="80"/>
      <c r="U74" s="81"/>
      <c r="V74" s="82">
        <v>6566</v>
      </c>
      <c r="W74" s="83">
        <f t="shared" si="7"/>
        <v>4642162</v>
      </c>
      <c r="X74" s="133"/>
      <c r="Y74" s="134" t="s">
        <v>230</v>
      </c>
      <c r="Z74" s="143">
        <f t="shared" si="5"/>
        <v>3500912</v>
      </c>
      <c r="AA74" s="68"/>
      <c r="AB74" s="68"/>
      <c r="AC74" s="68"/>
      <c r="AD74" s="68"/>
      <c r="AE74" s="68"/>
    </row>
    <row r="75" spans="1:31" ht="16" customHeight="1" x14ac:dyDescent="0.45">
      <c r="A75" s="69">
        <v>2601</v>
      </c>
      <c r="B75" s="70">
        <v>46028</v>
      </c>
      <c r="C75" s="150" t="s">
        <v>191</v>
      </c>
      <c r="D75" s="71" t="s">
        <v>64</v>
      </c>
      <c r="E75" s="72" t="s">
        <v>56</v>
      </c>
      <c r="F75" s="73" t="s">
        <v>188</v>
      </c>
      <c r="G75" s="72" t="s">
        <v>56</v>
      </c>
      <c r="H75" s="74" t="s">
        <v>65</v>
      </c>
      <c r="I75" s="74" t="s">
        <v>66</v>
      </c>
      <c r="J75" s="74"/>
      <c r="K75" s="85" t="s">
        <v>77</v>
      </c>
      <c r="L75" s="76">
        <v>6</v>
      </c>
      <c r="M75" s="77">
        <v>112.8</v>
      </c>
      <c r="N75" s="78"/>
      <c r="O75" s="79">
        <v>165</v>
      </c>
      <c r="P75" s="131"/>
      <c r="Q75" s="132"/>
      <c r="R75" s="133">
        <v>2500</v>
      </c>
      <c r="S75" s="133">
        <f t="shared" si="6"/>
        <v>282000</v>
      </c>
      <c r="T75" s="80"/>
      <c r="U75" s="81"/>
      <c r="V75" s="82" t="s">
        <v>231</v>
      </c>
      <c r="W75" s="83">
        <v>0</v>
      </c>
      <c r="X75" s="133"/>
      <c r="Y75" s="134" t="s">
        <v>230</v>
      </c>
      <c r="Z75" s="143">
        <f t="shared" si="5"/>
        <v>-282000</v>
      </c>
      <c r="AA75" s="68"/>
      <c r="AB75" s="68"/>
      <c r="AC75" s="68"/>
      <c r="AD75" s="68"/>
      <c r="AE75" s="68"/>
    </row>
    <row r="76" spans="1:31" ht="16" customHeight="1" x14ac:dyDescent="0.45">
      <c r="A76" s="69">
        <v>2601</v>
      </c>
      <c r="B76" s="70">
        <v>46028</v>
      </c>
      <c r="C76" s="150" t="s">
        <v>191</v>
      </c>
      <c r="D76" s="71" t="s">
        <v>64</v>
      </c>
      <c r="E76" s="72" t="s">
        <v>56</v>
      </c>
      <c r="F76" s="73" t="s">
        <v>188</v>
      </c>
      <c r="G76" s="72" t="s">
        <v>56</v>
      </c>
      <c r="H76" s="74" t="s">
        <v>65</v>
      </c>
      <c r="I76" s="74" t="s">
        <v>66</v>
      </c>
      <c r="J76" s="74"/>
      <c r="K76" s="85" t="s">
        <v>92</v>
      </c>
      <c r="L76" s="76">
        <v>4</v>
      </c>
      <c r="M76" s="77">
        <v>60</v>
      </c>
      <c r="N76" s="78"/>
      <c r="O76" s="79">
        <v>93</v>
      </c>
      <c r="P76" s="131"/>
      <c r="Q76" s="132"/>
      <c r="R76" s="133">
        <v>2500</v>
      </c>
      <c r="S76" s="133">
        <f t="shared" si="6"/>
        <v>150000</v>
      </c>
      <c r="T76" s="80"/>
      <c r="U76" s="81"/>
      <c r="V76" s="82">
        <v>6566</v>
      </c>
      <c r="W76" s="83">
        <f>O76*V76</f>
        <v>610638</v>
      </c>
      <c r="X76" s="133"/>
      <c r="Y76" s="134" t="s">
        <v>230</v>
      </c>
      <c r="Z76" s="143">
        <f t="shared" si="5"/>
        <v>460638</v>
      </c>
      <c r="AA76" s="68"/>
      <c r="AB76" s="68"/>
      <c r="AC76" s="68"/>
      <c r="AD76" s="68"/>
      <c r="AE76" s="68"/>
    </row>
    <row r="77" spans="1:31" ht="16" customHeight="1" x14ac:dyDescent="0.45">
      <c r="A77" s="69">
        <v>2601</v>
      </c>
      <c r="B77" s="70">
        <v>46028</v>
      </c>
      <c r="C77" s="150" t="s">
        <v>191</v>
      </c>
      <c r="D77" s="71" t="s">
        <v>64</v>
      </c>
      <c r="E77" s="72" t="s">
        <v>56</v>
      </c>
      <c r="F77" s="73" t="s">
        <v>188</v>
      </c>
      <c r="G77" s="72" t="s">
        <v>56</v>
      </c>
      <c r="H77" s="74" t="s">
        <v>65</v>
      </c>
      <c r="I77" s="74" t="s">
        <v>66</v>
      </c>
      <c r="J77" s="74"/>
      <c r="K77" s="85" t="s">
        <v>93</v>
      </c>
      <c r="L77" s="76">
        <v>24</v>
      </c>
      <c r="M77" s="77">
        <v>360</v>
      </c>
      <c r="N77" s="78"/>
      <c r="O77" s="79">
        <v>557</v>
      </c>
      <c r="P77" s="131"/>
      <c r="Q77" s="132"/>
      <c r="R77" s="133">
        <v>2500</v>
      </c>
      <c r="S77" s="133">
        <f t="shared" si="6"/>
        <v>900000</v>
      </c>
      <c r="T77" s="80"/>
      <c r="U77" s="81"/>
      <c r="V77" s="82">
        <v>6566</v>
      </c>
      <c r="W77" s="83">
        <f>O77*V77</f>
        <v>3657262</v>
      </c>
      <c r="X77" s="133"/>
      <c r="Y77" s="134" t="s">
        <v>230</v>
      </c>
      <c r="Z77" s="143">
        <f t="shared" si="5"/>
        <v>2757262</v>
      </c>
      <c r="AA77" s="68"/>
      <c r="AB77" s="68"/>
      <c r="AC77" s="68"/>
      <c r="AD77" s="68"/>
      <c r="AE77" s="68"/>
    </row>
    <row r="78" spans="1:31" ht="16" customHeight="1" x14ac:dyDescent="0.45">
      <c r="A78" s="69">
        <v>2601</v>
      </c>
      <c r="B78" s="70">
        <v>46037</v>
      </c>
      <c r="C78" s="150" t="s">
        <v>191</v>
      </c>
      <c r="D78" s="71" t="s">
        <v>64</v>
      </c>
      <c r="E78" s="72" t="s">
        <v>56</v>
      </c>
      <c r="F78" s="73" t="s">
        <v>188</v>
      </c>
      <c r="G78" s="72" t="s">
        <v>56</v>
      </c>
      <c r="H78" s="74" t="s">
        <v>65</v>
      </c>
      <c r="I78" s="74" t="s">
        <v>66</v>
      </c>
      <c r="J78" s="74"/>
      <c r="K78" s="85" t="s">
        <v>78</v>
      </c>
      <c r="L78" s="76">
        <v>32</v>
      </c>
      <c r="M78" s="77">
        <v>478.6</v>
      </c>
      <c r="N78" s="78"/>
      <c r="O78" s="79">
        <v>740</v>
      </c>
      <c r="P78" s="131"/>
      <c r="Q78" s="132"/>
      <c r="R78" s="133">
        <v>2500</v>
      </c>
      <c r="S78" s="133">
        <f t="shared" si="6"/>
        <v>1196500</v>
      </c>
      <c r="T78" s="80"/>
      <c r="U78" s="81"/>
      <c r="V78" s="82">
        <v>6566</v>
      </c>
      <c r="W78" s="83">
        <f t="shared" ref="W78:W87" si="8">O79*V78</f>
        <v>4169410</v>
      </c>
      <c r="X78" s="133"/>
      <c r="Y78" s="134" t="s">
        <v>230</v>
      </c>
      <c r="Z78" s="142">
        <f t="shared" si="5"/>
        <v>2972910</v>
      </c>
      <c r="AA78" s="68"/>
      <c r="AB78" s="68"/>
      <c r="AC78" s="68"/>
      <c r="AD78" s="68"/>
      <c r="AE78" s="68"/>
    </row>
    <row r="79" spans="1:31" ht="16" customHeight="1" x14ac:dyDescent="0.45">
      <c r="A79" s="69">
        <v>2601</v>
      </c>
      <c r="B79" s="70">
        <v>46037</v>
      </c>
      <c r="C79" s="150" t="s">
        <v>191</v>
      </c>
      <c r="D79" s="71" t="s">
        <v>64</v>
      </c>
      <c r="E79" s="72" t="s">
        <v>56</v>
      </c>
      <c r="F79" s="73" t="s">
        <v>188</v>
      </c>
      <c r="G79" s="72" t="s">
        <v>56</v>
      </c>
      <c r="H79" s="74" t="s">
        <v>65</v>
      </c>
      <c r="I79" s="74" t="s">
        <v>66</v>
      </c>
      <c r="J79" s="74"/>
      <c r="K79" s="85" t="s">
        <v>92</v>
      </c>
      <c r="L79" s="76">
        <v>28</v>
      </c>
      <c r="M79" s="77">
        <v>411.3</v>
      </c>
      <c r="N79" s="78"/>
      <c r="O79" s="79">
        <v>635</v>
      </c>
      <c r="P79" s="131"/>
      <c r="Q79" s="132"/>
      <c r="R79" s="133">
        <v>2500</v>
      </c>
      <c r="S79" s="133">
        <f t="shared" si="6"/>
        <v>1028250</v>
      </c>
      <c r="T79" s="80"/>
      <c r="U79" s="81"/>
      <c r="V79" s="82">
        <v>6566</v>
      </c>
      <c r="W79" s="83">
        <f t="shared" si="8"/>
        <v>4359824</v>
      </c>
      <c r="X79" s="133"/>
      <c r="Y79" s="134" t="s">
        <v>230</v>
      </c>
      <c r="Z79" s="142">
        <f t="shared" si="5"/>
        <v>3331574</v>
      </c>
      <c r="AA79" s="68"/>
      <c r="AB79" s="68"/>
      <c r="AC79" s="68"/>
      <c r="AD79" s="68"/>
      <c r="AE79" s="68"/>
    </row>
    <row r="80" spans="1:31" ht="16" customHeight="1" x14ac:dyDescent="0.45">
      <c r="A80" s="69">
        <v>2601</v>
      </c>
      <c r="B80" s="70">
        <v>46037</v>
      </c>
      <c r="C80" s="150" t="s">
        <v>191</v>
      </c>
      <c r="D80" s="71" t="s">
        <v>64</v>
      </c>
      <c r="E80" s="72" t="s">
        <v>56</v>
      </c>
      <c r="F80" s="73" t="s">
        <v>188</v>
      </c>
      <c r="G80" s="72" t="s">
        <v>56</v>
      </c>
      <c r="H80" s="74" t="s">
        <v>65</v>
      </c>
      <c r="I80" s="74" t="s">
        <v>66</v>
      </c>
      <c r="J80" s="74"/>
      <c r="K80" s="85" t="s">
        <v>67</v>
      </c>
      <c r="L80" s="76">
        <v>22</v>
      </c>
      <c r="M80" s="77">
        <v>422</v>
      </c>
      <c r="N80" s="78"/>
      <c r="O80" s="79">
        <v>664</v>
      </c>
      <c r="P80" s="131"/>
      <c r="Q80" s="132"/>
      <c r="R80" s="133">
        <v>2500</v>
      </c>
      <c r="S80" s="133">
        <f t="shared" si="6"/>
        <v>1055000</v>
      </c>
      <c r="T80" s="80"/>
      <c r="U80" s="81"/>
      <c r="V80" s="82">
        <v>6566</v>
      </c>
      <c r="W80" s="83">
        <f t="shared" si="8"/>
        <v>4235070</v>
      </c>
      <c r="X80" s="133"/>
      <c r="Y80" s="134" t="s">
        <v>230</v>
      </c>
      <c r="Z80" s="142">
        <f t="shared" si="5"/>
        <v>3180070</v>
      </c>
      <c r="AA80" s="68"/>
      <c r="AB80" s="68"/>
      <c r="AC80" s="68"/>
      <c r="AD80" s="68"/>
      <c r="AE80" s="68"/>
    </row>
    <row r="81" spans="1:31" ht="16" customHeight="1" x14ac:dyDescent="0.45">
      <c r="A81" s="69">
        <v>2601</v>
      </c>
      <c r="B81" s="70">
        <v>46037</v>
      </c>
      <c r="C81" s="150" t="s">
        <v>191</v>
      </c>
      <c r="D81" s="71" t="s">
        <v>64</v>
      </c>
      <c r="E81" s="72" t="s">
        <v>56</v>
      </c>
      <c r="F81" s="73" t="s">
        <v>188</v>
      </c>
      <c r="G81" s="72" t="s">
        <v>56</v>
      </c>
      <c r="H81" s="74" t="s">
        <v>65</v>
      </c>
      <c r="I81" s="74" t="s">
        <v>66</v>
      </c>
      <c r="J81" s="74"/>
      <c r="K81" s="85" t="s">
        <v>68</v>
      </c>
      <c r="L81" s="76">
        <v>22</v>
      </c>
      <c r="M81" s="77">
        <v>420</v>
      </c>
      <c r="N81" s="78"/>
      <c r="O81" s="79">
        <v>645</v>
      </c>
      <c r="P81" s="131"/>
      <c r="Q81" s="132"/>
      <c r="R81" s="133">
        <v>2500</v>
      </c>
      <c r="S81" s="133">
        <f t="shared" si="6"/>
        <v>1050000</v>
      </c>
      <c r="T81" s="80"/>
      <c r="U81" s="81"/>
      <c r="V81" s="82">
        <v>6566</v>
      </c>
      <c r="W81" s="83">
        <f t="shared" si="8"/>
        <v>4287598</v>
      </c>
      <c r="X81" s="133"/>
      <c r="Y81" s="134" t="s">
        <v>230</v>
      </c>
      <c r="Z81" s="142">
        <f t="shared" si="5"/>
        <v>3237598</v>
      </c>
      <c r="AA81" s="68"/>
      <c r="AB81" s="68"/>
      <c r="AC81" s="68"/>
      <c r="AD81" s="68"/>
      <c r="AE81" s="68"/>
    </row>
    <row r="82" spans="1:31" s="68" customFormat="1" ht="16" customHeight="1" x14ac:dyDescent="0.45">
      <c r="A82" s="69">
        <v>2601</v>
      </c>
      <c r="B82" s="70">
        <v>46037</v>
      </c>
      <c r="C82" s="150" t="s">
        <v>191</v>
      </c>
      <c r="D82" s="71" t="s">
        <v>64</v>
      </c>
      <c r="E82" s="72" t="s">
        <v>56</v>
      </c>
      <c r="F82" s="73" t="s">
        <v>188</v>
      </c>
      <c r="G82" s="72" t="s">
        <v>56</v>
      </c>
      <c r="H82" s="74" t="s">
        <v>65</v>
      </c>
      <c r="I82" s="74" t="s">
        <v>66</v>
      </c>
      <c r="J82" s="74"/>
      <c r="K82" s="85" t="s">
        <v>69</v>
      </c>
      <c r="L82" s="76">
        <v>22</v>
      </c>
      <c r="M82" s="77">
        <v>419.7</v>
      </c>
      <c r="N82" s="78"/>
      <c r="O82" s="79">
        <v>653</v>
      </c>
      <c r="P82" s="131"/>
      <c r="Q82" s="132"/>
      <c r="R82" s="133">
        <v>2500</v>
      </c>
      <c r="S82" s="133">
        <f t="shared" si="6"/>
        <v>1049250</v>
      </c>
      <c r="T82" s="80"/>
      <c r="U82" s="81"/>
      <c r="V82" s="82">
        <v>6566</v>
      </c>
      <c r="W82" s="83">
        <f t="shared" si="8"/>
        <v>4635596</v>
      </c>
      <c r="X82" s="133"/>
      <c r="Y82" s="134" t="s">
        <v>230</v>
      </c>
      <c r="Z82" s="142">
        <f t="shared" si="5"/>
        <v>3586346</v>
      </c>
    </row>
    <row r="83" spans="1:31" s="68" customFormat="1" ht="16" customHeight="1" x14ac:dyDescent="0.45">
      <c r="A83" s="69">
        <v>2601</v>
      </c>
      <c r="B83" s="70">
        <v>46037</v>
      </c>
      <c r="C83" s="150" t="s">
        <v>191</v>
      </c>
      <c r="D83" s="71" t="s">
        <v>64</v>
      </c>
      <c r="E83" s="72" t="s">
        <v>56</v>
      </c>
      <c r="F83" s="73" t="s">
        <v>188</v>
      </c>
      <c r="G83" s="72" t="s">
        <v>56</v>
      </c>
      <c r="H83" s="74" t="s">
        <v>65</v>
      </c>
      <c r="I83" s="74" t="s">
        <v>66</v>
      </c>
      <c r="J83" s="74"/>
      <c r="K83" s="85" t="s">
        <v>70</v>
      </c>
      <c r="L83" s="76">
        <v>24</v>
      </c>
      <c r="M83" s="77">
        <v>457.3</v>
      </c>
      <c r="N83" s="78"/>
      <c r="O83" s="79">
        <v>706</v>
      </c>
      <c r="P83" s="131"/>
      <c r="Q83" s="132"/>
      <c r="R83" s="133">
        <v>2500</v>
      </c>
      <c r="S83" s="133">
        <f t="shared" si="6"/>
        <v>1143250</v>
      </c>
      <c r="T83" s="80"/>
      <c r="U83" s="81"/>
      <c r="V83" s="82">
        <v>6566</v>
      </c>
      <c r="W83" s="83">
        <f t="shared" si="8"/>
        <v>4281032</v>
      </c>
      <c r="X83" s="133"/>
      <c r="Y83" s="134" t="s">
        <v>230</v>
      </c>
      <c r="Z83" s="142">
        <f t="shared" si="5"/>
        <v>3137782</v>
      </c>
    </row>
    <row r="84" spans="1:31" ht="16" customHeight="1" x14ac:dyDescent="0.45">
      <c r="A84" s="69">
        <v>2601</v>
      </c>
      <c r="B84" s="70">
        <v>46037</v>
      </c>
      <c r="C84" s="150" t="s">
        <v>191</v>
      </c>
      <c r="D84" s="71" t="s">
        <v>64</v>
      </c>
      <c r="E84" s="72" t="s">
        <v>56</v>
      </c>
      <c r="F84" s="73" t="s">
        <v>188</v>
      </c>
      <c r="G84" s="72" t="s">
        <v>56</v>
      </c>
      <c r="H84" s="74" t="s">
        <v>65</v>
      </c>
      <c r="I84" s="74" t="s">
        <v>66</v>
      </c>
      <c r="J84" s="74"/>
      <c r="K84" s="85" t="s">
        <v>71</v>
      </c>
      <c r="L84" s="76">
        <v>23</v>
      </c>
      <c r="M84" s="77">
        <v>419.9</v>
      </c>
      <c r="N84" s="78"/>
      <c r="O84" s="79">
        <v>652</v>
      </c>
      <c r="P84" s="131"/>
      <c r="Q84" s="132"/>
      <c r="R84" s="133">
        <v>2500</v>
      </c>
      <c r="S84" s="133">
        <f t="shared" si="6"/>
        <v>1049750</v>
      </c>
      <c r="T84" s="80"/>
      <c r="U84" s="81"/>
      <c r="V84" s="82">
        <v>6566</v>
      </c>
      <c r="W84" s="83">
        <f t="shared" si="8"/>
        <v>4583068</v>
      </c>
      <c r="X84" s="133"/>
      <c r="Y84" s="134" t="s">
        <v>230</v>
      </c>
      <c r="Z84" s="142">
        <f t="shared" si="5"/>
        <v>3533318</v>
      </c>
      <c r="AA84" s="68"/>
      <c r="AB84" s="68"/>
      <c r="AC84" s="68"/>
      <c r="AD84" s="68"/>
      <c r="AE84" s="68"/>
    </row>
    <row r="85" spans="1:31" ht="16" customHeight="1" x14ac:dyDescent="0.45">
      <c r="A85" s="69">
        <v>2601</v>
      </c>
      <c r="B85" s="70">
        <v>46037</v>
      </c>
      <c r="C85" s="150" t="s">
        <v>191</v>
      </c>
      <c r="D85" s="71" t="s">
        <v>64</v>
      </c>
      <c r="E85" s="72" t="s">
        <v>56</v>
      </c>
      <c r="F85" s="73" t="s">
        <v>188</v>
      </c>
      <c r="G85" s="72" t="s">
        <v>56</v>
      </c>
      <c r="H85" s="74" t="s">
        <v>65</v>
      </c>
      <c r="I85" s="74" t="s">
        <v>66</v>
      </c>
      <c r="J85" s="74"/>
      <c r="K85" s="85" t="s">
        <v>72</v>
      </c>
      <c r="L85" s="76">
        <v>24</v>
      </c>
      <c r="M85" s="77">
        <v>455</v>
      </c>
      <c r="N85" s="78"/>
      <c r="O85" s="79">
        <v>698</v>
      </c>
      <c r="P85" s="131"/>
      <c r="Q85" s="132"/>
      <c r="R85" s="133">
        <v>2500</v>
      </c>
      <c r="S85" s="133">
        <f t="shared" si="6"/>
        <v>1137500</v>
      </c>
      <c r="T85" s="80"/>
      <c r="U85" s="81"/>
      <c r="V85" s="82">
        <v>6566</v>
      </c>
      <c r="W85" s="83">
        <f t="shared" si="8"/>
        <v>4425484</v>
      </c>
      <c r="X85" s="133"/>
      <c r="Y85" s="134" t="s">
        <v>230</v>
      </c>
      <c r="Z85" s="142">
        <f t="shared" si="5"/>
        <v>3287984</v>
      </c>
      <c r="AA85" s="68"/>
      <c r="AB85" s="68"/>
      <c r="AC85" s="68"/>
      <c r="AD85" s="68"/>
      <c r="AE85" s="68"/>
    </row>
    <row r="86" spans="1:31" ht="16" customHeight="1" x14ac:dyDescent="0.45">
      <c r="A86" s="69">
        <v>2601</v>
      </c>
      <c r="B86" s="70">
        <v>46037</v>
      </c>
      <c r="C86" s="150" t="s">
        <v>191</v>
      </c>
      <c r="D86" s="71" t="s">
        <v>64</v>
      </c>
      <c r="E86" s="72" t="s">
        <v>56</v>
      </c>
      <c r="F86" s="73" t="s">
        <v>188</v>
      </c>
      <c r="G86" s="72" t="s">
        <v>56</v>
      </c>
      <c r="H86" s="74" t="s">
        <v>65</v>
      </c>
      <c r="I86" s="74" t="s">
        <v>66</v>
      </c>
      <c r="J86" s="74"/>
      <c r="K86" s="85" t="s">
        <v>73</v>
      </c>
      <c r="L86" s="76">
        <v>24</v>
      </c>
      <c r="M86" s="77">
        <v>434.3</v>
      </c>
      <c r="N86" s="78"/>
      <c r="O86" s="79">
        <v>674</v>
      </c>
      <c r="P86" s="131"/>
      <c r="Q86" s="132"/>
      <c r="R86" s="133">
        <v>2500</v>
      </c>
      <c r="S86" s="133">
        <f t="shared" si="6"/>
        <v>1085750</v>
      </c>
      <c r="T86" s="80"/>
      <c r="U86" s="81"/>
      <c r="V86" s="82">
        <v>6566</v>
      </c>
      <c r="W86" s="83">
        <f t="shared" si="8"/>
        <v>4458314</v>
      </c>
      <c r="X86" s="133"/>
      <c r="Y86" s="134" t="s">
        <v>230</v>
      </c>
      <c r="Z86" s="142">
        <f t="shared" si="5"/>
        <v>3372564</v>
      </c>
      <c r="AA86" s="68"/>
      <c r="AB86" s="68"/>
      <c r="AC86" s="68"/>
      <c r="AD86" s="68"/>
      <c r="AE86" s="68"/>
    </row>
    <row r="87" spans="1:31" s="68" customFormat="1" ht="16" customHeight="1" x14ac:dyDescent="0.45">
      <c r="A87" s="69">
        <v>2601</v>
      </c>
      <c r="B87" s="70">
        <v>46037</v>
      </c>
      <c r="C87" s="150" t="s">
        <v>191</v>
      </c>
      <c r="D87" s="71" t="s">
        <v>64</v>
      </c>
      <c r="E87" s="72" t="s">
        <v>56</v>
      </c>
      <c r="F87" s="73" t="s">
        <v>188</v>
      </c>
      <c r="G87" s="72" t="s">
        <v>56</v>
      </c>
      <c r="H87" s="74" t="s">
        <v>65</v>
      </c>
      <c r="I87" s="74" t="s">
        <v>66</v>
      </c>
      <c r="J87" s="74"/>
      <c r="K87" s="85" t="s">
        <v>75</v>
      </c>
      <c r="L87" s="76">
        <v>24</v>
      </c>
      <c r="M87" s="77">
        <v>431.9</v>
      </c>
      <c r="N87" s="78"/>
      <c r="O87" s="79">
        <v>679</v>
      </c>
      <c r="P87" s="131"/>
      <c r="Q87" s="132"/>
      <c r="R87" s="133">
        <v>2500</v>
      </c>
      <c r="S87" s="133">
        <f t="shared" si="6"/>
        <v>1079750</v>
      </c>
      <c r="T87" s="80"/>
      <c r="U87" s="81"/>
      <c r="V87" s="82">
        <v>6566</v>
      </c>
      <c r="W87" s="83">
        <f t="shared" si="8"/>
        <v>4720954</v>
      </c>
      <c r="X87" s="133"/>
      <c r="Y87" s="134" t="s">
        <v>230</v>
      </c>
      <c r="Z87" s="142">
        <f t="shared" si="5"/>
        <v>3641204</v>
      </c>
    </row>
    <row r="88" spans="1:31" s="68" customFormat="1" ht="16" customHeight="1" x14ac:dyDescent="0.45">
      <c r="A88" s="69">
        <v>2601</v>
      </c>
      <c r="B88" s="70">
        <v>46037</v>
      </c>
      <c r="C88" s="150" t="s">
        <v>191</v>
      </c>
      <c r="D88" s="71" t="s">
        <v>64</v>
      </c>
      <c r="E88" s="72" t="s">
        <v>56</v>
      </c>
      <c r="F88" s="73" t="s">
        <v>188</v>
      </c>
      <c r="G88" s="72" t="s">
        <v>56</v>
      </c>
      <c r="H88" s="74" t="s">
        <v>65</v>
      </c>
      <c r="I88" s="74" t="s">
        <v>66</v>
      </c>
      <c r="J88" s="74"/>
      <c r="K88" s="85" t="s">
        <v>76</v>
      </c>
      <c r="L88" s="76">
        <v>24</v>
      </c>
      <c r="M88" s="77">
        <v>460.4</v>
      </c>
      <c r="N88" s="78"/>
      <c r="O88" s="79">
        <v>719</v>
      </c>
      <c r="P88" s="131"/>
      <c r="Q88" s="132"/>
      <c r="R88" s="133">
        <v>2500</v>
      </c>
      <c r="S88" s="133">
        <f t="shared" si="6"/>
        <v>1151000</v>
      </c>
      <c r="T88" s="80"/>
      <c r="U88" s="81"/>
      <c r="V88" s="82">
        <v>6566</v>
      </c>
      <c r="W88" s="83">
        <f>O88*V88</f>
        <v>4720954</v>
      </c>
      <c r="X88" s="133"/>
      <c r="Y88" s="134" t="s">
        <v>230</v>
      </c>
      <c r="Z88" s="142">
        <f t="shared" si="5"/>
        <v>3569954</v>
      </c>
    </row>
    <row r="89" spans="1:31" ht="16" customHeight="1" x14ac:dyDescent="0.45">
      <c r="A89" s="69">
        <v>2601</v>
      </c>
      <c r="B89" s="2">
        <v>46050</v>
      </c>
      <c r="C89" s="150" t="s">
        <v>124</v>
      </c>
      <c r="D89" s="3" t="s">
        <v>64</v>
      </c>
      <c r="E89" s="4" t="s">
        <v>56</v>
      </c>
      <c r="F89" s="5" t="s">
        <v>188</v>
      </c>
      <c r="G89" s="4" t="s">
        <v>56</v>
      </c>
      <c r="H89" s="66" t="s">
        <v>60</v>
      </c>
      <c r="I89" s="66" t="s">
        <v>74</v>
      </c>
      <c r="J89" s="66"/>
      <c r="K89" s="121" t="s">
        <v>92</v>
      </c>
      <c r="L89" s="11">
        <v>20</v>
      </c>
      <c r="M89" s="12">
        <v>342.2</v>
      </c>
      <c r="N89" s="13"/>
      <c r="O89" s="14">
        <v>623</v>
      </c>
      <c r="P89" s="15"/>
      <c r="Q89" s="16"/>
      <c r="R89" s="17">
        <v>2500</v>
      </c>
      <c r="S89" s="17">
        <f t="shared" si="6"/>
        <v>855500</v>
      </c>
      <c r="T89" s="137">
        <f>N89*S89</f>
        <v>0</v>
      </c>
      <c r="U89" s="137">
        <f>O89*T89</f>
        <v>0</v>
      </c>
      <c r="V89" s="20" t="s">
        <v>232</v>
      </c>
      <c r="W89" s="21"/>
      <c r="X89" s="17"/>
      <c r="Y89" s="22" t="s">
        <v>230</v>
      </c>
      <c r="Z89" s="143">
        <f t="shared" si="5"/>
        <v>-855500</v>
      </c>
    </row>
    <row r="90" spans="1:31" ht="16" customHeight="1" x14ac:dyDescent="0.45">
      <c r="A90" s="69">
        <v>2601</v>
      </c>
      <c r="B90" s="2">
        <v>46050</v>
      </c>
      <c r="C90" s="150" t="s">
        <v>124</v>
      </c>
      <c r="D90" s="3" t="s">
        <v>64</v>
      </c>
      <c r="E90" s="4" t="s">
        <v>56</v>
      </c>
      <c r="F90" s="5" t="s">
        <v>188</v>
      </c>
      <c r="G90" s="4" t="s">
        <v>56</v>
      </c>
      <c r="H90" s="66" t="s">
        <v>60</v>
      </c>
      <c r="I90" s="66" t="s">
        <v>74</v>
      </c>
      <c r="J90" s="66"/>
      <c r="K90" s="121" t="s">
        <v>93</v>
      </c>
      <c r="L90" s="11">
        <v>20</v>
      </c>
      <c r="M90" s="12">
        <v>341.9</v>
      </c>
      <c r="N90" s="13"/>
      <c r="O90" s="14">
        <v>637</v>
      </c>
      <c r="P90" s="15"/>
      <c r="Q90" s="16"/>
      <c r="R90" s="17">
        <v>2500</v>
      </c>
      <c r="S90" s="17">
        <f t="shared" si="6"/>
        <v>854750</v>
      </c>
      <c r="T90" s="127"/>
      <c r="U90" s="128"/>
      <c r="V90" s="20" t="s">
        <v>232</v>
      </c>
      <c r="W90" s="21"/>
      <c r="X90" s="17"/>
      <c r="Y90" s="22" t="s">
        <v>230</v>
      </c>
      <c r="Z90" s="143">
        <f t="shared" si="5"/>
        <v>-854750</v>
      </c>
    </row>
    <row r="91" spans="1:31" ht="16" customHeight="1" x14ac:dyDescent="0.45">
      <c r="A91" s="69">
        <v>2601</v>
      </c>
      <c r="B91" s="2">
        <v>46053</v>
      </c>
      <c r="C91" s="150" t="s">
        <v>191</v>
      </c>
      <c r="D91" s="3" t="s">
        <v>122</v>
      </c>
      <c r="E91" s="4" t="s">
        <v>152</v>
      </c>
      <c r="F91" s="5" t="s">
        <v>188</v>
      </c>
      <c r="G91" s="4" t="s">
        <v>56</v>
      </c>
      <c r="H91" s="66" t="s">
        <v>233</v>
      </c>
      <c r="I91" s="66"/>
      <c r="J91" s="66"/>
      <c r="K91" s="67"/>
      <c r="L91" s="11"/>
      <c r="M91" s="12"/>
      <c r="N91" s="13">
        <v>14878</v>
      </c>
      <c r="O91" s="14"/>
      <c r="P91" s="15"/>
      <c r="Q91" s="16"/>
      <c r="R91" s="17">
        <v>130</v>
      </c>
      <c r="S91" s="17">
        <f t="shared" ref="S91:S97" si="9">N91*R91</f>
        <v>1934140</v>
      </c>
      <c r="T91" s="18"/>
      <c r="U91" s="19"/>
      <c r="V91" s="20"/>
      <c r="W91" s="21"/>
      <c r="X91" s="17"/>
      <c r="Y91" s="22" t="s">
        <v>230</v>
      </c>
      <c r="Z91" s="143">
        <f t="shared" si="5"/>
        <v>-1934140</v>
      </c>
    </row>
    <row r="92" spans="1:31" ht="16" customHeight="1" x14ac:dyDescent="0.45">
      <c r="A92" s="69">
        <v>2601</v>
      </c>
      <c r="B92" s="2">
        <v>46048</v>
      </c>
      <c r="C92" s="150" t="s">
        <v>86</v>
      </c>
      <c r="D92" s="3" t="s">
        <v>40</v>
      </c>
      <c r="E92" s="4" t="s">
        <v>142</v>
      </c>
      <c r="F92" s="5" t="s">
        <v>177</v>
      </c>
      <c r="G92" s="4" t="s">
        <v>38</v>
      </c>
      <c r="H92" s="66" t="s">
        <v>39</v>
      </c>
      <c r="I92" s="66" t="s">
        <v>118</v>
      </c>
      <c r="J92" s="66"/>
      <c r="K92" s="67">
        <v>2</v>
      </c>
      <c r="L92" s="11">
        <v>6</v>
      </c>
      <c r="M92" s="12">
        <v>92.6</v>
      </c>
      <c r="N92" s="13">
        <v>1506</v>
      </c>
      <c r="O92" s="14"/>
      <c r="P92" s="15"/>
      <c r="Q92" s="16"/>
      <c r="R92" s="17">
        <v>500</v>
      </c>
      <c r="S92" s="17">
        <f t="shared" si="9"/>
        <v>753000</v>
      </c>
      <c r="T92" s="18"/>
      <c r="U92" s="19"/>
      <c r="V92" s="20"/>
      <c r="W92" s="21"/>
      <c r="X92" s="17"/>
      <c r="Y92" s="22" t="s">
        <v>230</v>
      </c>
      <c r="Z92" s="143">
        <f t="shared" si="5"/>
        <v>-753000</v>
      </c>
    </row>
    <row r="93" spans="1:31" s="68" customFormat="1" ht="16" customHeight="1" x14ac:dyDescent="0.45">
      <c r="A93" s="69">
        <v>2601</v>
      </c>
      <c r="B93" s="2">
        <v>46048</v>
      </c>
      <c r="C93" s="150" t="s">
        <v>86</v>
      </c>
      <c r="D93" s="3" t="s">
        <v>40</v>
      </c>
      <c r="E93" s="4" t="s">
        <v>142</v>
      </c>
      <c r="F93" s="5" t="s">
        <v>177</v>
      </c>
      <c r="G93" s="4" t="s">
        <v>38</v>
      </c>
      <c r="H93" s="66" t="s">
        <v>39</v>
      </c>
      <c r="I93" s="66" t="s">
        <v>80</v>
      </c>
      <c r="J93" s="66"/>
      <c r="K93" s="67">
        <v>9</v>
      </c>
      <c r="L93" s="11">
        <v>1</v>
      </c>
      <c r="M93" s="12">
        <v>16</v>
      </c>
      <c r="N93" s="13">
        <v>231</v>
      </c>
      <c r="O93" s="14"/>
      <c r="P93" s="15"/>
      <c r="Q93" s="16"/>
      <c r="R93" s="17">
        <v>500</v>
      </c>
      <c r="S93" s="17">
        <f t="shared" si="9"/>
        <v>115500</v>
      </c>
      <c r="T93" s="18"/>
      <c r="U93" s="19"/>
      <c r="V93" s="20"/>
      <c r="W93" s="21"/>
      <c r="X93" s="17"/>
      <c r="Y93" s="22" t="s">
        <v>230</v>
      </c>
      <c r="Z93" s="143">
        <f t="shared" si="5"/>
        <v>-115500</v>
      </c>
      <c r="AA93"/>
      <c r="AB93"/>
      <c r="AC93"/>
      <c r="AD93"/>
      <c r="AE93"/>
    </row>
    <row r="94" spans="1:31" s="68" customFormat="1" ht="16" customHeight="1" x14ac:dyDescent="0.45">
      <c r="A94" s="69">
        <v>2601</v>
      </c>
      <c r="B94" s="2">
        <v>46048</v>
      </c>
      <c r="C94" s="150" t="s">
        <v>86</v>
      </c>
      <c r="D94" s="3" t="s">
        <v>40</v>
      </c>
      <c r="E94" s="4" t="s">
        <v>142</v>
      </c>
      <c r="F94" s="5" t="s">
        <v>177</v>
      </c>
      <c r="G94" s="4" t="s">
        <v>38</v>
      </c>
      <c r="H94" s="66" t="s">
        <v>39</v>
      </c>
      <c r="I94" s="66" t="s">
        <v>80</v>
      </c>
      <c r="J94" s="66"/>
      <c r="K94" s="67">
        <v>10</v>
      </c>
      <c r="L94" s="11">
        <v>6</v>
      </c>
      <c r="M94" s="12">
        <v>94.1</v>
      </c>
      <c r="N94" s="13">
        <v>1500</v>
      </c>
      <c r="O94" s="14"/>
      <c r="P94" s="15"/>
      <c r="Q94" s="16"/>
      <c r="R94" s="17">
        <v>500</v>
      </c>
      <c r="S94" s="17">
        <f t="shared" si="9"/>
        <v>750000</v>
      </c>
      <c r="T94" s="18"/>
      <c r="U94" s="19"/>
      <c r="V94" s="20"/>
      <c r="W94" s="21"/>
      <c r="X94" s="17"/>
      <c r="Y94" s="22" t="s">
        <v>230</v>
      </c>
      <c r="Z94" s="143">
        <f t="shared" si="5"/>
        <v>-750000</v>
      </c>
      <c r="AA94"/>
      <c r="AB94"/>
      <c r="AC94"/>
      <c r="AD94"/>
      <c r="AE94"/>
    </row>
    <row r="95" spans="1:31" s="68" customFormat="1" ht="16" customHeight="1" x14ac:dyDescent="0.45">
      <c r="A95" s="69">
        <v>2601</v>
      </c>
      <c r="B95" s="2">
        <v>46048</v>
      </c>
      <c r="C95" s="150" t="s">
        <v>86</v>
      </c>
      <c r="D95" s="3" t="s">
        <v>40</v>
      </c>
      <c r="E95" s="4" t="s">
        <v>142</v>
      </c>
      <c r="F95" s="5" t="s">
        <v>177</v>
      </c>
      <c r="G95" s="4" t="s">
        <v>38</v>
      </c>
      <c r="H95" s="66" t="s">
        <v>39</v>
      </c>
      <c r="I95" s="66" t="s">
        <v>80</v>
      </c>
      <c r="J95" s="66"/>
      <c r="K95" s="67">
        <v>11</v>
      </c>
      <c r="L95" s="11">
        <v>6</v>
      </c>
      <c r="M95" s="12">
        <v>94.3</v>
      </c>
      <c r="N95" s="13">
        <v>1513</v>
      </c>
      <c r="O95" s="14"/>
      <c r="P95" s="15"/>
      <c r="Q95" s="16"/>
      <c r="R95" s="17">
        <v>500</v>
      </c>
      <c r="S95" s="17">
        <f t="shared" si="9"/>
        <v>756500</v>
      </c>
      <c r="T95" s="18"/>
      <c r="U95" s="19"/>
      <c r="V95" s="20"/>
      <c r="W95" s="21"/>
      <c r="X95" s="17"/>
      <c r="Y95" s="22" t="s">
        <v>230</v>
      </c>
      <c r="Z95" s="143">
        <f t="shared" si="5"/>
        <v>-756500</v>
      </c>
      <c r="AA95"/>
      <c r="AB95"/>
      <c r="AC95"/>
      <c r="AD95"/>
      <c r="AE95"/>
    </row>
    <row r="96" spans="1:31" ht="16" customHeight="1" x14ac:dyDescent="0.45">
      <c r="A96" s="69">
        <v>2601</v>
      </c>
      <c r="B96" s="2">
        <v>46048</v>
      </c>
      <c r="C96" s="150" t="s">
        <v>86</v>
      </c>
      <c r="D96" s="3" t="s">
        <v>40</v>
      </c>
      <c r="E96" s="4" t="s">
        <v>142</v>
      </c>
      <c r="F96" s="5" t="s">
        <v>177</v>
      </c>
      <c r="G96" s="4" t="s">
        <v>38</v>
      </c>
      <c r="H96" s="66" t="s">
        <v>39</v>
      </c>
      <c r="I96" s="66" t="s">
        <v>80</v>
      </c>
      <c r="J96" s="66"/>
      <c r="K96" s="67">
        <v>12</v>
      </c>
      <c r="L96" s="11">
        <v>7</v>
      </c>
      <c r="M96" s="12">
        <v>94.1</v>
      </c>
      <c r="N96" s="13">
        <v>1519</v>
      </c>
      <c r="O96" s="14"/>
      <c r="P96" s="15"/>
      <c r="Q96" s="16"/>
      <c r="R96" s="17">
        <v>500</v>
      </c>
      <c r="S96" s="17">
        <f t="shared" si="9"/>
        <v>759500</v>
      </c>
      <c r="T96" s="18"/>
      <c r="U96" s="19"/>
      <c r="V96" s="20"/>
      <c r="W96" s="21"/>
      <c r="X96" s="17"/>
      <c r="Y96" s="22" t="s">
        <v>230</v>
      </c>
      <c r="Z96" s="143">
        <f t="shared" si="5"/>
        <v>-759500</v>
      </c>
    </row>
    <row r="97" spans="1:31" ht="16" customHeight="1" x14ac:dyDescent="0.45">
      <c r="A97" s="69">
        <v>2601</v>
      </c>
      <c r="B97" s="2">
        <v>46048</v>
      </c>
      <c r="C97" s="150" t="s">
        <v>86</v>
      </c>
      <c r="D97" s="3" t="s">
        <v>40</v>
      </c>
      <c r="E97" s="4" t="s">
        <v>142</v>
      </c>
      <c r="F97" s="5" t="s">
        <v>177</v>
      </c>
      <c r="G97" s="4" t="s">
        <v>38</v>
      </c>
      <c r="H97" s="66" t="s">
        <v>39</v>
      </c>
      <c r="I97" s="66" t="s">
        <v>79</v>
      </c>
      <c r="J97" s="66"/>
      <c r="K97" s="67">
        <v>45</v>
      </c>
      <c r="L97" s="11">
        <v>7</v>
      </c>
      <c r="M97" s="12">
        <v>94.6</v>
      </c>
      <c r="N97" s="13">
        <v>1512</v>
      </c>
      <c r="O97" s="14"/>
      <c r="P97" s="15"/>
      <c r="Q97" s="16"/>
      <c r="R97" s="17">
        <v>550</v>
      </c>
      <c r="S97" s="17">
        <f t="shared" si="9"/>
        <v>831600</v>
      </c>
      <c r="T97" s="18"/>
      <c r="U97" s="19"/>
      <c r="V97" s="20"/>
      <c r="W97" s="21"/>
      <c r="X97" s="17"/>
      <c r="Y97" s="22" t="s">
        <v>230</v>
      </c>
      <c r="Z97" s="143">
        <f t="shared" si="5"/>
        <v>-831600</v>
      </c>
    </row>
    <row r="98" spans="1:31" s="68" customFormat="1" ht="16" customHeight="1" x14ac:dyDescent="0.45">
      <c r="A98" s="69">
        <v>2601</v>
      </c>
      <c r="B98" s="70">
        <v>46038</v>
      </c>
      <c r="C98" s="150" t="s">
        <v>39</v>
      </c>
      <c r="D98" s="71" t="s">
        <v>142</v>
      </c>
      <c r="E98" s="72" t="s">
        <v>38</v>
      </c>
      <c r="F98" s="73" t="s">
        <v>177</v>
      </c>
      <c r="G98" s="72" t="s">
        <v>38</v>
      </c>
      <c r="H98" s="74" t="s">
        <v>155</v>
      </c>
      <c r="I98" s="74" t="s">
        <v>135</v>
      </c>
      <c r="J98" s="74"/>
      <c r="K98" s="75"/>
      <c r="L98" s="76"/>
      <c r="M98" s="77"/>
      <c r="N98" s="78"/>
      <c r="O98" s="79">
        <v>1422</v>
      </c>
      <c r="P98" s="131"/>
      <c r="Q98" s="132"/>
      <c r="R98" s="133">
        <v>0</v>
      </c>
      <c r="S98" s="133"/>
      <c r="T98" s="80"/>
      <c r="U98" s="81"/>
      <c r="V98" s="82">
        <v>4700</v>
      </c>
      <c r="W98" s="83">
        <f>O98*V98</f>
        <v>6683400</v>
      </c>
      <c r="X98" s="133"/>
      <c r="Y98" s="134" t="s">
        <v>192</v>
      </c>
      <c r="Z98" s="142">
        <f t="shared" si="5"/>
        <v>6683400</v>
      </c>
    </row>
    <row r="99" spans="1:31" ht="16" customHeight="1" x14ac:dyDescent="0.45">
      <c r="A99" s="65"/>
      <c r="B99" s="2"/>
      <c r="C99" s="150"/>
      <c r="D99" s="3"/>
      <c r="E99" s="4"/>
      <c r="F99" s="5"/>
      <c r="G99" s="4"/>
      <c r="H99" s="66"/>
      <c r="I99" s="66"/>
      <c r="J99" s="66"/>
      <c r="K99" s="67"/>
      <c r="L99" s="11"/>
      <c r="M99" s="12"/>
      <c r="N99" s="13"/>
      <c r="O99" s="14"/>
      <c r="P99" s="15"/>
      <c r="Q99" s="16"/>
      <c r="R99" s="17"/>
      <c r="S99" s="17"/>
      <c r="T99" s="18"/>
      <c r="U99" s="19"/>
      <c r="V99" s="20"/>
      <c r="W99" s="21"/>
      <c r="X99" s="17"/>
      <c r="Z99" s="143"/>
    </row>
    <row r="100" spans="1:31" ht="16" customHeight="1" x14ac:dyDescent="0.45">
      <c r="A100" s="65"/>
      <c r="B100" s="2"/>
      <c r="C100" s="150"/>
      <c r="D100" s="3"/>
      <c r="E100" s="4"/>
      <c r="F100" s="5"/>
      <c r="G100" s="4"/>
      <c r="H100" s="66"/>
      <c r="I100" s="66"/>
      <c r="J100" s="66"/>
      <c r="K100" s="67"/>
      <c r="L100" s="11"/>
      <c r="M100" s="12"/>
      <c r="N100" s="13"/>
      <c r="O100" s="14"/>
      <c r="P100" s="15"/>
      <c r="Q100" s="16"/>
      <c r="R100" s="17"/>
      <c r="S100" s="17"/>
      <c r="T100" s="18"/>
      <c r="U100" s="19"/>
      <c r="V100" s="20"/>
      <c r="W100" s="21"/>
      <c r="X100" s="17"/>
      <c r="Z100" s="23"/>
    </row>
    <row r="101" spans="1:31" ht="16" customHeight="1" thickBot="1" x14ac:dyDescent="0.5">
      <c r="A101" s="65"/>
      <c r="B101" s="2"/>
      <c r="C101" s="150"/>
      <c r="D101" s="3"/>
      <c r="E101" s="4"/>
      <c r="F101" s="5"/>
      <c r="G101" s="4"/>
      <c r="H101" s="66"/>
      <c r="I101" s="66"/>
      <c r="J101" s="66"/>
      <c r="K101" s="67"/>
      <c r="L101" s="11"/>
      <c r="M101" s="12"/>
      <c r="N101" s="13"/>
      <c r="O101" s="14"/>
      <c r="P101" s="15"/>
      <c r="Q101" s="16"/>
      <c r="R101" s="17"/>
      <c r="S101" s="17"/>
      <c r="T101" s="18"/>
      <c r="U101" s="19"/>
      <c r="V101" s="20"/>
      <c r="W101" s="21"/>
      <c r="X101" s="17"/>
      <c r="Z101" s="23"/>
    </row>
    <row r="102" spans="1:31" s="120" customFormat="1" ht="16" customHeight="1" thickBot="1" x14ac:dyDescent="0.5">
      <c r="A102" s="100" t="s">
        <v>153</v>
      </c>
      <c r="B102" s="101"/>
      <c r="C102" s="151"/>
      <c r="D102" s="102"/>
      <c r="E102" s="103"/>
      <c r="F102" s="104"/>
      <c r="G102" s="103"/>
      <c r="H102" s="105"/>
      <c r="I102" s="105"/>
      <c r="J102" s="105"/>
      <c r="K102" s="106"/>
      <c r="L102" s="107"/>
      <c r="M102" s="108"/>
      <c r="N102" s="109"/>
      <c r="O102" s="110"/>
      <c r="P102" s="111"/>
      <c r="Q102" s="112">
        <f>SUM(Q4:Q101)</f>
        <v>39430895</v>
      </c>
      <c r="R102" s="113"/>
      <c r="S102" s="113">
        <f>SUM(S4:S101)</f>
        <v>120232865</v>
      </c>
      <c r="T102" s="114"/>
      <c r="U102" s="115"/>
      <c r="V102" s="116"/>
      <c r="W102" s="117">
        <f>SUM(W4:W101)</f>
        <v>190706248</v>
      </c>
      <c r="X102" s="113">
        <f>W102-Q102-S102</f>
        <v>31042488</v>
      </c>
      <c r="Y102" s="118"/>
      <c r="Z102" s="119">
        <f>SUM(Z4:Z101)</f>
        <v>31042488</v>
      </c>
    </row>
    <row r="103" spans="1:31" ht="16" customHeight="1" x14ac:dyDescent="0.45">
      <c r="A103" s="69">
        <v>2602</v>
      </c>
      <c r="B103" s="2">
        <v>46081</v>
      </c>
      <c r="C103" s="150" t="s">
        <v>171</v>
      </c>
      <c r="D103" s="3" t="s">
        <v>55</v>
      </c>
      <c r="E103" s="4" t="s">
        <v>151</v>
      </c>
      <c r="F103" s="5" t="s">
        <v>188</v>
      </c>
      <c r="G103" s="4" t="s">
        <v>56</v>
      </c>
      <c r="H103" s="66" t="s">
        <v>159</v>
      </c>
      <c r="I103" s="66"/>
      <c r="J103" s="66"/>
      <c r="K103" s="67"/>
      <c r="L103" s="11"/>
      <c r="M103" s="12">
        <v>830.6</v>
      </c>
      <c r="N103" s="13"/>
      <c r="O103" s="14"/>
      <c r="P103" s="15">
        <v>2390</v>
      </c>
      <c r="Q103" s="16">
        <f>M103*P103</f>
        <v>1985134</v>
      </c>
      <c r="R103" s="17"/>
      <c r="S103" s="17"/>
      <c r="T103" s="18"/>
      <c r="U103" s="19"/>
      <c r="V103" s="20"/>
      <c r="W103" s="21"/>
      <c r="X103" s="17"/>
      <c r="Y103" s="22" t="s">
        <v>181</v>
      </c>
      <c r="Z103" s="142">
        <f t="shared" ref="Z103:Z166" si="10">W103-S103-Q103</f>
        <v>-1985134</v>
      </c>
    </row>
    <row r="104" spans="1:31" s="68" customFormat="1" ht="16" customHeight="1" x14ac:dyDescent="0.45">
      <c r="A104" s="69">
        <v>2602</v>
      </c>
      <c r="B104" s="70">
        <v>46065</v>
      </c>
      <c r="C104" s="149" t="s">
        <v>234</v>
      </c>
      <c r="D104" s="71" t="s">
        <v>85</v>
      </c>
      <c r="E104" s="72" t="s">
        <v>147</v>
      </c>
      <c r="F104" s="73" t="s">
        <v>195</v>
      </c>
      <c r="G104" s="72" t="s">
        <v>147</v>
      </c>
      <c r="H104" s="74" t="s">
        <v>148</v>
      </c>
      <c r="I104" s="74">
        <v>30607</v>
      </c>
      <c r="J104" s="74"/>
      <c r="K104" s="75"/>
      <c r="L104" s="76"/>
      <c r="M104" s="77"/>
      <c r="N104" s="78">
        <v>900</v>
      </c>
      <c r="O104" s="79">
        <v>822</v>
      </c>
      <c r="P104" s="131"/>
      <c r="Q104" s="132"/>
      <c r="R104" s="133">
        <v>800</v>
      </c>
      <c r="S104" s="133">
        <f>N104*R104</f>
        <v>720000</v>
      </c>
      <c r="T104" s="80"/>
      <c r="U104" s="81"/>
      <c r="V104" s="82">
        <v>1313</v>
      </c>
      <c r="W104" s="135">
        <f>O104*V104</f>
        <v>1079286</v>
      </c>
      <c r="X104" s="133"/>
      <c r="Y104" s="134" t="s">
        <v>196</v>
      </c>
      <c r="Z104" s="142">
        <f t="shared" si="10"/>
        <v>359286</v>
      </c>
    </row>
    <row r="105" spans="1:31" s="68" customFormat="1" ht="16" customHeight="1" x14ac:dyDescent="0.45">
      <c r="A105" s="69">
        <v>2602</v>
      </c>
      <c r="B105" s="70">
        <v>46065</v>
      </c>
      <c r="C105" s="149" t="s">
        <v>234</v>
      </c>
      <c r="D105" s="71" t="s">
        <v>85</v>
      </c>
      <c r="E105" s="72" t="s">
        <v>147</v>
      </c>
      <c r="F105" s="73" t="s">
        <v>195</v>
      </c>
      <c r="G105" s="72" t="s">
        <v>147</v>
      </c>
      <c r="H105" s="74" t="s">
        <v>148</v>
      </c>
      <c r="I105" s="74">
        <v>80933</v>
      </c>
      <c r="J105" s="74"/>
      <c r="K105" s="75"/>
      <c r="L105" s="76"/>
      <c r="M105" s="77"/>
      <c r="N105" s="78">
        <v>850</v>
      </c>
      <c r="O105" s="79">
        <v>777</v>
      </c>
      <c r="P105" s="131"/>
      <c r="Q105" s="132"/>
      <c r="R105" s="133">
        <v>800</v>
      </c>
      <c r="S105" s="133">
        <f>N105*R105</f>
        <v>680000</v>
      </c>
      <c r="T105" s="80"/>
      <c r="U105" s="81"/>
      <c r="V105" s="82">
        <v>1313</v>
      </c>
      <c r="W105" s="135">
        <f>O105*V105</f>
        <v>1020201</v>
      </c>
      <c r="X105" s="133"/>
      <c r="Y105" s="134" t="s">
        <v>196</v>
      </c>
      <c r="Z105" s="142">
        <f t="shared" si="10"/>
        <v>340201</v>
      </c>
    </row>
    <row r="106" spans="1:31" s="68" customFormat="1" ht="16" customHeight="1" x14ac:dyDescent="0.45">
      <c r="A106" s="69">
        <v>2602</v>
      </c>
      <c r="B106" s="70">
        <v>45987</v>
      </c>
      <c r="C106" s="149" t="s">
        <v>234</v>
      </c>
      <c r="D106" s="71" t="s">
        <v>172</v>
      </c>
      <c r="E106" s="72" t="s">
        <v>147</v>
      </c>
      <c r="F106" s="73" t="s">
        <v>195</v>
      </c>
      <c r="G106" s="72" t="s">
        <v>147</v>
      </c>
      <c r="H106" s="74" t="s">
        <v>148</v>
      </c>
      <c r="I106" s="74"/>
      <c r="J106" s="74"/>
      <c r="K106" s="75"/>
      <c r="L106" s="76"/>
      <c r="M106" s="77"/>
      <c r="N106" s="78"/>
      <c r="O106" s="79">
        <v>488</v>
      </c>
      <c r="P106" s="131"/>
      <c r="Q106" s="132"/>
      <c r="R106" s="133" t="s">
        <v>150</v>
      </c>
      <c r="S106" s="133">
        <v>0</v>
      </c>
      <c r="T106" s="136"/>
      <c r="U106" s="139"/>
      <c r="V106" s="82">
        <v>1312</v>
      </c>
      <c r="W106" s="83">
        <f>O106*V106</f>
        <v>640256</v>
      </c>
      <c r="X106" s="133"/>
      <c r="Y106" s="134" t="s">
        <v>196</v>
      </c>
      <c r="Z106" s="142">
        <f t="shared" si="10"/>
        <v>640256</v>
      </c>
    </row>
    <row r="107" spans="1:31" s="68" customFormat="1" ht="16" customHeight="1" x14ac:dyDescent="0.45">
      <c r="A107" s="69">
        <v>2602</v>
      </c>
      <c r="B107" s="2">
        <v>46055</v>
      </c>
      <c r="C107" s="150" t="s">
        <v>171</v>
      </c>
      <c r="D107" s="3" t="s">
        <v>154</v>
      </c>
      <c r="E107" s="4" t="s">
        <v>160</v>
      </c>
      <c r="F107" s="5" t="s">
        <v>188</v>
      </c>
      <c r="G107" s="4" t="s">
        <v>56</v>
      </c>
      <c r="H107" s="66" t="s">
        <v>235</v>
      </c>
      <c r="I107" s="66"/>
      <c r="J107" s="66"/>
      <c r="K107" s="67"/>
      <c r="L107" s="11">
        <v>6</v>
      </c>
      <c r="M107" s="12">
        <v>2538</v>
      </c>
      <c r="N107" s="13"/>
      <c r="O107" s="14"/>
      <c r="P107" s="15"/>
      <c r="Q107" s="16"/>
      <c r="R107" s="17">
        <v>1000</v>
      </c>
      <c r="S107" s="17">
        <f>M107*R107</f>
        <v>2538000</v>
      </c>
      <c r="T107" s="18"/>
      <c r="U107" s="19"/>
      <c r="V107" s="20"/>
      <c r="W107" s="21"/>
      <c r="X107" s="17"/>
      <c r="Y107" s="22" t="s">
        <v>216</v>
      </c>
      <c r="Z107" s="142">
        <f t="shared" si="10"/>
        <v>-2538000</v>
      </c>
      <c r="AA107"/>
      <c r="AB107"/>
      <c r="AC107"/>
      <c r="AD107"/>
      <c r="AE107"/>
    </row>
    <row r="108" spans="1:31" ht="16" customHeight="1" x14ac:dyDescent="0.45">
      <c r="A108" s="69">
        <v>2602</v>
      </c>
      <c r="B108" s="2">
        <v>46063</v>
      </c>
      <c r="C108" s="150" t="s">
        <v>171</v>
      </c>
      <c r="D108" s="3" t="s">
        <v>97</v>
      </c>
      <c r="E108" s="4" t="s">
        <v>160</v>
      </c>
      <c r="F108" s="5" t="s">
        <v>188</v>
      </c>
      <c r="G108" s="4" t="s">
        <v>56</v>
      </c>
      <c r="H108" s="66" t="s">
        <v>156</v>
      </c>
      <c r="I108" s="66"/>
      <c r="J108" s="66"/>
      <c r="K108" s="67"/>
      <c r="L108" s="11"/>
      <c r="M108" s="12">
        <v>610</v>
      </c>
      <c r="N108" s="13"/>
      <c r="O108" s="14"/>
      <c r="P108" s="15"/>
      <c r="Q108" s="16"/>
      <c r="R108" s="17">
        <v>1050</v>
      </c>
      <c r="S108" s="17">
        <f>M108*R108</f>
        <v>640500</v>
      </c>
      <c r="T108" s="18"/>
      <c r="U108" s="19"/>
      <c r="V108" s="20"/>
      <c r="W108" s="21"/>
      <c r="X108" s="17"/>
      <c r="Y108" s="22" t="s">
        <v>216</v>
      </c>
      <c r="Z108" s="142">
        <f t="shared" si="10"/>
        <v>-640500</v>
      </c>
    </row>
    <row r="109" spans="1:31" s="68" customFormat="1" ht="16" customHeight="1" x14ac:dyDescent="0.45">
      <c r="A109" s="69">
        <v>2602</v>
      </c>
      <c r="B109" s="2">
        <v>46063</v>
      </c>
      <c r="C109" s="150" t="s">
        <v>171</v>
      </c>
      <c r="D109" s="3" t="s">
        <v>97</v>
      </c>
      <c r="E109" s="4" t="s">
        <v>160</v>
      </c>
      <c r="F109" s="5" t="s">
        <v>188</v>
      </c>
      <c r="G109" s="4" t="s">
        <v>56</v>
      </c>
      <c r="H109" s="66" t="s">
        <v>140</v>
      </c>
      <c r="I109" s="66"/>
      <c r="J109" s="66"/>
      <c r="K109" s="67"/>
      <c r="L109" s="11"/>
      <c r="M109" s="12">
        <v>351.75</v>
      </c>
      <c r="N109" s="13"/>
      <c r="O109" s="14"/>
      <c r="P109" s="15"/>
      <c r="Q109" s="16"/>
      <c r="R109" s="17">
        <v>1050</v>
      </c>
      <c r="S109" s="17">
        <f>M109*R109</f>
        <v>369337.5</v>
      </c>
      <c r="T109" s="18"/>
      <c r="U109" s="19"/>
      <c r="V109" s="20"/>
      <c r="W109" s="21"/>
      <c r="X109" s="17"/>
      <c r="Y109" s="22" t="s">
        <v>216</v>
      </c>
      <c r="Z109" s="142">
        <f t="shared" si="10"/>
        <v>-369337.5</v>
      </c>
      <c r="AA109"/>
      <c r="AB109"/>
      <c r="AC109"/>
      <c r="AD109"/>
      <c r="AE109"/>
    </row>
    <row r="110" spans="1:31" ht="16" customHeight="1" x14ac:dyDescent="0.45">
      <c r="A110" s="69">
        <v>2602</v>
      </c>
      <c r="B110" s="2">
        <v>46062</v>
      </c>
      <c r="C110" s="150" t="s">
        <v>86</v>
      </c>
      <c r="D110" s="3" t="s">
        <v>40</v>
      </c>
      <c r="E110" s="4" t="s">
        <v>170</v>
      </c>
      <c r="F110" s="5" t="s">
        <v>177</v>
      </c>
      <c r="G110" s="4" t="s">
        <v>48</v>
      </c>
      <c r="H110" s="66" t="s">
        <v>39</v>
      </c>
      <c r="I110" s="66" t="s">
        <v>79</v>
      </c>
      <c r="J110" s="66"/>
      <c r="K110" s="67"/>
      <c r="L110" s="11">
        <v>5</v>
      </c>
      <c r="M110" s="12">
        <v>63</v>
      </c>
      <c r="N110" s="13">
        <v>974</v>
      </c>
      <c r="O110" s="14"/>
      <c r="P110" s="15"/>
      <c r="Q110" s="16"/>
      <c r="R110" s="17">
        <v>550</v>
      </c>
      <c r="S110" s="17">
        <f t="shared" ref="S110:S117" si="11">N110*R110</f>
        <v>535700</v>
      </c>
      <c r="T110" s="18"/>
      <c r="U110" s="19"/>
      <c r="V110" s="20"/>
      <c r="W110" s="21"/>
      <c r="X110" s="17"/>
      <c r="Y110" s="22" t="s">
        <v>230</v>
      </c>
      <c r="Z110" s="142">
        <f t="shared" si="10"/>
        <v>-535700</v>
      </c>
    </row>
    <row r="111" spans="1:31" ht="16" customHeight="1" x14ac:dyDescent="0.45">
      <c r="A111" s="69">
        <v>2602</v>
      </c>
      <c r="B111" s="2">
        <v>46062</v>
      </c>
      <c r="C111" s="150" t="s">
        <v>86</v>
      </c>
      <c r="D111" s="3" t="s">
        <v>40</v>
      </c>
      <c r="E111" s="4" t="s">
        <v>170</v>
      </c>
      <c r="F111" s="5" t="s">
        <v>177</v>
      </c>
      <c r="G111" s="4" t="s">
        <v>48</v>
      </c>
      <c r="H111" s="66" t="s">
        <v>39</v>
      </c>
      <c r="I111" s="66" t="s">
        <v>79</v>
      </c>
      <c r="J111" s="66"/>
      <c r="K111" s="67"/>
      <c r="L111" s="11">
        <v>5</v>
      </c>
      <c r="M111" s="12">
        <v>79</v>
      </c>
      <c r="N111" s="13">
        <v>1206</v>
      </c>
      <c r="O111" s="14"/>
      <c r="P111" s="15"/>
      <c r="Q111" s="16"/>
      <c r="R111" s="17">
        <v>550</v>
      </c>
      <c r="S111" s="17">
        <f t="shared" si="11"/>
        <v>663300</v>
      </c>
      <c r="T111" s="18"/>
      <c r="U111" s="19"/>
      <c r="V111" s="20"/>
      <c r="W111" s="21"/>
      <c r="X111" s="17"/>
      <c r="Y111" s="22" t="s">
        <v>230</v>
      </c>
      <c r="Z111" s="142">
        <f t="shared" si="10"/>
        <v>-663300</v>
      </c>
    </row>
    <row r="112" spans="1:31" s="68" customFormat="1" ht="16" customHeight="1" x14ac:dyDescent="0.45">
      <c r="A112" s="69">
        <v>2602</v>
      </c>
      <c r="B112" s="2">
        <v>46062</v>
      </c>
      <c r="C112" s="150" t="s">
        <v>39</v>
      </c>
      <c r="D112" s="3" t="s">
        <v>40</v>
      </c>
      <c r="E112" s="4" t="s">
        <v>142</v>
      </c>
      <c r="F112" s="5" t="s">
        <v>177</v>
      </c>
      <c r="G112" s="4" t="s">
        <v>38</v>
      </c>
      <c r="H112" s="66" t="s">
        <v>39</v>
      </c>
      <c r="I112" s="66" t="s">
        <v>96</v>
      </c>
      <c r="J112" s="66"/>
      <c r="K112" s="121" t="s">
        <v>236</v>
      </c>
      <c r="L112" s="11">
        <v>6</v>
      </c>
      <c r="M112" s="12">
        <v>90</v>
      </c>
      <c r="N112" s="13">
        <v>1495</v>
      </c>
      <c r="O112" s="14"/>
      <c r="P112" s="15"/>
      <c r="Q112" s="16"/>
      <c r="R112" s="17">
        <v>500</v>
      </c>
      <c r="S112" s="17">
        <f t="shared" si="11"/>
        <v>747500</v>
      </c>
      <c r="T112" s="18"/>
      <c r="U112" s="19"/>
      <c r="V112" s="20"/>
      <c r="W112" s="21"/>
      <c r="X112" s="17"/>
      <c r="Y112" s="22" t="s">
        <v>230</v>
      </c>
      <c r="Z112" s="142">
        <f t="shared" si="10"/>
        <v>-747500</v>
      </c>
      <c r="AA112"/>
      <c r="AB112"/>
      <c r="AC112"/>
      <c r="AD112"/>
      <c r="AE112"/>
    </row>
    <row r="113" spans="1:31" s="68" customFormat="1" ht="16" customHeight="1" x14ac:dyDescent="0.45">
      <c r="A113" s="69">
        <v>2602</v>
      </c>
      <c r="B113" s="2">
        <v>46062</v>
      </c>
      <c r="C113" s="150" t="s">
        <v>39</v>
      </c>
      <c r="D113" s="3" t="s">
        <v>40</v>
      </c>
      <c r="E113" s="4" t="s">
        <v>142</v>
      </c>
      <c r="F113" s="5" t="s">
        <v>177</v>
      </c>
      <c r="G113" s="4" t="s">
        <v>38</v>
      </c>
      <c r="H113" s="66" t="s">
        <v>39</v>
      </c>
      <c r="I113" s="66" t="s">
        <v>237</v>
      </c>
      <c r="J113" s="66"/>
      <c r="K113" s="121" t="s">
        <v>68</v>
      </c>
      <c r="L113" s="11">
        <v>4</v>
      </c>
      <c r="M113" s="12">
        <v>30</v>
      </c>
      <c r="N113" s="13">
        <v>507</v>
      </c>
      <c r="O113" s="14"/>
      <c r="P113" s="15"/>
      <c r="Q113" s="16"/>
      <c r="R113" s="17">
        <v>530</v>
      </c>
      <c r="S113" s="17">
        <f t="shared" si="11"/>
        <v>268710</v>
      </c>
      <c r="T113" s="18"/>
      <c r="U113" s="19"/>
      <c r="V113" s="20"/>
      <c r="W113" s="21"/>
      <c r="X113" s="17"/>
      <c r="Y113" s="22" t="s">
        <v>230</v>
      </c>
      <c r="Z113" s="142">
        <f t="shared" si="10"/>
        <v>-268710</v>
      </c>
      <c r="AA113"/>
      <c r="AB113"/>
      <c r="AC113"/>
      <c r="AD113"/>
      <c r="AE113"/>
    </row>
    <row r="114" spans="1:31" s="68" customFormat="1" ht="16" customHeight="1" x14ac:dyDescent="0.45">
      <c r="A114" s="69">
        <v>2602</v>
      </c>
      <c r="B114" s="2">
        <v>46055</v>
      </c>
      <c r="C114" s="150" t="s">
        <v>39</v>
      </c>
      <c r="D114" s="3" t="s">
        <v>40</v>
      </c>
      <c r="E114" s="4" t="s">
        <v>142</v>
      </c>
      <c r="F114" s="5" t="s">
        <v>177</v>
      </c>
      <c r="G114" s="4" t="s">
        <v>38</v>
      </c>
      <c r="H114" s="66" t="s">
        <v>39</v>
      </c>
      <c r="I114" s="66" t="s">
        <v>81</v>
      </c>
      <c r="J114" s="66"/>
      <c r="K114" s="67"/>
      <c r="L114" s="11">
        <v>6</v>
      </c>
      <c r="M114" s="12">
        <v>92.2</v>
      </c>
      <c r="N114" s="13">
        <v>1476</v>
      </c>
      <c r="O114" s="14"/>
      <c r="P114" s="15"/>
      <c r="Q114" s="16"/>
      <c r="R114" s="17">
        <v>500</v>
      </c>
      <c r="S114" s="17">
        <f t="shared" si="11"/>
        <v>738000</v>
      </c>
      <c r="T114" s="18"/>
      <c r="U114" s="19"/>
      <c r="V114" s="20"/>
      <c r="W114" s="21"/>
      <c r="X114" s="17"/>
      <c r="Y114" s="22" t="s">
        <v>230</v>
      </c>
      <c r="Z114" s="142">
        <f t="shared" si="10"/>
        <v>-738000</v>
      </c>
      <c r="AA114"/>
      <c r="AB114"/>
      <c r="AC114"/>
      <c r="AD114"/>
      <c r="AE114"/>
    </row>
    <row r="115" spans="1:31" s="68" customFormat="1" ht="16" customHeight="1" x14ac:dyDescent="0.45">
      <c r="A115" s="69">
        <v>2602</v>
      </c>
      <c r="B115" s="2">
        <v>46055</v>
      </c>
      <c r="C115" s="150" t="s">
        <v>39</v>
      </c>
      <c r="D115" s="3" t="s">
        <v>40</v>
      </c>
      <c r="E115" s="4" t="s">
        <v>142</v>
      </c>
      <c r="F115" s="5" t="s">
        <v>177</v>
      </c>
      <c r="G115" s="4" t="s">
        <v>38</v>
      </c>
      <c r="H115" s="66" t="s">
        <v>39</v>
      </c>
      <c r="I115" s="66" t="s">
        <v>107</v>
      </c>
      <c r="J115" s="66"/>
      <c r="K115" s="67"/>
      <c r="L115" s="11">
        <v>6</v>
      </c>
      <c r="M115" s="12">
        <v>92.3</v>
      </c>
      <c r="N115" s="13">
        <v>1513</v>
      </c>
      <c r="O115" s="14"/>
      <c r="P115" s="15"/>
      <c r="Q115" s="16"/>
      <c r="R115" s="17">
        <v>500</v>
      </c>
      <c r="S115" s="17">
        <f t="shared" si="11"/>
        <v>756500</v>
      </c>
      <c r="T115" s="18"/>
      <c r="U115" s="19"/>
      <c r="V115" s="20"/>
      <c r="W115" s="21"/>
      <c r="X115" s="17"/>
      <c r="Y115" s="22" t="s">
        <v>230</v>
      </c>
      <c r="Z115" s="142">
        <f t="shared" si="10"/>
        <v>-756500</v>
      </c>
      <c r="AA115"/>
      <c r="AB115"/>
      <c r="AC115"/>
      <c r="AD115"/>
      <c r="AE115"/>
    </row>
    <row r="116" spans="1:31" s="68" customFormat="1" ht="16" customHeight="1" x14ac:dyDescent="0.45">
      <c r="A116" s="69">
        <v>2602</v>
      </c>
      <c r="B116" s="2">
        <v>46055</v>
      </c>
      <c r="C116" s="150" t="s">
        <v>39</v>
      </c>
      <c r="D116" s="3" t="s">
        <v>40</v>
      </c>
      <c r="E116" s="4" t="s">
        <v>142</v>
      </c>
      <c r="F116" s="5" t="s">
        <v>177</v>
      </c>
      <c r="G116" s="4" t="s">
        <v>38</v>
      </c>
      <c r="H116" s="66" t="s">
        <v>39</v>
      </c>
      <c r="I116" s="66" t="s">
        <v>238</v>
      </c>
      <c r="J116" s="66"/>
      <c r="K116" s="67"/>
      <c r="L116" s="11">
        <v>1</v>
      </c>
      <c r="M116" s="12">
        <v>15.5</v>
      </c>
      <c r="N116" s="13">
        <v>255</v>
      </c>
      <c r="O116" s="14"/>
      <c r="P116" s="15"/>
      <c r="Q116" s="16"/>
      <c r="R116" s="17">
        <v>500</v>
      </c>
      <c r="S116" s="17">
        <f t="shared" si="11"/>
        <v>127500</v>
      </c>
      <c r="T116" s="18"/>
      <c r="U116" s="19"/>
      <c r="V116" s="20"/>
      <c r="W116" s="21"/>
      <c r="X116" s="17"/>
      <c r="Y116" s="22" t="s">
        <v>230</v>
      </c>
      <c r="Z116" s="142">
        <f t="shared" si="10"/>
        <v>-127500</v>
      </c>
      <c r="AA116"/>
      <c r="AB116"/>
      <c r="AC116"/>
      <c r="AD116"/>
      <c r="AE116"/>
    </row>
    <row r="117" spans="1:31" s="68" customFormat="1" ht="16" customHeight="1" x14ac:dyDescent="0.45">
      <c r="A117" s="69">
        <v>2602</v>
      </c>
      <c r="B117" s="2">
        <v>46076</v>
      </c>
      <c r="C117" s="150" t="s">
        <v>39</v>
      </c>
      <c r="D117" s="3" t="s">
        <v>40</v>
      </c>
      <c r="E117" s="4" t="s">
        <v>142</v>
      </c>
      <c r="F117" s="5" t="s">
        <v>177</v>
      </c>
      <c r="G117" s="4" t="s">
        <v>38</v>
      </c>
      <c r="H117" s="66" t="s">
        <v>39</v>
      </c>
      <c r="I117" s="66" t="s">
        <v>239</v>
      </c>
      <c r="J117" s="66"/>
      <c r="K117" s="67"/>
      <c r="L117" s="11"/>
      <c r="M117" s="12"/>
      <c r="N117" s="13">
        <v>240</v>
      </c>
      <c r="O117" s="14"/>
      <c r="P117" s="15"/>
      <c r="Q117" s="16"/>
      <c r="R117" s="17">
        <v>500</v>
      </c>
      <c r="S117" s="17">
        <f t="shared" si="11"/>
        <v>120000</v>
      </c>
      <c r="T117" s="18"/>
      <c r="U117" s="19"/>
      <c r="V117" s="20"/>
      <c r="W117" s="21"/>
      <c r="X117" s="17"/>
      <c r="Y117" s="22" t="s">
        <v>230</v>
      </c>
      <c r="Z117" s="142">
        <f t="shared" si="10"/>
        <v>-120000</v>
      </c>
      <c r="AA117"/>
      <c r="AB117"/>
      <c r="AC117"/>
      <c r="AD117"/>
      <c r="AE117"/>
    </row>
    <row r="118" spans="1:31" s="68" customFormat="1" ht="16" customHeight="1" x14ac:dyDescent="0.45">
      <c r="A118" s="69">
        <v>2602</v>
      </c>
      <c r="B118" s="70">
        <v>46058</v>
      </c>
      <c r="C118" s="149" t="s">
        <v>39</v>
      </c>
      <c r="D118" s="71" t="s">
        <v>142</v>
      </c>
      <c r="E118" s="72" t="s">
        <v>38</v>
      </c>
      <c r="F118" s="73" t="s">
        <v>177</v>
      </c>
      <c r="G118" s="72" t="s">
        <v>38</v>
      </c>
      <c r="H118" s="74" t="s">
        <v>155</v>
      </c>
      <c r="I118" s="74" t="s">
        <v>83</v>
      </c>
      <c r="J118" s="74"/>
      <c r="K118" s="75"/>
      <c r="L118" s="76">
        <v>11</v>
      </c>
      <c r="M118" s="77"/>
      <c r="N118" s="78"/>
      <c r="O118" s="79">
        <v>4283</v>
      </c>
      <c r="P118" s="131"/>
      <c r="Q118" s="132"/>
      <c r="R118" s="133">
        <v>2350</v>
      </c>
      <c r="S118" s="133">
        <f t="shared" ref="S118:S125" si="12">O118*R118</f>
        <v>10065050</v>
      </c>
      <c r="T118" s="80"/>
      <c r="U118" s="81"/>
      <c r="V118" s="82">
        <v>4700</v>
      </c>
      <c r="W118" s="83">
        <f t="shared" ref="W118:W125" si="13">O118*V118</f>
        <v>20130100</v>
      </c>
      <c r="X118" s="133"/>
      <c r="Y118" s="134" t="s">
        <v>192</v>
      </c>
      <c r="Z118" s="142">
        <f t="shared" si="10"/>
        <v>10065050</v>
      </c>
    </row>
    <row r="119" spans="1:31" s="68" customFormat="1" ht="16" customHeight="1" x14ac:dyDescent="0.45">
      <c r="A119" s="69">
        <v>2602</v>
      </c>
      <c r="B119" s="70">
        <v>46064</v>
      </c>
      <c r="C119" s="149" t="s">
        <v>39</v>
      </c>
      <c r="D119" s="71" t="s">
        <v>142</v>
      </c>
      <c r="E119" s="72" t="s">
        <v>38</v>
      </c>
      <c r="F119" s="73" t="s">
        <v>177</v>
      </c>
      <c r="G119" s="72" t="s">
        <v>38</v>
      </c>
      <c r="H119" s="74" t="s">
        <v>155</v>
      </c>
      <c r="I119" s="74" t="s">
        <v>83</v>
      </c>
      <c r="J119" s="74"/>
      <c r="K119" s="75"/>
      <c r="L119" s="76">
        <v>1</v>
      </c>
      <c r="M119" s="77"/>
      <c r="N119" s="78"/>
      <c r="O119" s="79">
        <v>227</v>
      </c>
      <c r="P119" s="131"/>
      <c r="Q119" s="132"/>
      <c r="R119" s="133">
        <v>2350</v>
      </c>
      <c r="S119" s="133">
        <f t="shared" si="12"/>
        <v>533450</v>
      </c>
      <c r="T119" s="80"/>
      <c r="U119" s="81"/>
      <c r="V119" s="82">
        <v>4700</v>
      </c>
      <c r="W119" s="83">
        <f t="shared" si="13"/>
        <v>1066900</v>
      </c>
      <c r="X119" s="133"/>
      <c r="Y119" s="134" t="s">
        <v>192</v>
      </c>
      <c r="Z119" s="142">
        <f t="shared" si="10"/>
        <v>533450</v>
      </c>
    </row>
    <row r="120" spans="1:31" s="68" customFormat="1" ht="16" customHeight="1" x14ac:dyDescent="0.45">
      <c r="A120" s="69">
        <v>2602</v>
      </c>
      <c r="B120" s="70">
        <v>46062</v>
      </c>
      <c r="C120" s="149" t="s">
        <v>39</v>
      </c>
      <c r="D120" s="71" t="s">
        <v>142</v>
      </c>
      <c r="E120" s="72" t="s">
        <v>38</v>
      </c>
      <c r="F120" s="73" t="s">
        <v>177</v>
      </c>
      <c r="G120" s="72" t="s">
        <v>38</v>
      </c>
      <c r="H120" s="74" t="s">
        <v>155</v>
      </c>
      <c r="I120" s="74" t="s">
        <v>240</v>
      </c>
      <c r="J120" s="74"/>
      <c r="K120" s="85" t="s">
        <v>67</v>
      </c>
      <c r="L120" s="76">
        <v>1</v>
      </c>
      <c r="M120" s="77"/>
      <c r="N120" s="78"/>
      <c r="O120" s="79">
        <v>235</v>
      </c>
      <c r="P120" s="131"/>
      <c r="Q120" s="132"/>
      <c r="R120" s="133">
        <v>2350</v>
      </c>
      <c r="S120" s="133">
        <f t="shared" si="12"/>
        <v>552250</v>
      </c>
      <c r="T120" s="80"/>
      <c r="U120" s="81"/>
      <c r="V120" s="82">
        <v>4700</v>
      </c>
      <c r="W120" s="83">
        <f t="shared" si="13"/>
        <v>1104500</v>
      </c>
      <c r="X120" s="133"/>
      <c r="Y120" s="134" t="s">
        <v>192</v>
      </c>
      <c r="Z120" s="142">
        <f t="shared" si="10"/>
        <v>552250</v>
      </c>
    </row>
    <row r="121" spans="1:31" s="68" customFormat="1" ht="16" customHeight="1" x14ac:dyDescent="0.45">
      <c r="A121" s="69">
        <v>2602</v>
      </c>
      <c r="B121" s="70">
        <v>46062</v>
      </c>
      <c r="C121" s="149" t="s">
        <v>39</v>
      </c>
      <c r="D121" s="71" t="s">
        <v>142</v>
      </c>
      <c r="E121" s="72" t="s">
        <v>38</v>
      </c>
      <c r="F121" s="73" t="s">
        <v>177</v>
      </c>
      <c r="G121" s="72" t="s">
        <v>38</v>
      </c>
      <c r="H121" s="74" t="s">
        <v>155</v>
      </c>
      <c r="I121" s="74" t="s">
        <v>115</v>
      </c>
      <c r="J121" s="74"/>
      <c r="K121" s="85" t="s">
        <v>68</v>
      </c>
      <c r="L121" s="76">
        <v>3</v>
      </c>
      <c r="M121" s="77"/>
      <c r="N121" s="78"/>
      <c r="O121" s="79">
        <v>1418</v>
      </c>
      <c r="P121" s="131"/>
      <c r="Q121" s="132"/>
      <c r="R121" s="133">
        <v>2350</v>
      </c>
      <c r="S121" s="133">
        <f t="shared" si="12"/>
        <v>3332300</v>
      </c>
      <c r="T121" s="80"/>
      <c r="U121" s="81"/>
      <c r="V121" s="82">
        <v>4700</v>
      </c>
      <c r="W121" s="83">
        <f t="shared" si="13"/>
        <v>6664600</v>
      </c>
      <c r="X121" s="133"/>
      <c r="Y121" s="134" t="s">
        <v>192</v>
      </c>
      <c r="Z121" s="142">
        <f t="shared" si="10"/>
        <v>3332300</v>
      </c>
    </row>
    <row r="122" spans="1:31" s="68" customFormat="1" ht="16" customHeight="1" x14ac:dyDescent="0.45">
      <c r="A122" s="69">
        <v>2602</v>
      </c>
      <c r="B122" s="70">
        <v>46062</v>
      </c>
      <c r="C122" s="149" t="s">
        <v>39</v>
      </c>
      <c r="D122" s="71" t="s">
        <v>142</v>
      </c>
      <c r="E122" s="72" t="s">
        <v>38</v>
      </c>
      <c r="F122" s="73" t="s">
        <v>177</v>
      </c>
      <c r="G122" s="72" t="s">
        <v>38</v>
      </c>
      <c r="H122" s="74" t="s">
        <v>155</v>
      </c>
      <c r="I122" s="74" t="s">
        <v>46</v>
      </c>
      <c r="J122" s="74"/>
      <c r="K122" s="85" t="s">
        <v>241</v>
      </c>
      <c r="L122" s="76">
        <v>4</v>
      </c>
      <c r="M122" s="77"/>
      <c r="N122" s="78"/>
      <c r="O122" s="79">
        <v>1327</v>
      </c>
      <c r="P122" s="131"/>
      <c r="Q122" s="132"/>
      <c r="R122" s="133">
        <v>2350</v>
      </c>
      <c r="S122" s="133">
        <f t="shared" si="12"/>
        <v>3118450</v>
      </c>
      <c r="T122" s="80"/>
      <c r="U122" s="81"/>
      <c r="V122" s="82">
        <v>4700</v>
      </c>
      <c r="W122" s="83">
        <f t="shared" si="13"/>
        <v>6236900</v>
      </c>
      <c r="X122" s="133"/>
      <c r="Y122" s="134" t="s">
        <v>192</v>
      </c>
      <c r="Z122" s="142">
        <f t="shared" si="10"/>
        <v>3118450</v>
      </c>
    </row>
    <row r="123" spans="1:31" ht="16" customHeight="1" x14ac:dyDescent="0.45">
      <c r="A123" s="69">
        <v>2602</v>
      </c>
      <c r="B123" s="70">
        <v>46066</v>
      </c>
      <c r="C123" s="152" t="s">
        <v>39</v>
      </c>
      <c r="D123" s="71" t="s">
        <v>142</v>
      </c>
      <c r="E123" s="72" t="s">
        <v>38</v>
      </c>
      <c r="F123" s="73" t="s">
        <v>177</v>
      </c>
      <c r="G123" s="72" t="s">
        <v>82</v>
      </c>
      <c r="H123" s="138" t="s">
        <v>242</v>
      </c>
      <c r="I123" s="74" t="s">
        <v>243</v>
      </c>
      <c r="J123" s="74"/>
      <c r="K123" s="75"/>
      <c r="L123" s="76"/>
      <c r="M123" s="77"/>
      <c r="N123" s="78"/>
      <c r="O123" s="79">
        <v>458</v>
      </c>
      <c r="P123" s="131"/>
      <c r="Q123" s="132"/>
      <c r="R123" s="133">
        <v>2350</v>
      </c>
      <c r="S123" s="133">
        <f t="shared" si="12"/>
        <v>1076300</v>
      </c>
      <c r="T123" s="80"/>
      <c r="U123" s="81"/>
      <c r="V123" s="82">
        <v>4700</v>
      </c>
      <c r="W123" s="83">
        <f t="shared" si="13"/>
        <v>2152600</v>
      </c>
      <c r="X123" s="133"/>
      <c r="Y123" s="134" t="s">
        <v>192</v>
      </c>
      <c r="Z123" s="142">
        <f t="shared" si="10"/>
        <v>1076300</v>
      </c>
      <c r="AA123" s="68"/>
      <c r="AB123" s="68"/>
      <c r="AC123" s="68"/>
      <c r="AD123" s="68"/>
      <c r="AE123" s="68"/>
    </row>
    <row r="124" spans="1:31" ht="16" customHeight="1" x14ac:dyDescent="0.45">
      <c r="A124" s="69">
        <v>2602</v>
      </c>
      <c r="B124" s="70">
        <v>46066</v>
      </c>
      <c r="C124" s="152" t="s">
        <v>39</v>
      </c>
      <c r="D124" s="71" t="s">
        <v>142</v>
      </c>
      <c r="E124" s="72" t="s">
        <v>38</v>
      </c>
      <c r="F124" s="73" t="s">
        <v>177</v>
      </c>
      <c r="G124" s="72" t="s">
        <v>82</v>
      </c>
      <c r="H124" s="138" t="s">
        <v>242</v>
      </c>
      <c r="I124" s="74" t="s">
        <v>244</v>
      </c>
      <c r="J124" s="74"/>
      <c r="K124" s="75"/>
      <c r="L124" s="76"/>
      <c r="M124" s="77"/>
      <c r="N124" s="78"/>
      <c r="O124" s="79">
        <v>1372</v>
      </c>
      <c r="P124" s="131"/>
      <c r="Q124" s="132"/>
      <c r="R124" s="133">
        <v>2350</v>
      </c>
      <c r="S124" s="133">
        <f t="shared" si="12"/>
        <v>3224200</v>
      </c>
      <c r="T124" s="80"/>
      <c r="U124" s="81"/>
      <c r="V124" s="82">
        <v>4700</v>
      </c>
      <c r="W124" s="83">
        <f t="shared" si="13"/>
        <v>6448400</v>
      </c>
      <c r="X124" s="133"/>
      <c r="Y124" s="134" t="s">
        <v>192</v>
      </c>
      <c r="Z124" s="142">
        <f t="shared" si="10"/>
        <v>3224200</v>
      </c>
      <c r="AA124" s="68"/>
      <c r="AB124" s="68"/>
      <c r="AC124" s="68"/>
      <c r="AD124" s="68"/>
      <c r="AE124" s="68"/>
    </row>
    <row r="125" spans="1:31" s="68" customFormat="1" ht="16" customHeight="1" x14ac:dyDescent="0.45">
      <c r="A125" s="69">
        <v>2602</v>
      </c>
      <c r="B125" s="70">
        <v>46080</v>
      </c>
      <c r="C125" s="149" t="s">
        <v>39</v>
      </c>
      <c r="D125" s="71" t="s">
        <v>142</v>
      </c>
      <c r="E125" s="72" t="s">
        <v>38</v>
      </c>
      <c r="F125" s="73" t="s">
        <v>177</v>
      </c>
      <c r="G125" s="72" t="s">
        <v>38</v>
      </c>
      <c r="H125" s="74" t="s">
        <v>155</v>
      </c>
      <c r="I125" s="74" t="s">
        <v>245</v>
      </c>
      <c r="J125" s="74"/>
      <c r="K125" s="75"/>
      <c r="L125" s="76">
        <v>1</v>
      </c>
      <c r="M125" s="77"/>
      <c r="N125" s="78"/>
      <c r="O125" s="79">
        <v>229</v>
      </c>
      <c r="P125" s="131"/>
      <c r="Q125" s="132"/>
      <c r="R125" s="133">
        <v>2350</v>
      </c>
      <c r="S125" s="133">
        <f t="shared" si="12"/>
        <v>538150</v>
      </c>
      <c r="T125" s="80"/>
      <c r="U125" s="81"/>
      <c r="V125" s="82">
        <v>4700</v>
      </c>
      <c r="W125" s="83">
        <f t="shared" si="13"/>
        <v>1076300</v>
      </c>
      <c r="X125" s="133"/>
      <c r="Y125" s="134" t="s">
        <v>192</v>
      </c>
      <c r="Z125" s="142">
        <f t="shared" si="10"/>
        <v>538150</v>
      </c>
    </row>
    <row r="126" spans="1:31" s="68" customFormat="1" ht="16" customHeight="1" x14ac:dyDescent="0.45">
      <c r="A126" s="69">
        <v>2602</v>
      </c>
      <c r="B126" s="70">
        <v>46059</v>
      </c>
      <c r="C126" s="149" t="s">
        <v>234</v>
      </c>
      <c r="D126" s="134" t="s">
        <v>246</v>
      </c>
      <c r="E126" s="72" t="s">
        <v>130</v>
      </c>
      <c r="F126" s="73" t="s">
        <v>195</v>
      </c>
      <c r="G126" s="72" t="s">
        <v>130</v>
      </c>
      <c r="H126" s="74" t="s">
        <v>125</v>
      </c>
      <c r="I126" s="74" t="s">
        <v>121</v>
      </c>
      <c r="J126" s="74"/>
      <c r="K126" s="75"/>
      <c r="L126" s="76">
        <v>12</v>
      </c>
      <c r="M126" s="77"/>
      <c r="N126" s="78">
        <v>3407</v>
      </c>
      <c r="O126" s="79"/>
      <c r="P126" s="131"/>
      <c r="Q126" s="132"/>
      <c r="R126" s="133">
        <v>100</v>
      </c>
      <c r="S126" s="133">
        <f>N126*R126</f>
        <v>340700</v>
      </c>
      <c r="T126" s="80"/>
      <c r="U126" s="81"/>
      <c r="V126" s="82">
        <v>1200</v>
      </c>
      <c r="W126" s="83">
        <f>N126*V126</f>
        <v>4088400</v>
      </c>
      <c r="X126" s="133"/>
      <c r="Y126" s="134" t="s">
        <v>192</v>
      </c>
      <c r="Z126" s="142">
        <f t="shared" si="10"/>
        <v>3747700</v>
      </c>
    </row>
    <row r="127" spans="1:31" s="68" customFormat="1" ht="16" customHeight="1" x14ac:dyDescent="0.45">
      <c r="A127" s="69">
        <v>2602</v>
      </c>
      <c r="B127" s="2">
        <v>46064</v>
      </c>
      <c r="C127" s="150" t="s">
        <v>171</v>
      </c>
      <c r="D127" s="3" t="s">
        <v>127</v>
      </c>
      <c r="E127" s="4" t="s">
        <v>97</v>
      </c>
      <c r="F127" s="5" t="s">
        <v>188</v>
      </c>
      <c r="G127" s="4" t="s">
        <v>56</v>
      </c>
      <c r="H127" s="66" t="s">
        <v>132</v>
      </c>
      <c r="I127" s="66"/>
      <c r="J127" s="66"/>
      <c r="K127" s="67" t="s">
        <v>138</v>
      </c>
      <c r="L127" s="11"/>
      <c r="M127" s="12">
        <v>1875</v>
      </c>
      <c r="N127" s="13"/>
      <c r="O127" s="14"/>
      <c r="P127" s="15">
        <v>2205</v>
      </c>
      <c r="Q127" s="16">
        <f>M127*P127</f>
        <v>4134375</v>
      </c>
      <c r="R127" s="17"/>
      <c r="S127" s="17"/>
      <c r="T127" s="18"/>
      <c r="U127" s="19"/>
      <c r="V127" s="20"/>
      <c r="W127" s="21"/>
      <c r="X127" s="17"/>
      <c r="Y127" s="22" t="s">
        <v>181</v>
      </c>
      <c r="Z127" s="142">
        <f t="shared" si="10"/>
        <v>-4134375</v>
      </c>
      <c r="AA127"/>
      <c r="AB127"/>
      <c r="AC127"/>
      <c r="AD127"/>
      <c r="AE127"/>
    </row>
    <row r="128" spans="1:31" s="68" customFormat="1" ht="16" customHeight="1" x14ac:dyDescent="0.45">
      <c r="A128" s="69">
        <v>2602</v>
      </c>
      <c r="B128" s="2">
        <v>46064</v>
      </c>
      <c r="C128" s="150" t="s">
        <v>171</v>
      </c>
      <c r="D128" s="3" t="s">
        <v>127</v>
      </c>
      <c r="E128" s="4" t="s">
        <v>97</v>
      </c>
      <c r="F128" s="5" t="s">
        <v>188</v>
      </c>
      <c r="G128" s="4" t="s">
        <v>56</v>
      </c>
      <c r="H128" s="66" t="s">
        <v>132</v>
      </c>
      <c r="I128" s="66"/>
      <c r="J128" s="66"/>
      <c r="K128" s="67" t="s">
        <v>138</v>
      </c>
      <c r="L128" s="11"/>
      <c r="M128" s="12">
        <v>316</v>
      </c>
      <c r="N128" s="13"/>
      <c r="O128" s="14"/>
      <c r="P128" s="15">
        <v>2205</v>
      </c>
      <c r="Q128" s="16">
        <f>M128*P128</f>
        <v>696780</v>
      </c>
      <c r="R128" s="17"/>
      <c r="S128" s="17"/>
      <c r="T128" s="18"/>
      <c r="U128" s="19"/>
      <c r="V128" s="20"/>
      <c r="W128" s="21"/>
      <c r="X128" s="17"/>
      <c r="Y128" s="22" t="s">
        <v>181</v>
      </c>
      <c r="Z128" s="142">
        <f t="shared" si="10"/>
        <v>-696780</v>
      </c>
      <c r="AA128"/>
      <c r="AB128"/>
      <c r="AC128"/>
      <c r="AD128"/>
      <c r="AE128"/>
    </row>
    <row r="129" spans="1:31" ht="16" customHeight="1" x14ac:dyDescent="0.45">
      <c r="A129" s="69">
        <v>2602</v>
      </c>
      <c r="B129" s="70">
        <v>46078</v>
      </c>
      <c r="C129" s="149" t="s">
        <v>234</v>
      </c>
      <c r="D129" s="71" t="s">
        <v>85</v>
      </c>
      <c r="E129" s="72" t="s">
        <v>104</v>
      </c>
      <c r="F129" s="73" t="s">
        <v>195</v>
      </c>
      <c r="G129" s="72" t="s">
        <v>104</v>
      </c>
      <c r="H129" s="74" t="s">
        <v>247</v>
      </c>
      <c r="I129" s="74" t="s">
        <v>79</v>
      </c>
      <c r="J129" s="74"/>
      <c r="K129" s="75"/>
      <c r="L129" s="76"/>
      <c r="M129" s="77"/>
      <c r="N129" s="78">
        <v>3263</v>
      </c>
      <c r="O129" s="79"/>
      <c r="P129" s="131"/>
      <c r="Q129" s="132"/>
      <c r="R129" s="133">
        <v>800</v>
      </c>
      <c r="S129" s="133">
        <f>N129*R129</f>
        <v>2610400</v>
      </c>
      <c r="T129" s="80"/>
      <c r="U129" s="81"/>
      <c r="V129" s="82">
        <v>1030</v>
      </c>
      <c r="W129" s="83">
        <f>N129*V129</f>
        <v>3360890</v>
      </c>
      <c r="X129" s="133"/>
      <c r="Y129" s="134" t="s">
        <v>196</v>
      </c>
      <c r="Z129" s="142">
        <f t="shared" si="10"/>
        <v>750490</v>
      </c>
      <c r="AA129" s="68"/>
      <c r="AB129" s="68"/>
      <c r="AC129" s="68"/>
      <c r="AD129" s="68"/>
      <c r="AE129" s="68"/>
    </row>
    <row r="130" spans="1:31" ht="16" customHeight="1" x14ac:dyDescent="0.45">
      <c r="A130" s="69">
        <v>2602</v>
      </c>
      <c r="B130" s="2">
        <v>46059</v>
      </c>
      <c r="C130" s="150" t="s">
        <v>197</v>
      </c>
      <c r="D130" s="3" t="s">
        <v>167</v>
      </c>
      <c r="E130" s="4" t="s">
        <v>58</v>
      </c>
      <c r="F130" s="5" t="s">
        <v>199</v>
      </c>
      <c r="G130" s="4" t="s">
        <v>59</v>
      </c>
      <c r="H130" s="66" t="s">
        <v>169</v>
      </c>
      <c r="I130" s="66" t="s">
        <v>166</v>
      </c>
      <c r="J130" s="66"/>
      <c r="K130" s="67"/>
      <c r="L130" s="11">
        <v>25</v>
      </c>
      <c r="M130" s="12">
        <v>99</v>
      </c>
      <c r="N130" s="13"/>
      <c r="O130" s="14"/>
      <c r="P130" s="15"/>
      <c r="Q130" s="16"/>
      <c r="R130" s="17">
        <v>1000</v>
      </c>
      <c r="S130" s="17">
        <f t="shared" ref="S130:S141" si="14">M130*R130</f>
        <v>99000</v>
      </c>
      <c r="T130" s="18"/>
      <c r="U130" s="19"/>
      <c r="V130" s="20"/>
      <c r="W130" s="21"/>
      <c r="X130" s="17"/>
      <c r="Y130" s="22" t="s">
        <v>192</v>
      </c>
      <c r="Z130" s="142">
        <f t="shared" si="10"/>
        <v>-99000</v>
      </c>
    </row>
    <row r="131" spans="1:31" ht="16" customHeight="1" x14ac:dyDescent="0.45">
      <c r="A131" s="69">
        <v>2602</v>
      </c>
      <c r="B131" s="2">
        <v>46059</v>
      </c>
      <c r="C131" s="150" t="s">
        <v>197</v>
      </c>
      <c r="D131" s="3" t="s">
        <v>167</v>
      </c>
      <c r="E131" s="4" t="s">
        <v>58</v>
      </c>
      <c r="F131" s="5" t="s">
        <v>199</v>
      </c>
      <c r="G131" s="4" t="s">
        <v>59</v>
      </c>
      <c r="H131" s="66" t="s">
        <v>169</v>
      </c>
      <c r="I131" s="66" t="s">
        <v>168</v>
      </c>
      <c r="J131" s="66"/>
      <c r="K131" s="67"/>
      <c r="L131" s="11">
        <v>53</v>
      </c>
      <c r="M131" s="12">
        <v>205</v>
      </c>
      <c r="N131" s="13"/>
      <c r="O131" s="14"/>
      <c r="P131" s="15"/>
      <c r="Q131" s="16"/>
      <c r="R131" s="17">
        <v>1000</v>
      </c>
      <c r="S131" s="17">
        <f t="shared" si="14"/>
        <v>205000</v>
      </c>
      <c r="T131" s="18"/>
      <c r="U131" s="19"/>
      <c r="V131" s="20"/>
      <c r="W131" s="21"/>
      <c r="X131" s="17"/>
      <c r="Y131" s="22" t="s">
        <v>192</v>
      </c>
      <c r="Z131" s="142">
        <f t="shared" si="10"/>
        <v>-205000</v>
      </c>
    </row>
    <row r="132" spans="1:31" ht="16" customHeight="1" x14ac:dyDescent="0.45">
      <c r="A132" s="69">
        <v>2602</v>
      </c>
      <c r="B132" s="2">
        <v>46059</v>
      </c>
      <c r="C132" s="150" t="s">
        <v>197</v>
      </c>
      <c r="D132" s="3" t="s">
        <v>167</v>
      </c>
      <c r="E132" s="4" t="s">
        <v>58</v>
      </c>
      <c r="F132" s="5" t="s">
        <v>199</v>
      </c>
      <c r="G132" s="4" t="s">
        <v>59</v>
      </c>
      <c r="H132" s="66" t="s">
        <v>169</v>
      </c>
      <c r="I132" s="66" t="s">
        <v>165</v>
      </c>
      <c r="J132" s="66"/>
      <c r="K132" s="67"/>
      <c r="L132" s="11">
        <v>27</v>
      </c>
      <c r="M132" s="12">
        <v>104</v>
      </c>
      <c r="N132" s="13"/>
      <c r="O132" s="14"/>
      <c r="P132" s="15"/>
      <c r="Q132" s="16"/>
      <c r="R132" s="17">
        <v>1000</v>
      </c>
      <c r="S132" s="17">
        <f t="shared" si="14"/>
        <v>104000</v>
      </c>
      <c r="T132" s="18"/>
      <c r="U132" s="19"/>
      <c r="V132" s="20"/>
      <c r="W132" s="21"/>
      <c r="X132" s="17"/>
      <c r="Y132" s="22" t="s">
        <v>192</v>
      </c>
      <c r="Z132" s="142">
        <f t="shared" si="10"/>
        <v>-104000</v>
      </c>
    </row>
    <row r="133" spans="1:31" ht="16" customHeight="1" x14ac:dyDescent="0.45">
      <c r="A133" s="69">
        <v>2602</v>
      </c>
      <c r="B133" s="2">
        <v>46063</v>
      </c>
      <c r="C133" s="150" t="s">
        <v>171</v>
      </c>
      <c r="D133" s="3" t="s">
        <v>154</v>
      </c>
      <c r="E133" s="4" t="s">
        <v>55</v>
      </c>
      <c r="F133" s="5" t="s">
        <v>188</v>
      </c>
      <c r="G133" s="4" t="s">
        <v>56</v>
      </c>
      <c r="H133" s="66" t="s">
        <v>164</v>
      </c>
      <c r="I133" s="66"/>
      <c r="J133" s="66"/>
      <c r="K133" s="67"/>
      <c r="L133" s="11">
        <v>3</v>
      </c>
      <c r="M133" s="12">
        <v>1270.5</v>
      </c>
      <c r="N133" s="13"/>
      <c r="O133" s="14"/>
      <c r="P133" s="15"/>
      <c r="Q133" s="16"/>
      <c r="R133" s="17">
        <v>1000</v>
      </c>
      <c r="S133" s="17">
        <f t="shared" si="14"/>
        <v>1270500</v>
      </c>
      <c r="T133" s="18"/>
      <c r="U133" s="19"/>
      <c r="V133" s="20"/>
      <c r="W133" s="21"/>
      <c r="X133" s="17"/>
      <c r="Y133" s="22" t="s">
        <v>216</v>
      </c>
      <c r="Z133" s="142">
        <f t="shared" si="10"/>
        <v>-1270500</v>
      </c>
    </row>
    <row r="134" spans="1:31" ht="16" customHeight="1" x14ac:dyDescent="0.45">
      <c r="A134" s="69">
        <v>2602</v>
      </c>
      <c r="B134" s="2">
        <v>46057</v>
      </c>
      <c r="C134" s="150" t="s">
        <v>171</v>
      </c>
      <c r="D134" s="3" t="s">
        <v>154</v>
      </c>
      <c r="E134" s="4" t="s">
        <v>55</v>
      </c>
      <c r="F134" s="5" t="s">
        <v>188</v>
      </c>
      <c r="G134" s="4" t="s">
        <v>56</v>
      </c>
      <c r="H134" s="66" t="s">
        <v>156</v>
      </c>
      <c r="I134" s="66"/>
      <c r="J134" s="66"/>
      <c r="K134" s="67"/>
      <c r="L134" s="11">
        <v>2</v>
      </c>
      <c r="M134" s="12">
        <v>853.6</v>
      </c>
      <c r="N134" s="13"/>
      <c r="O134" s="14"/>
      <c r="P134" s="15"/>
      <c r="Q134" s="16"/>
      <c r="R134" s="17">
        <v>1000</v>
      </c>
      <c r="S134" s="17">
        <f t="shared" si="14"/>
        <v>853600</v>
      </c>
      <c r="T134" s="18"/>
      <c r="U134" s="19"/>
      <c r="V134" s="20"/>
      <c r="W134" s="21"/>
      <c r="X134" s="17"/>
      <c r="Y134" s="22" t="s">
        <v>216</v>
      </c>
      <c r="Z134" s="142">
        <f t="shared" si="10"/>
        <v>-853600</v>
      </c>
    </row>
    <row r="135" spans="1:31" ht="16" customHeight="1" x14ac:dyDescent="0.45">
      <c r="A135" s="69">
        <v>2602</v>
      </c>
      <c r="B135" s="2">
        <v>46057</v>
      </c>
      <c r="C135" s="150" t="s">
        <v>171</v>
      </c>
      <c r="D135" s="3" t="s">
        <v>154</v>
      </c>
      <c r="E135" s="4" t="s">
        <v>55</v>
      </c>
      <c r="F135" s="5" t="s">
        <v>188</v>
      </c>
      <c r="G135" s="4" t="s">
        <v>56</v>
      </c>
      <c r="H135" s="66" t="s">
        <v>140</v>
      </c>
      <c r="I135" s="66"/>
      <c r="J135" s="66"/>
      <c r="K135" s="67"/>
      <c r="L135" s="11">
        <v>1</v>
      </c>
      <c r="M135" s="12">
        <v>215.1</v>
      </c>
      <c r="N135" s="13"/>
      <c r="O135" s="14"/>
      <c r="P135" s="15"/>
      <c r="Q135" s="16"/>
      <c r="R135" s="17">
        <v>1000</v>
      </c>
      <c r="S135" s="17">
        <f t="shared" si="14"/>
        <v>215100</v>
      </c>
      <c r="T135" s="18"/>
      <c r="U135" s="19"/>
      <c r="V135" s="20"/>
      <c r="W135" s="21"/>
      <c r="X135" s="17"/>
      <c r="Y135" s="22" t="s">
        <v>216</v>
      </c>
      <c r="Z135" s="142">
        <f t="shared" si="10"/>
        <v>-215100</v>
      </c>
    </row>
    <row r="136" spans="1:31" ht="16" customHeight="1" x14ac:dyDescent="0.45">
      <c r="A136" s="69">
        <v>2602</v>
      </c>
      <c r="B136" s="2">
        <v>46056</v>
      </c>
      <c r="C136" s="150" t="s">
        <v>171</v>
      </c>
      <c r="D136" s="3" t="s">
        <v>154</v>
      </c>
      <c r="E136" s="4" t="s">
        <v>55</v>
      </c>
      <c r="F136" s="5" t="s">
        <v>188</v>
      </c>
      <c r="G136" s="4" t="s">
        <v>56</v>
      </c>
      <c r="H136" s="66" t="s">
        <v>235</v>
      </c>
      <c r="I136" s="66"/>
      <c r="J136" s="66"/>
      <c r="K136" s="67"/>
      <c r="L136" s="11">
        <v>1</v>
      </c>
      <c r="M136" s="12">
        <v>422</v>
      </c>
      <c r="N136" s="13"/>
      <c r="O136" s="14"/>
      <c r="P136" s="15"/>
      <c r="Q136" s="16"/>
      <c r="R136" s="17">
        <v>1000</v>
      </c>
      <c r="S136" s="17">
        <f t="shared" si="14"/>
        <v>422000</v>
      </c>
      <c r="T136" s="18"/>
      <c r="U136" s="19"/>
      <c r="V136" s="20"/>
      <c r="W136" s="21"/>
      <c r="X136" s="17"/>
      <c r="Y136" s="22" t="s">
        <v>216</v>
      </c>
      <c r="Z136" s="142">
        <f t="shared" si="10"/>
        <v>-422000</v>
      </c>
    </row>
    <row r="137" spans="1:31" s="68" customFormat="1" ht="16" customHeight="1" x14ac:dyDescent="0.45">
      <c r="A137" s="69">
        <v>2602</v>
      </c>
      <c r="B137" s="2">
        <v>46056</v>
      </c>
      <c r="C137" s="150" t="s">
        <v>171</v>
      </c>
      <c r="D137" s="3" t="s">
        <v>154</v>
      </c>
      <c r="E137" s="4" t="s">
        <v>55</v>
      </c>
      <c r="F137" s="5" t="s">
        <v>188</v>
      </c>
      <c r="G137" s="4" t="s">
        <v>56</v>
      </c>
      <c r="H137" s="66" t="s">
        <v>140</v>
      </c>
      <c r="I137" s="66"/>
      <c r="J137" s="66"/>
      <c r="K137" s="67"/>
      <c r="L137" s="11">
        <v>1</v>
      </c>
      <c r="M137" s="12">
        <v>215.3</v>
      </c>
      <c r="N137" s="13"/>
      <c r="O137" s="14"/>
      <c r="P137" s="15"/>
      <c r="Q137" s="16"/>
      <c r="R137" s="17">
        <v>1000</v>
      </c>
      <c r="S137" s="17">
        <f t="shared" si="14"/>
        <v>215300</v>
      </c>
      <c r="T137" s="18"/>
      <c r="U137" s="19"/>
      <c r="V137" s="20"/>
      <c r="W137" s="21"/>
      <c r="X137" s="17"/>
      <c r="Y137" s="22" t="s">
        <v>216</v>
      </c>
      <c r="Z137" s="142">
        <f t="shared" si="10"/>
        <v>-215300</v>
      </c>
      <c r="AA137"/>
      <c r="AB137"/>
      <c r="AC137"/>
      <c r="AD137"/>
      <c r="AE137"/>
    </row>
    <row r="138" spans="1:31" ht="16" customHeight="1" x14ac:dyDescent="0.45">
      <c r="A138" s="69">
        <v>2602</v>
      </c>
      <c r="B138" s="2">
        <v>46056</v>
      </c>
      <c r="C138" s="150" t="s">
        <v>171</v>
      </c>
      <c r="D138" s="3" t="s">
        <v>154</v>
      </c>
      <c r="E138" s="4" t="s">
        <v>55</v>
      </c>
      <c r="F138" s="5" t="s">
        <v>188</v>
      </c>
      <c r="G138" s="4" t="s">
        <v>56</v>
      </c>
      <c r="H138" s="66" t="s">
        <v>156</v>
      </c>
      <c r="I138" s="66"/>
      <c r="J138" s="66"/>
      <c r="K138" s="67"/>
      <c r="L138" s="11">
        <v>1</v>
      </c>
      <c r="M138" s="12">
        <v>424.8</v>
      </c>
      <c r="N138" s="13"/>
      <c r="O138" s="14"/>
      <c r="P138" s="15"/>
      <c r="Q138" s="16"/>
      <c r="R138" s="17">
        <v>1000</v>
      </c>
      <c r="S138" s="17">
        <f t="shared" si="14"/>
        <v>424800</v>
      </c>
      <c r="T138" s="18"/>
      <c r="U138" s="19"/>
      <c r="V138" s="20"/>
      <c r="W138" s="21"/>
      <c r="X138" s="17"/>
      <c r="Y138" s="22" t="s">
        <v>216</v>
      </c>
      <c r="Z138" s="142">
        <f t="shared" si="10"/>
        <v>-424800</v>
      </c>
    </row>
    <row r="139" spans="1:31" ht="16" customHeight="1" x14ac:dyDescent="0.45">
      <c r="A139" s="69">
        <v>2602</v>
      </c>
      <c r="B139" s="2">
        <v>46055</v>
      </c>
      <c r="C139" s="150" t="s">
        <v>171</v>
      </c>
      <c r="D139" s="3" t="s">
        <v>154</v>
      </c>
      <c r="E139" s="4" t="s">
        <v>55</v>
      </c>
      <c r="F139" s="5" t="s">
        <v>188</v>
      </c>
      <c r="G139" s="4" t="s">
        <v>56</v>
      </c>
      <c r="H139" s="66" t="s">
        <v>164</v>
      </c>
      <c r="I139" s="66"/>
      <c r="J139" s="66"/>
      <c r="K139" s="67"/>
      <c r="L139" s="11">
        <v>2</v>
      </c>
      <c r="M139" s="12">
        <v>839.9</v>
      </c>
      <c r="N139" s="13"/>
      <c r="O139" s="14"/>
      <c r="P139" s="15"/>
      <c r="Q139" s="16"/>
      <c r="R139" s="17">
        <v>1000</v>
      </c>
      <c r="S139" s="17">
        <f t="shared" si="14"/>
        <v>839900</v>
      </c>
      <c r="T139" s="18"/>
      <c r="U139" s="19"/>
      <c r="V139" s="20"/>
      <c r="W139" s="21"/>
      <c r="X139" s="17"/>
      <c r="Y139" s="22" t="s">
        <v>216</v>
      </c>
      <c r="Z139" s="142">
        <f t="shared" si="10"/>
        <v>-839900</v>
      </c>
    </row>
    <row r="140" spans="1:31" ht="16" customHeight="1" x14ac:dyDescent="0.45">
      <c r="A140" s="69">
        <v>2602</v>
      </c>
      <c r="B140" s="2">
        <v>46055</v>
      </c>
      <c r="C140" s="150" t="s">
        <v>171</v>
      </c>
      <c r="D140" s="3" t="s">
        <v>154</v>
      </c>
      <c r="E140" s="4" t="s">
        <v>55</v>
      </c>
      <c r="F140" s="5" t="s">
        <v>188</v>
      </c>
      <c r="G140" s="4" t="s">
        <v>56</v>
      </c>
      <c r="H140" s="66" t="s">
        <v>140</v>
      </c>
      <c r="I140" s="66"/>
      <c r="J140" s="66"/>
      <c r="K140" s="67"/>
      <c r="L140" s="11">
        <v>1</v>
      </c>
      <c r="M140" s="12">
        <v>217</v>
      </c>
      <c r="N140" s="13"/>
      <c r="O140" s="14"/>
      <c r="P140" s="15"/>
      <c r="Q140" s="16"/>
      <c r="R140" s="17">
        <v>1000</v>
      </c>
      <c r="S140" s="17">
        <f t="shared" si="14"/>
        <v>217000</v>
      </c>
      <c r="T140" s="18"/>
      <c r="U140" s="19"/>
      <c r="V140" s="20"/>
      <c r="W140" s="21"/>
      <c r="X140" s="17"/>
      <c r="Y140" s="22" t="s">
        <v>216</v>
      </c>
      <c r="Z140" s="142">
        <f t="shared" si="10"/>
        <v>-217000</v>
      </c>
    </row>
    <row r="141" spans="1:31" ht="16" customHeight="1" x14ac:dyDescent="0.45">
      <c r="A141" s="69">
        <v>2602</v>
      </c>
      <c r="B141" s="2">
        <v>46073</v>
      </c>
      <c r="C141" s="153" t="s">
        <v>171</v>
      </c>
      <c r="D141" s="3" t="s">
        <v>154</v>
      </c>
      <c r="E141" s="4" t="s">
        <v>55</v>
      </c>
      <c r="F141" s="5" t="s">
        <v>188</v>
      </c>
      <c r="G141" s="4" t="s">
        <v>56</v>
      </c>
      <c r="H141" s="123" t="s">
        <v>235</v>
      </c>
      <c r="I141" s="66"/>
      <c r="J141" s="66"/>
      <c r="K141" s="67"/>
      <c r="L141" s="11"/>
      <c r="M141" s="12">
        <v>1266.2</v>
      </c>
      <c r="N141" s="13"/>
      <c r="O141" s="14"/>
      <c r="P141" s="15"/>
      <c r="Q141" s="16"/>
      <c r="R141" s="17">
        <v>1000</v>
      </c>
      <c r="S141" s="17">
        <f t="shared" si="14"/>
        <v>1266200</v>
      </c>
      <c r="T141" s="18"/>
      <c r="U141" s="19"/>
      <c r="V141" s="20"/>
      <c r="W141" s="21"/>
      <c r="X141" s="17"/>
      <c r="Y141" s="22" t="s">
        <v>216</v>
      </c>
      <c r="Z141" s="142">
        <f t="shared" si="10"/>
        <v>-1266200</v>
      </c>
    </row>
    <row r="142" spans="1:31" ht="16" customHeight="1" x14ac:dyDescent="0.45">
      <c r="A142" s="69">
        <v>2602</v>
      </c>
      <c r="B142" s="70">
        <v>46077</v>
      </c>
      <c r="C142" s="149" t="s">
        <v>39</v>
      </c>
      <c r="D142" s="134" t="s">
        <v>170</v>
      </c>
      <c r="E142" s="72" t="s">
        <v>48</v>
      </c>
      <c r="F142" s="73" t="s">
        <v>177</v>
      </c>
      <c r="G142" s="72" t="s">
        <v>48</v>
      </c>
      <c r="H142" s="74" t="s">
        <v>248</v>
      </c>
      <c r="I142" s="74" t="s">
        <v>49</v>
      </c>
      <c r="J142" s="74"/>
      <c r="K142" s="75"/>
      <c r="L142" s="76"/>
      <c r="M142" s="77"/>
      <c r="N142" s="78"/>
      <c r="O142" s="79">
        <v>1920</v>
      </c>
      <c r="P142" s="131"/>
      <c r="Q142" s="132"/>
      <c r="R142" s="133">
        <v>1850</v>
      </c>
      <c r="S142" s="133">
        <f>O142*R142</f>
        <v>3552000</v>
      </c>
      <c r="T142" s="80"/>
      <c r="U142" s="81"/>
      <c r="V142" s="82">
        <v>4757</v>
      </c>
      <c r="W142" s="83">
        <f>O142*V142</f>
        <v>9133440</v>
      </c>
      <c r="X142" s="133"/>
      <c r="Y142" s="134" t="s">
        <v>192</v>
      </c>
      <c r="Z142" s="142">
        <f t="shared" si="10"/>
        <v>5581440</v>
      </c>
      <c r="AA142" s="68"/>
      <c r="AB142" s="68"/>
      <c r="AC142" s="68"/>
      <c r="AD142" s="68"/>
      <c r="AE142" s="68"/>
    </row>
    <row r="143" spans="1:31" ht="16" customHeight="1" x14ac:dyDescent="0.45">
      <c r="A143" s="69">
        <v>2602</v>
      </c>
      <c r="B143" s="2">
        <v>46063</v>
      </c>
      <c r="C143" s="150" t="s">
        <v>171</v>
      </c>
      <c r="D143" s="3" t="s">
        <v>160</v>
      </c>
      <c r="E143" s="4" t="s">
        <v>64</v>
      </c>
      <c r="F143" s="5" t="s">
        <v>188</v>
      </c>
      <c r="G143" s="4" t="s">
        <v>56</v>
      </c>
      <c r="H143" s="66" t="s">
        <v>171</v>
      </c>
      <c r="I143" s="66"/>
      <c r="J143" s="66"/>
      <c r="K143" s="67"/>
      <c r="L143" s="11">
        <v>122</v>
      </c>
      <c r="M143" s="12">
        <v>2509</v>
      </c>
      <c r="N143" s="13"/>
      <c r="O143" s="14"/>
      <c r="P143" s="15"/>
      <c r="Q143" s="16"/>
      <c r="R143" s="17">
        <v>2000</v>
      </c>
      <c r="S143" s="17">
        <f>M143*R143</f>
        <v>5018000</v>
      </c>
      <c r="T143" s="18"/>
      <c r="U143" s="19"/>
      <c r="V143" s="20"/>
      <c r="W143" s="21"/>
      <c r="X143" s="17"/>
      <c r="Y143" s="22" t="s">
        <v>186</v>
      </c>
      <c r="Z143" s="142">
        <f t="shared" si="10"/>
        <v>-5018000</v>
      </c>
    </row>
    <row r="144" spans="1:31" s="68" customFormat="1" ht="16" customHeight="1" x14ac:dyDescent="0.45">
      <c r="A144" s="69">
        <v>2602</v>
      </c>
      <c r="B144" s="2">
        <v>46063</v>
      </c>
      <c r="C144" s="150" t="s">
        <v>171</v>
      </c>
      <c r="D144" s="3" t="s">
        <v>55</v>
      </c>
      <c r="E144" s="4" t="s">
        <v>64</v>
      </c>
      <c r="F144" s="5" t="s">
        <v>188</v>
      </c>
      <c r="G144" s="4" t="s">
        <v>56</v>
      </c>
      <c r="H144" s="66" t="s">
        <v>61</v>
      </c>
      <c r="I144" s="66"/>
      <c r="J144" s="66"/>
      <c r="K144" s="67"/>
      <c r="L144" s="11">
        <v>58</v>
      </c>
      <c r="M144" s="12">
        <v>1015</v>
      </c>
      <c r="N144" s="13"/>
      <c r="O144" s="14"/>
      <c r="P144" s="15"/>
      <c r="Q144" s="16"/>
      <c r="R144" s="17">
        <v>2000</v>
      </c>
      <c r="S144" s="17">
        <f>M144*R144</f>
        <v>2030000</v>
      </c>
      <c r="T144" s="18"/>
      <c r="U144" s="19"/>
      <c r="V144" s="20"/>
      <c r="W144" s="21"/>
      <c r="X144" s="17"/>
      <c r="Y144" s="22" t="s">
        <v>186</v>
      </c>
      <c r="Z144" s="142">
        <f t="shared" si="10"/>
        <v>-2030000</v>
      </c>
      <c r="AA144"/>
      <c r="AB144"/>
      <c r="AC144"/>
      <c r="AD144"/>
      <c r="AE144"/>
    </row>
    <row r="145" spans="1:31" s="68" customFormat="1" ht="16" customHeight="1" x14ac:dyDescent="0.45">
      <c r="A145" s="69">
        <v>2602</v>
      </c>
      <c r="B145" s="2">
        <v>46072</v>
      </c>
      <c r="C145" s="150" t="s">
        <v>171</v>
      </c>
      <c r="D145" s="3" t="s">
        <v>55</v>
      </c>
      <c r="E145" s="4" t="s">
        <v>64</v>
      </c>
      <c r="F145" s="5" t="s">
        <v>188</v>
      </c>
      <c r="G145" s="4" t="s">
        <v>56</v>
      </c>
      <c r="H145" s="66" t="s">
        <v>171</v>
      </c>
      <c r="I145" s="66"/>
      <c r="J145" s="66"/>
      <c r="K145" s="67"/>
      <c r="L145" s="11">
        <v>168</v>
      </c>
      <c r="M145" s="12">
        <v>2940</v>
      </c>
      <c r="N145" s="13"/>
      <c r="O145" s="14"/>
      <c r="P145" s="15"/>
      <c r="Q145" s="16"/>
      <c r="R145" s="17">
        <v>2000</v>
      </c>
      <c r="S145" s="17">
        <f>M145*R145</f>
        <v>5880000</v>
      </c>
      <c r="T145" s="18"/>
      <c r="U145" s="19"/>
      <c r="V145" s="20"/>
      <c r="W145" s="21"/>
      <c r="X145" s="17"/>
      <c r="Y145" s="22" t="s">
        <v>186</v>
      </c>
      <c r="Z145" s="142">
        <f t="shared" si="10"/>
        <v>-5880000</v>
      </c>
      <c r="AA145"/>
      <c r="AB145"/>
      <c r="AC145"/>
      <c r="AD145"/>
      <c r="AE145"/>
    </row>
    <row r="146" spans="1:31" s="68" customFormat="1" ht="16" customHeight="1" x14ac:dyDescent="0.45">
      <c r="A146" s="69">
        <v>2602</v>
      </c>
      <c r="B146" s="2">
        <v>46077</v>
      </c>
      <c r="C146" s="153" t="s">
        <v>249</v>
      </c>
      <c r="D146" s="3" t="s">
        <v>108</v>
      </c>
      <c r="E146" s="4" t="s">
        <v>64</v>
      </c>
      <c r="F146" s="5" t="s">
        <v>188</v>
      </c>
      <c r="G146" s="4" t="s">
        <v>42</v>
      </c>
      <c r="H146" s="123" t="s">
        <v>110</v>
      </c>
      <c r="I146" s="66"/>
      <c r="J146" s="66"/>
      <c r="K146" s="67"/>
      <c r="L146" s="11">
        <v>9</v>
      </c>
      <c r="M146" s="12">
        <v>180.5</v>
      </c>
      <c r="N146" s="13"/>
      <c r="O146" s="14"/>
      <c r="P146" s="15"/>
      <c r="Q146" s="16"/>
      <c r="R146" s="17">
        <v>3700</v>
      </c>
      <c r="S146" s="17">
        <f>M146*R146</f>
        <v>667850</v>
      </c>
      <c r="T146" s="18"/>
      <c r="U146" s="19"/>
      <c r="V146" s="20"/>
      <c r="W146" s="21"/>
      <c r="X146" s="17"/>
      <c r="Y146" s="22" t="s">
        <v>181</v>
      </c>
      <c r="Z146" s="142">
        <f t="shared" si="10"/>
        <v>-667850</v>
      </c>
      <c r="AA146"/>
      <c r="AB146"/>
      <c r="AC146"/>
      <c r="AD146"/>
      <c r="AE146"/>
    </row>
    <row r="147" spans="1:31" s="68" customFormat="1" ht="16" customHeight="1" x14ac:dyDescent="0.45">
      <c r="A147" s="69">
        <v>2602</v>
      </c>
      <c r="B147" s="70">
        <v>46067</v>
      </c>
      <c r="C147" s="149" t="s">
        <v>250</v>
      </c>
      <c r="D147" s="71" t="s">
        <v>85</v>
      </c>
      <c r="E147" s="72" t="s">
        <v>251</v>
      </c>
      <c r="F147" s="73" t="s">
        <v>195</v>
      </c>
      <c r="G147" s="72" t="s">
        <v>252</v>
      </c>
      <c r="H147" s="74" t="s">
        <v>145</v>
      </c>
      <c r="I147" s="74" t="s">
        <v>141</v>
      </c>
      <c r="J147" s="74"/>
      <c r="K147" s="75"/>
      <c r="L147" s="76"/>
      <c r="M147" s="77"/>
      <c r="N147" s="78">
        <v>14061</v>
      </c>
      <c r="O147" s="79"/>
      <c r="P147" s="131"/>
      <c r="Q147" s="132"/>
      <c r="R147" s="133">
        <v>920</v>
      </c>
      <c r="S147" s="133">
        <f>N147*R147</f>
        <v>12936120</v>
      </c>
      <c r="T147" s="80"/>
      <c r="U147" s="81"/>
      <c r="V147" s="82">
        <v>1400</v>
      </c>
      <c r="W147" s="83">
        <f>N147*V147</f>
        <v>19685400</v>
      </c>
      <c r="X147" s="133"/>
      <c r="Y147" s="134" t="s">
        <v>196</v>
      </c>
      <c r="Z147" s="142">
        <f t="shared" si="10"/>
        <v>6749280</v>
      </c>
    </row>
    <row r="148" spans="1:31" ht="16" customHeight="1" x14ac:dyDescent="0.45">
      <c r="A148" s="69">
        <v>2602</v>
      </c>
      <c r="B148" s="70">
        <v>46050</v>
      </c>
      <c r="C148" s="149" t="s">
        <v>253</v>
      </c>
      <c r="D148" s="71" t="s">
        <v>64</v>
      </c>
      <c r="E148" s="72" t="s">
        <v>56</v>
      </c>
      <c r="F148" s="73" t="s">
        <v>188</v>
      </c>
      <c r="G148" s="72" t="s">
        <v>56</v>
      </c>
      <c r="H148" s="74" t="s">
        <v>60</v>
      </c>
      <c r="I148" s="74" t="s">
        <v>74</v>
      </c>
      <c r="J148" s="74"/>
      <c r="K148" s="85" t="s">
        <v>92</v>
      </c>
      <c r="L148" s="76">
        <v>20</v>
      </c>
      <c r="M148" s="77">
        <v>342.2</v>
      </c>
      <c r="N148" s="78"/>
      <c r="O148" s="79">
        <v>623</v>
      </c>
      <c r="P148" s="131"/>
      <c r="Q148" s="132"/>
      <c r="R148" s="133" t="s">
        <v>254</v>
      </c>
      <c r="S148" s="133">
        <v>0</v>
      </c>
      <c r="T148" s="141">
        <f>N148*S148</f>
        <v>0</v>
      </c>
      <c r="U148" s="141">
        <f>O148*T148</f>
        <v>0</v>
      </c>
      <c r="V148" s="82">
        <v>5750</v>
      </c>
      <c r="W148" s="83">
        <f t="shared" ref="W148:W158" si="15">O148*V148</f>
        <v>3582250</v>
      </c>
      <c r="X148" s="133"/>
      <c r="Y148" s="134" t="s">
        <v>230</v>
      </c>
      <c r="Z148" s="142">
        <f t="shared" si="10"/>
        <v>3582250</v>
      </c>
      <c r="AA148" s="142"/>
      <c r="AB148" s="142"/>
      <c r="AC148" s="142"/>
      <c r="AD148" s="142"/>
      <c r="AE148" s="142"/>
    </row>
    <row r="149" spans="1:31" ht="16" customHeight="1" x14ac:dyDescent="0.45">
      <c r="A149" s="69">
        <v>2602</v>
      </c>
      <c r="B149" s="70">
        <v>46050</v>
      </c>
      <c r="C149" s="149" t="s">
        <v>253</v>
      </c>
      <c r="D149" s="71" t="s">
        <v>64</v>
      </c>
      <c r="E149" s="72" t="s">
        <v>56</v>
      </c>
      <c r="F149" s="73" t="s">
        <v>188</v>
      </c>
      <c r="G149" s="72" t="s">
        <v>56</v>
      </c>
      <c r="H149" s="74" t="s">
        <v>60</v>
      </c>
      <c r="I149" s="74" t="s">
        <v>74</v>
      </c>
      <c r="J149" s="74"/>
      <c r="K149" s="85" t="s">
        <v>93</v>
      </c>
      <c r="L149" s="76">
        <v>20</v>
      </c>
      <c r="M149" s="77">
        <v>314.89999999999998</v>
      </c>
      <c r="N149" s="78"/>
      <c r="O149" s="79">
        <v>637</v>
      </c>
      <c r="P149" s="131"/>
      <c r="Q149" s="132"/>
      <c r="R149" s="133" t="s">
        <v>254</v>
      </c>
      <c r="S149" s="133">
        <v>0</v>
      </c>
      <c r="T149" s="80"/>
      <c r="U149" s="81"/>
      <c r="V149" s="82">
        <v>5750</v>
      </c>
      <c r="W149" s="83">
        <f t="shared" si="15"/>
        <v>3662750</v>
      </c>
      <c r="X149" s="133"/>
      <c r="Y149" s="134" t="s">
        <v>230</v>
      </c>
      <c r="Z149" s="142">
        <f t="shared" si="10"/>
        <v>3662750</v>
      </c>
      <c r="AA149" s="68"/>
      <c r="AB149" s="68"/>
      <c r="AC149" s="68"/>
      <c r="AD149" s="68"/>
      <c r="AE149" s="68"/>
    </row>
    <row r="150" spans="1:31" ht="16" customHeight="1" x14ac:dyDescent="0.45">
      <c r="A150" s="69">
        <v>2602</v>
      </c>
      <c r="B150" s="70">
        <v>46063</v>
      </c>
      <c r="C150" s="149" t="s">
        <v>171</v>
      </c>
      <c r="D150" s="71" t="s">
        <v>64</v>
      </c>
      <c r="E150" s="72" t="s">
        <v>56</v>
      </c>
      <c r="F150" s="73" t="s">
        <v>188</v>
      </c>
      <c r="G150" s="72" t="s">
        <v>56</v>
      </c>
      <c r="H150" s="74" t="s">
        <v>65</v>
      </c>
      <c r="I150" s="74" t="s">
        <v>66</v>
      </c>
      <c r="J150" s="74"/>
      <c r="K150" s="85" t="s">
        <v>94</v>
      </c>
      <c r="L150" s="76">
        <v>32</v>
      </c>
      <c r="M150" s="77">
        <v>448</v>
      </c>
      <c r="N150" s="78"/>
      <c r="O150" s="79">
        <v>715</v>
      </c>
      <c r="P150" s="131"/>
      <c r="Q150" s="132"/>
      <c r="R150" s="133">
        <v>2500</v>
      </c>
      <c r="S150" s="133">
        <f t="shared" ref="S150:S158" si="16">M150*R150</f>
        <v>1120000</v>
      </c>
      <c r="T150" s="80"/>
      <c r="U150" s="81"/>
      <c r="V150" s="82">
        <v>6566</v>
      </c>
      <c r="W150" s="83">
        <f t="shared" si="15"/>
        <v>4694690</v>
      </c>
      <c r="X150" s="133"/>
      <c r="Y150" s="134" t="s">
        <v>230</v>
      </c>
      <c r="Z150" s="142">
        <f t="shared" si="10"/>
        <v>3574690</v>
      </c>
      <c r="AA150" s="68"/>
      <c r="AB150" s="68"/>
      <c r="AC150" s="68"/>
      <c r="AD150" s="68"/>
      <c r="AE150" s="68"/>
    </row>
    <row r="151" spans="1:31" ht="16" customHeight="1" x14ac:dyDescent="0.45">
      <c r="A151" s="69">
        <v>2602</v>
      </c>
      <c r="B151" s="70">
        <v>46063</v>
      </c>
      <c r="C151" s="149" t="s">
        <v>171</v>
      </c>
      <c r="D151" s="71" t="s">
        <v>64</v>
      </c>
      <c r="E151" s="72" t="s">
        <v>56</v>
      </c>
      <c r="F151" s="73" t="s">
        <v>188</v>
      </c>
      <c r="G151" s="72" t="s">
        <v>56</v>
      </c>
      <c r="H151" s="74" t="s">
        <v>65</v>
      </c>
      <c r="I151" s="74" t="s">
        <v>66</v>
      </c>
      <c r="J151" s="74"/>
      <c r="K151" s="85" t="s">
        <v>87</v>
      </c>
      <c r="L151" s="76">
        <v>32</v>
      </c>
      <c r="M151" s="77">
        <v>463.3</v>
      </c>
      <c r="N151" s="78"/>
      <c r="O151" s="79">
        <v>725</v>
      </c>
      <c r="P151" s="131"/>
      <c r="Q151" s="132"/>
      <c r="R151" s="133">
        <v>2500</v>
      </c>
      <c r="S151" s="133">
        <f t="shared" si="16"/>
        <v>1158250</v>
      </c>
      <c r="T151" s="80"/>
      <c r="U151" s="81"/>
      <c r="V151" s="82">
        <v>6566</v>
      </c>
      <c r="W151" s="83">
        <f t="shared" si="15"/>
        <v>4760350</v>
      </c>
      <c r="X151" s="133"/>
      <c r="Y151" s="134" t="s">
        <v>230</v>
      </c>
      <c r="Z151" s="142">
        <f t="shared" si="10"/>
        <v>3602100</v>
      </c>
      <c r="AA151" s="68"/>
      <c r="AB151" s="68"/>
      <c r="AC151" s="68"/>
      <c r="AD151" s="68"/>
      <c r="AE151" s="68"/>
    </row>
    <row r="152" spans="1:31" ht="16" customHeight="1" x14ac:dyDescent="0.45">
      <c r="A152" s="69">
        <v>2602</v>
      </c>
      <c r="B152" s="70">
        <v>46063</v>
      </c>
      <c r="C152" s="149" t="s">
        <v>171</v>
      </c>
      <c r="D152" s="71" t="s">
        <v>64</v>
      </c>
      <c r="E152" s="72" t="s">
        <v>56</v>
      </c>
      <c r="F152" s="73" t="s">
        <v>188</v>
      </c>
      <c r="G152" s="72" t="s">
        <v>56</v>
      </c>
      <c r="H152" s="74" t="s">
        <v>65</v>
      </c>
      <c r="I152" s="74" t="s">
        <v>66</v>
      </c>
      <c r="J152" s="74"/>
      <c r="K152" s="85" t="s">
        <v>77</v>
      </c>
      <c r="L152" s="76">
        <v>24</v>
      </c>
      <c r="M152" s="77">
        <v>452.7</v>
      </c>
      <c r="N152" s="78"/>
      <c r="O152" s="79">
        <v>693</v>
      </c>
      <c r="P152" s="131"/>
      <c r="Q152" s="132"/>
      <c r="R152" s="133">
        <v>2500</v>
      </c>
      <c r="S152" s="133">
        <f t="shared" si="16"/>
        <v>1131750</v>
      </c>
      <c r="T152" s="80"/>
      <c r="U152" s="81"/>
      <c r="V152" s="82">
        <v>6566</v>
      </c>
      <c r="W152" s="83">
        <f t="shared" si="15"/>
        <v>4550238</v>
      </c>
      <c r="X152" s="133"/>
      <c r="Y152" s="134" t="s">
        <v>230</v>
      </c>
      <c r="Z152" s="142">
        <f t="shared" si="10"/>
        <v>3418488</v>
      </c>
      <c r="AA152" s="68"/>
      <c r="AB152" s="68"/>
      <c r="AC152" s="68"/>
      <c r="AD152" s="68"/>
      <c r="AE152" s="68"/>
    </row>
    <row r="153" spans="1:31" ht="16" customHeight="1" x14ac:dyDescent="0.45">
      <c r="A153" s="69">
        <v>2602</v>
      </c>
      <c r="B153" s="70">
        <v>46063</v>
      </c>
      <c r="C153" s="149" t="s">
        <v>171</v>
      </c>
      <c r="D153" s="71" t="s">
        <v>64</v>
      </c>
      <c r="E153" s="72" t="s">
        <v>56</v>
      </c>
      <c r="F153" s="73" t="s">
        <v>188</v>
      </c>
      <c r="G153" s="72" t="s">
        <v>56</v>
      </c>
      <c r="H153" s="74" t="s">
        <v>65</v>
      </c>
      <c r="I153" s="74" t="s">
        <v>66</v>
      </c>
      <c r="J153" s="74"/>
      <c r="K153" s="85" t="s">
        <v>78</v>
      </c>
      <c r="L153" s="76">
        <v>18</v>
      </c>
      <c r="M153" s="77">
        <v>347.4</v>
      </c>
      <c r="N153" s="78"/>
      <c r="O153" s="79">
        <v>532</v>
      </c>
      <c r="P153" s="131"/>
      <c r="Q153" s="132"/>
      <c r="R153" s="133">
        <v>2500</v>
      </c>
      <c r="S153" s="133">
        <f t="shared" si="16"/>
        <v>868500</v>
      </c>
      <c r="T153" s="80"/>
      <c r="U153" s="81"/>
      <c r="V153" s="82">
        <v>6566</v>
      </c>
      <c r="W153" s="140">
        <f t="shared" si="15"/>
        <v>3493112</v>
      </c>
      <c r="X153" s="133"/>
      <c r="Y153" s="134" t="s">
        <v>230</v>
      </c>
      <c r="Z153" s="142">
        <f t="shared" si="10"/>
        <v>2624612</v>
      </c>
      <c r="AA153" s="68"/>
      <c r="AB153" s="68"/>
      <c r="AC153" s="68"/>
      <c r="AD153" s="68"/>
      <c r="AE153" s="68"/>
    </row>
    <row r="154" spans="1:31" ht="16" customHeight="1" x14ac:dyDescent="0.45">
      <c r="A154" s="69">
        <v>2602</v>
      </c>
      <c r="B154" s="70">
        <v>46063</v>
      </c>
      <c r="C154" s="149" t="s">
        <v>171</v>
      </c>
      <c r="D154" s="71" t="s">
        <v>64</v>
      </c>
      <c r="E154" s="72" t="s">
        <v>56</v>
      </c>
      <c r="F154" s="73" t="s">
        <v>188</v>
      </c>
      <c r="G154" s="72" t="s">
        <v>56</v>
      </c>
      <c r="H154" s="74" t="s">
        <v>65</v>
      </c>
      <c r="I154" s="74" t="s">
        <v>66</v>
      </c>
      <c r="J154" s="74"/>
      <c r="K154" s="85" t="s">
        <v>92</v>
      </c>
      <c r="L154" s="76">
        <v>6</v>
      </c>
      <c r="M154" s="77">
        <v>108.3</v>
      </c>
      <c r="N154" s="78"/>
      <c r="O154" s="79">
        <v>169</v>
      </c>
      <c r="P154" s="131"/>
      <c r="Q154" s="132"/>
      <c r="R154" s="133">
        <v>2500</v>
      </c>
      <c r="S154" s="133">
        <f t="shared" si="16"/>
        <v>270750</v>
      </c>
      <c r="T154" s="80"/>
      <c r="U154" s="81"/>
      <c r="V154" s="82">
        <v>6566</v>
      </c>
      <c r="W154" s="140">
        <f t="shared" si="15"/>
        <v>1109654</v>
      </c>
      <c r="X154" s="133"/>
      <c r="Y154" s="134" t="s">
        <v>230</v>
      </c>
      <c r="Z154" s="142">
        <f t="shared" si="10"/>
        <v>838904</v>
      </c>
      <c r="AA154" s="68"/>
      <c r="AB154" s="68"/>
      <c r="AC154" s="68"/>
      <c r="AD154" s="68"/>
      <c r="AE154" s="68"/>
    </row>
    <row r="155" spans="1:31" ht="16" customHeight="1" x14ac:dyDescent="0.45">
      <c r="A155" s="69">
        <v>2602</v>
      </c>
      <c r="B155" s="70">
        <v>46063</v>
      </c>
      <c r="C155" s="149" t="s">
        <v>171</v>
      </c>
      <c r="D155" s="71" t="s">
        <v>64</v>
      </c>
      <c r="E155" s="72" t="s">
        <v>56</v>
      </c>
      <c r="F155" s="73" t="s">
        <v>188</v>
      </c>
      <c r="G155" s="72" t="s">
        <v>56</v>
      </c>
      <c r="H155" s="74" t="s">
        <v>65</v>
      </c>
      <c r="I155" s="74" t="s">
        <v>66</v>
      </c>
      <c r="J155" s="74"/>
      <c r="K155" s="85" t="s">
        <v>93</v>
      </c>
      <c r="L155" s="76">
        <v>30</v>
      </c>
      <c r="M155" s="77">
        <v>556.5</v>
      </c>
      <c r="N155" s="78"/>
      <c r="O155" s="79">
        <v>869</v>
      </c>
      <c r="P155" s="131"/>
      <c r="Q155" s="132"/>
      <c r="R155" s="133">
        <v>2500</v>
      </c>
      <c r="S155" s="133">
        <f t="shared" si="16"/>
        <v>1391250</v>
      </c>
      <c r="T155" s="80"/>
      <c r="U155" s="81"/>
      <c r="V155" s="82">
        <v>6566</v>
      </c>
      <c r="W155" s="83">
        <f t="shared" si="15"/>
        <v>5705854</v>
      </c>
      <c r="X155" s="133"/>
      <c r="Y155" s="134" t="s">
        <v>230</v>
      </c>
      <c r="Z155" s="142">
        <f t="shared" si="10"/>
        <v>4314604</v>
      </c>
      <c r="AA155" s="68"/>
      <c r="AB155" s="68"/>
      <c r="AC155" s="68"/>
      <c r="AD155" s="68"/>
      <c r="AE155" s="68"/>
    </row>
    <row r="156" spans="1:31" ht="16" customHeight="1" x14ac:dyDescent="0.45">
      <c r="A156" s="69">
        <v>2602</v>
      </c>
      <c r="B156" s="70">
        <v>46063</v>
      </c>
      <c r="C156" s="149" t="s">
        <v>171</v>
      </c>
      <c r="D156" s="71" t="s">
        <v>64</v>
      </c>
      <c r="E156" s="72" t="s">
        <v>56</v>
      </c>
      <c r="F156" s="73" t="s">
        <v>188</v>
      </c>
      <c r="G156" s="72" t="s">
        <v>56</v>
      </c>
      <c r="H156" s="74" t="s">
        <v>65</v>
      </c>
      <c r="I156" s="74" t="s">
        <v>66</v>
      </c>
      <c r="J156" s="74"/>
      <c r="K156" s="85" t="s">
        <v>94</v>
      </c>
      <c r="L156" s="76">
        <v>30</v>
      </c>
      <c r="M156" s="77">
        <v>550.6</v>
      </c>
      <c r="N156" s="78"/>
      <c r="O156" s="79">
        <v>858</v>
      </c>
      <c r="P156" s="131"/>
      <c r="Q156" s="132"/>
      <c r="R156" s="133">
        <v>2500</v>
      </c>
      <c r="S156" s="133">
        <f t="shared" si="16"/>
        <v>1376500</v>
      </c>
      <c r="T156" s="80"/>
      <c r="U156" s="81"/>
      <c r="V156" s="82">
        <v>6566</v>
      </c>
      <c r="W156" s="83">
        <f t="shared" si="15"/>
        <v>5633628</v>
      </c>
      <c r="X156" s="133"/>
      <c r="Y156" s="134" t="s">
        <v>230</v>
      </c>
      <c r="Z156" s="142">
        <f t="shared" si="10"/>
        <v>4257128</v>
      </c>
      <c r="AA156" s="68"/>
      <c r="AB156" s="68"/>
      <c r="AC156" s="68"/>
      <c r="AD156" s="68"/>
      <c r="AE156" s="68"/>
    </row>
    <row r="157" spans="1:31" ht="16" customHeight="1" x14ac:dyDescent="0.45">
      <c r="A157" s="69">
        <v>2602</v>
      </c>
      <c r="B157" s="70">
        <v>46063</v>
      </c>
      <c r="C157" s="149" t="s">
        <v>171</v>
      </c>
      <c r="D157" s="71" t="s">
        <v>64</v>
      </c>
      <c r="E157" s="72" t="s">
        <v>56</v>
      </c>
      <c r="F157" s="73" t="s">
        <v>188</v>
      </c>
      <c r="G157" s="72" t="s">
        <v>56</v>
      </c>
      <c r="H157" s="74" t="s">
        <v>65</v>
      </c>
      <c r="I157" s="74" t="s">
        <v>66</v>
      </c>
      <c r="J157" s="74"/>
      <c r="K157" s="85" t="s">
        <v>87</v>
      </c>
      <c r="L157" s="76">
        <v>20</v>
      </c>
      <c r="M157" s="77">
        <v>372.9</v>
      </c>
      <c r="N157" s="78"/>
      <c r="O157" s="79">
        <v>579</v>
      </c>
      <c r="P157" s="131"/>
      <c r="Q157" s="132"/>
      <c r="R157" s="133">
        <v>2500</v>
      </c>
      <c r="S157" s="133">
        <f t="shared" si="16"/>
        <v>932250</v>
      </c>
      <c r="T157" s="80"/>
      <c r="U157" s="81"/>
      <c r="V157" s="82">
        <v>6566</v>
      </c>
      <c r="W157" s="83">
        <f t="shared" si="15"/>
        <v>3801714</v>
      </c>
      <c r="X157" s="133"/>
      <c r="Y157" s="134" t="s">
        <v>230</v>
      </c>
      <c r="Z157" s="142">
        <f t="shared" si="10"/>
        <v>2869464</v>
      </c>
      <c r="AA157" s="68"/>
      <c r="AB157" s="68"/>
      <c r="AC157" s="68"/>
      <c r="AD157" s="68"/>
      <c r="AE157" s="68"/>
    </row>
    <row r="158" spans="1:31" s="68" customFormat="1" ht="16" customHeight="1" x14ac:dyDescent="0.45">
      <c r="A158" s="69">
        <v>2602</v>
      </c>
      <c r="B158" s="70">
        <v>46063</v>
      </c>
      <c r="C158" s="149" t="s">
        <v>171</v>
      </c>
      <c r="D158" s="122" t="s">
        <v>64</v>
      </c>
      <c r="E158" s="72" t="s">
        <v>56</v>
      </c>
      <c r="F158" s="73" t="s">
        <v>188</v>
      </c>
      <c r="G158" s="72" t="s">
        <v>56</v>
      </c>
      <c r="H158" s="74" t="s">
        <v>65</v>
      </c>
      <c r="I158" s="74" t="s">
        <v>66</v>
      </c>
      <c r="J158" s="74"/>
      <c r="K158" s="85" t="s">
        <v>88</v>
      </c>
      <c r="L158" s="76">
        <v>24</v>
      </c>
      <c r="M158" s="77">
        <v>444.7</v>
      </c>
      <c r="N158" s="78"/>
      <c r="O158" s="79">
        <v>688</v>
      </c>
      <c r="P158" s="131"/>
      <c r="Q158" s="132"/>
      <c r="R158" s="133">
        <v>2500</v>
      </c>
      <c r="S158" s="133">
        <f t="shared" si="16"/>
        <v>1111750</v>
      </c>
      <c r="T158" s="80"/>
      <c r="U158" s="81"/>
      <c r="V158" s="82">
        <v>6566</v>
      </c>
      <c r="W158" s="83">
        <f t="shared" si="15"/>
        <v>4517408</v>
      </c>
      <c r="X158" s="133"/>
      <c r="Y158" s="134" t="s">
        <v>230</v>
      </c>
      <c r="Z158" s="142">
        <f t="shared" si="10"/>
        <v>3405658</v>
      </c>
    </row>
    <row r="159" spans="1:31" ht="16" customHeight="1" x14ac:dyDescent="0.45">
      <c r="A159" s="69">
        <v>2602</v>
      </c>
      <c r="B159" s="2">
        <v>46079</v>
      </c>
      <c r="C159" s="154" t="s">
        <v>234</v>
      </c>
      <c r="D159" s="3" t="s">
        <v>85</v>
      </c>
      <c r="E159" s="4" t="s">
        <v>246</v>
      </c>
      <c r="F159" s="5" t="s">
        <v>195</v>
      </c>
      <c r="G159" s="4" t="s">
        <v>130</v>
      </c>
      <c r="H159" s="4" t="s">
        <v>125</v>
      </c>
      <c r="I159" s="66" t="s">
        <v>121</v>
      </c>
      <c r="J159" s="66"/>
      <c r="K159" s="67"/>
      <c r="L159" s="11">
        <v>12</v>
      </c>
      <c r="M159" s="12"/>
      <c r="N159" s="13">
        <v>3309</v>
      </c>
      <c r="O159" s="14"/>
      <c r="P159" s="15"/>
      <c r="Q159" s="16"/>
      <c r="R159" s="17">
        <v>800</v>
      </c>
      <c r="S159" s="17">
        <f>N159*R159</f>
        <v>2647200</v>
      </c>
      <c r="T159" s="18"/>
      <c r="U159" s="19"/>
      <c r="V159" s="20"/>
      <c r="W159" s="21"/>
      <c r="X159" s="17"/>
      <c r="Y159" s="22" t="s">
        <v>196</v>
      </c>
      <c r="Z159" s="142">
        <f t="shared" si="10"/>
        <v>-2647200</v>
      </c>
    </row>
    <row r="160" spans="1:31" ht="16" customHeight="1" x14ac:dyDescent="0.45">
      <c r="A160" s="69">
        <v>2602</v>
      </c>
      <c r="B160" s="2">
        <v>46056</v>
      </c>
      <c r="C160" s="155" t="s">
        <v>39</v>
      </c>
      <c r="D160" s="3" t="s">
        <v>37</v>
      </c>
      <c r="E160" s="4" t="s">
        <v>40</v>
      </c>
      <c r="F160" s="5" t="s">
        <v>177</v>
      </c>
      <c r="G160" s="4" t="s">
        <v>48</v>
      </c>
      <c r="H160" s="126" t="s">
        <v>39</v>
      </c>
      <c r="I160" s="66"/>
      <c r="J160" s="66"/>
      <c r="K160" s="67"/>
      <c r="L160" s="11">
        <v>6</v>
      </c>
      <c r="M160" s="12">
        <v>105</v>
      </c>
      <c r="N160" s="13"/>
      <c r="O160" s="14"/>
      <c r="P160" s="15"/>
      <c r="Q160" s="16"/>
      <c r="R160" s="17">
        <v>3800</v>
      </c>
      <c r="S160" s="17">
        <f>M160*R160</f>
        <v>399000</v>
      </c>
      <c r="T160" s="18"/>
      <c r="U160" s="19"/>
      <c r="V160" s="20"/>
      <c r="W160" s="21"/>
      <c r="X160" s="17"/>
      <c r="Y160" s="22" t="s">
        <v>186</v>
      </c>
      <c r="Z160" s="142">
        <f t="shared" si="10"/>
        <v>-399000</v>
      </c>
    </row>
    <row r="161" spans="1:31" ht="16" customHeight="1" x14ac:dyDescent="0.45">
      <c r="A161" s="69">
        <v>2602</v>
      </c>
      <c r="B161" s="2">
        <v>46055</v>
      </c>
      <c r="C161" s="155" t="s">
        <v>39</v>
      </c>
      <c r="D161" s="3" t="s">
        <v>37</v>
      </c>
      <c r="E161" s="4" t="s">
        <v>40</v>
      </c>
      <c r="F161" s="5" t="s">
        <v>177</v>
      </c>
      <c r="G161" s="4" t="s">
        <v>38</v>
      </c>
      <c r="H161" s="126" t="s">
        <v>39</v>
      </c>
      <c r="I161" s="66"/>
      <c r="J161" s="66"/>
      <c r="K161" s="67"/>
      <c r="L161" s="11">
        <v>8</v>
      </c>
      <c r="M161" s="12">
        <v>140</v>
      </c>
      <c r="N161" s="13"/>
      <c r="O161" s="14"/>
      <c r="P161" s="15"/>
      <c r="Q161" s="16"/>
      <c r="R161" s="17">
        <v>3800</v>
      </c>
      <c r="S161" s="17">
        <f>M161*R161</f>
        <v>532000</v>
      </c>
      <c r="T161" s="18"/>
      <c r="U161" s="19"/>
      <c r="V161" s="20"/>
      <c r="W161" s="21"/>
      <c r="X161" s="17"/>
      <c r="Y161" s="22" t="s">
        <v>186</v>
      </c>
      <c r="Z161" s="142">
        <f t="shared" si="10"/>
        <v>-532000</v>
      </c>
    </row>
    <row r="162" spans="1:31" ht="16" customHeight="1" x14ac:dyDescent="0.45">
      <c r="A162" s="69">
        <v>2602</v>
      </c>
      <c r="B162" s="2">
        <v>46055</v>
      </c>
      <c r="C162" s="155" t="s">
        <v>39</v>
      </c>
      <c r="D162" s="3" t="s">
        <v>37</v>
      </c>
      <c r="E162" s="4" t="s">
        <v>40</v>
      </c>
      <c r="F162" s="5" t="s">
        <v>177</v>
      </c>
      <c r="G162" s="4" t="s">
        <v>48</v>
      </c>
      <c r="H162" s="126" t="s">
        <v>39</v>
      </c>
      <c r="I162" s="66"/>
      <c r="J162" s="66"/>
      <c r="K162" s="67"/>
      <c r="L162" s="11">
        <v>3</v>
      </c>
      <c r="M162" s="12">
        <v>52.5</v>
      </c>
      <c r="N162" s="13"/>
      <c r="O162" s="14"/>
      <c r="P162" s="15"/>
      <c r="Q162" s="16"/>
      <c r="R162" s="17">
        <v>3800</v>
      </c>
      <c r="S162" s="17">
        <f>M162*R162</f>
        <v>199500</v>
      </c>
      <c r="T162" s="18"/>
      <c r="U162" s="19"/>
      <c r="V162" s="20"/>
      <c r="W162" s="21"/>
      <c r="X162" s="17"/>
      <c r="Y162" s="22" t="s">
        <v>186</v>
      </c>
      <c r="Z162" s="142">
        <f t="shared" si="10"/>
        <v>-199500</v>
      </c>
    </row>
    <row r="163" spans="1:31" s="68" customFormat="1" ht="16" customHeight="1" x14ac:dyDescent="0.45">
      <c r="A163" s="69">
        <v>2602</v>
      </c>
      <c r="B163" s="2">
        <v>46073</v>
      </c>
      <c r="C163" s="155" t="s">
        <v>39</v>
      </c>
      <c r="D163" s="3" t="s">
        <v>37</v>
      </c>
      <c r="E163" s="4" t="s">
        <v>40</v>
      </c>
      <c r="F163" s="5" t="s">
        <v>177</v>
      </c>
      <c r="G163" s="4" t="s">
        <v>38</v>
      </c>
      <c r="H163" s="126" t="s">
        <v>39</v>
      </c>
      <c r="I163" s="66"/>
      <c r="J163" s="66"/>
      <c r="K163" s="67"/>
      <c r="L163" s="11">
        <v>1</v>
      </c>
      <c r="M163" s="12">
        <v>17.5</v>
      </c>
      <c r="N163" s="13"/>
      <c r="O163" s="14"/>
      <c r="P163" s="15"/>
      <c r="Q163" s="16"/>
      <c r="R163" s="17">
        <v>3800</v>
      </c>
      <c r="S163" s="17">
        <f>M163*R163</f>
        <v>66500</v>
      </c>
      <c r="T163" s="18"/>
      <c r="U163" s="19"/>
      <c r="V163" s="20"/>
      <c r="W163" s="21"/>
      <c r="X163" s="17"/>
      <c r="Y163" s="22" t="s">
        <v>186</v>
      </c>
      <c r="Z163" s="142">
        <f t="shared" si="10"/>
        <v>-66500</v>
      </c>
      <c r="AA163"/>
      <c r="AB163"/>
      <c r="AC163"/>
      <c r="AD163"/>
      <c r="AE163"/>
    </row>
    <row r="164" spans="1:31" s="68" customFormat="1" ht="16" customHeight="1" x14ac:dyDescent="0.45">
      <c r="A164" s="69">
        <v>2602</v>
      </c>
      <c r="B164" s="70">
        <v>46062</v>
      </c>
      <c r="C164" s="156" t="s">
        <v>255</v>
      </c>
      <c r="D164" s="71" t="s">
        <v>170</v>
      </c>
      <c r="E164" s="72" t="s">
        <v>50</v>
      </c>
      <c r="F164" s="73" t="s">
        <v>177</v>
      </c>
      <c r="G164" s="72" t="s">
        <v>50</v>
      </c>
      <c r="H164" s="125" t="s">
        <v>51</v>
      </c>
      <c r="I164" s="74" t="s">
        <v>52</v>
      </c>
      <c r="J164" s="74"/>
      <c r="K164" s="75"/>
      <c r="L164" s="76"/>
      <c r="M164" s="77"/>
      <c r="N164" s="78"/>
      <c r="O164" s="79">
        <v>5714</v>
      </c>
      <c r="P164" s="131"/>
      <c r="Q164" s="132"/>
      <c r="R164" s="133">
        <v>1850</v>
      </c>
      <c r="S164" s="133">
        <f t="shared" ref="S164:S171" si="17">O164*R164</f>
        <v>10570900</v>
      </c>
      <c r="T164" s="80"/>
      <c r="U164" s="81"/>
      <c r="V164" s="82">
        <v>3595</v>
      </c>
      <c r="W164" s="83">
        <f t="shared" ref="W164:W171" si="18">O164*V164</f>
        <v>20541830</v>
      </c>
      <c r="X164" s="133"/>
      <c r="Y164" s="134" t="s">
        <v>192</v>
      </c>
      <c r="Z164" s="142">
        <f t="shared" si="10"/>
        <v>9970930</v>
      </c>
    </row>
    <row r="165" spans="1:31" s="68" customFormat="1" ht="16" customHeight="1" x14ac:dyDescent="0.45">
      <c r="A165" s="69">
        <v>2602</v>
      </c>
      <c r="B165" s="70">
        <v>46078</v>
      </c>
      <c r="C165" s="157" t="s">
        <v>208</v>
      </c>
      <c r="D165" s="71" t="s">
        <v>58</v>
      </c>
      <c r="E165" s="72" t="s">
        <v>59</v>
      </c>
      <c r="F165" s="73" t="s">
        <v>199</v>
      </c>
      <c r="G165" s="72" t="s">
        <v>59</v>
      </c>
      <c r="H165" s="72" t="s">
        <v>111</v>
      </c>
      <c r="I165" s="74"/>
      <c r="J165" s="74"/>
      <c r="K165" s="75"/>
      <c r="L165" s="76">
        <v>7</v>
      </c>
      <c r="M165" s="77"/>
      <c r="N165" s="78"/>
      <c r="O165" s="79">
        <v>4735</v>
      </c>
      <c r="P165" s="131"/>
      <c r="Q165" s="132"/>
      <c r="R165" s="133">
        <v>1470</v>
      </c>
      <c r="S165" s="133">
        <f t="shared" si="17"/>
        <v>6960450</v>
      </c>
      <c r="T165" s="80"/>
      <c r="U165" s="81"/>
      <c r="V165" s="82">
        <v>2450</v>
      </c>
      <c r="W165" s="83">
        <f t="shared" si="18"/>
        <v>11600750</v>
      </c>
      <c r="X165" s="133"/>
      <c r="Y165" s="134" t="s">
        <v>225</v>
      </c>
      <c r="Z165" s="142">
        <f t="shared" si="10"/>
        <v>4640300</v>
      </c>
    </row>
    <row r="166" spans="1:31" s="68" customFormat="1" ht="16" customHeight="1" x14ac:dyDescent="0.45">
      <c r="A166" s="69">
        <v>2602</v>
      </c>
      <c r="B166" s="70">
        <v>46078</v>
      </c>
      <c r="C166" s="157" t="s">
        <v>256</v>
      </c>
      <c r="D166" s="71" t="s">
        <v>58</v>
      </c>
      <c r="E166" s="72" t="s">
        <v>59</v>
      </c>
      <c r="F166" s="73" t="s">
        <v>199</v>
      </c>
      <c r="G166" s="72" t="s">
        <v>59</v>
      </c>
      <c r="H166" s="72" t="s">
        <v>257</v>
      </c>
      <c r="I166" s="74"/>
      <c r="J166" s="74"/>
      <c r="K166" s="75"/>
      <c r="L166" s="76"/>
      <c r="M166" s="77"/>
      <c r="N166" s="78"/>
      <c r="O166" s="79">
        <v>390</v>
      </c>
      <c r="P166" s="131"/>
      <c r="Q166" s="132"/>
      <c r="R166" s="133">
        <v>1113</v>
      </c>
      <c r="S166" s="133">
        <f t="shared" si="17"/>
        <v>434070</v>
      </c>
      <c r="T166" s="80"/>
      <c r="U166" s="81"/>
      <c r="V166" s="82">
        <v>2200</v>
      </c>
      <c r="W166" s="83">
        <f t="shared" si="18"/>
        <v>858000</v>
      </c>
      <c r="X166" s="133"/>
      <c r="Y166" s="134" t="s">
        <v>225</v>
      </c>
      <c r="Z166" s="142">
        <f t="shared" si="10"/>
        <v>423930</v>
      </c>
    </row>
    <row r="167" spans="1:31" s="68" customFormat="1" ht="16" customHeight="1" x14ac:dyDescent="0.45">
      <c r="A167" s="69">
        <v>2602</v>
      </c>
      <c r="B167" s="70">
        <v>46078</v>
      </c>
      <c r="C167" s="157" t="s">
        <v>258</v>
      </c>
      <c r="D167" s="71" t="s">
        <v>58</v>
      </c>
      <c r="E167" s="72" t="s">
        <v>59</v>
      </c>
      <c r="F167" s="73" t="s">
        <v>199</v>
      </c>
      <c r="G167" s="72" t="s">
        <v>59</v>
      </c>
      <c r="H167" s="72" t="s">
        <v>259</v>
      </c>
      <c r="I167" s="74"/>
      <c r="J167" s="74"/>
      <c r="K167" s="75"/>
      <c r="L167" s="76"/>
      <c r="M167" s="77"/>
      <c r="N167" s="78"/>
      <c r="O167" s="79">
        <v>560</v>
      </c>
      <c r="P167" s="131"/>
      <c r="Q167" s="132"/>
      <c r="R167" s="133">
        <v>1410</v>
      </c>
      <c r="S167" s="133">
        <f t="shared" si="17"/>
        <v>789600</v>
      </c>
      <c r="T167" s="80"/>
      <c r="U167" s="81"/>
      <c r="V167" s="82">
        <v>2900</v>
      </c>
      <c r="W167" s="83">
        <f t="shared" si="18"/>
        <v>1624000</v>
      </c>
      <c r="X167" s="133"/>
      <c r="Y167" s="134" t="s">
        <v>225</v>
      </c>
      <c r="Z167" s="142">
        <f t="shared" ref="Z167:Z171" si="19">W167-S167-Q167</f>
        <v>834400</v>
      </c>
    </row>
    <row r="168" spans="1:31" s="68" customFormat="1" ht="16" customHeight="1" x14ac:dyDescent="0.45">
      <c r="A168" s="69">
        <v>2602</v>
      </c>
      <c r="B168" s="70">
        <v>46078</v>
      </c>
      <c r="C168" s="157" t="s">
        <v>226</v>
      </c>
      <c r="D168" s="71" t="s">
        <v>58</v>
      </c>
      <c r="E168" s="72" t="s">
        <v>59</v>
      </c>
      <c r="F168" s="73" t="s">
        <v>199</v>
      </c>
      <c r="G168" s="72" t="s">
        <v>59</v>
      </c>
      <c r="H168" s="72" t="s">
        <v>149</v>
      </c>
      <c r="I168" s="74"/>
      <c r="J168" s="74"/>
      <c r="K168" s="75"/>
      <c r="L168" s="76"/>
      <c r="M168" s="77"/>
      <c r="N168" s="78"/>
      <c r="O168" s="79">
        <v>4000</v>
      </c>
      <c r="P168" s="131"/>
      <c r="Q168" s="132"/>
      <c r="R168" s="133">
        <v>1230</v>
      </c>
      <c r="S168" s="133">
        <f t="shared" si="17"/>
        <v>4920000</v>
      </c>
      <c r="T168" s="80"/>
      <c r="U168" s="81"/>
      <c r="V168" s="82">
        <v>1380</v>
      </c>
      <c r="W168" s="83">
        <f t="shared" si="18"/>
        <v>5520000</v>
      </c>
      <c r="X168" s="133"/>
      <c r="Y168" s="134" t="s">
        <v>225</v>
      </c>
      <c r="Z168" s="142">
        <f t="shared" si="19"/>
        <v>600000</v>
      </c>
    </row>
    <row r="169" spans="1:31" s="68" customFormat="1" ht="16" customHeight="1" x14ac:dyDescent="0.45">
      <c r="A169" s="69">
        <v>2602</v>
      </c>
      <c r="B169" s="70">
        <v>46077</v>
      </c>
      <c r="C169" s="157" t="s">
        <v>197</v>
      </c>
      <c r="D169" s="71" t="s">
        <v>58</v>
      </c>
      <c r="E169" s="72" t="s">
        <v>59</v>
      </c>
      <c r="F169" s="73" t="s">
        <v>199</v>
      </c>
      <c r="G169" s="72" t="s">
        <v>59</v>
      </c>
      <c r="H169" s="72" t="s">
        <v>260</v>
      </c>
      <c r="I169" s="74" t="s">
        <v>261</v>
      </c>
      <c r="J169" s="74"/>
      <c r="K169" s="75"/>
      <c r="L169" s="76"/>
      <c r="M169" s="77"/>
      <c r="N169" s="78"/>
      <c r="O169" s="79">
        <v>357</v>
      </c>
      <c r="P169" s="131"/>
      <c r="Q169" s="132"/>
      <c r="R169" s="133">
        <v>1470</v>
      </c>
      <c r="S169" s="133">
        <f t="shared" si="17"/>
        <v>524790</v>
      </c>
      <c r="T169" s="80"/>
      <c r="U169" s="81"/>
      <c r="V169" s="82">
        <v>4150</v>
      </c>
      <c r="W169" s="83">
        <f t="shared" si="18"/>
        <v>1481550</v>
      </c>
      <c r="X169" s="133"/>
      <c r="Y169" s="134" t="s">
        <v>225</v>
      </c>
      <c r="Z169" s="142">
        <f t="shared" si="19"/>
        <v>956760</v>
      </c>
    </row>
    <row r="170" spans="1:31" ht="16" customHeight="1" x14ac:dyDescent="0.45">
      <c r="A170" s="69">
        <v>2602</v>
      </c>
      <c r="B170" s="70">
        <v>46077</v>
      </c>
      <c r="C170" s="157" t="s">
        <v>197</v>
      </c>
      <c r="D170" s="71" t="s">
        <v>58</v>
      </c>
      <c r="E170" s="72" t="s">
        <v>59</v>
      </c>
      <c r="F170" s="73" t="s">
        <v>199</v>
      </c>
      <c r="G170" s="72" t="s">
        <v>59</v>
      </c>
      <c r="H170" s="72" t="s">
        <v>260</v>
      </c>
      <c r="I170" s="74" t="s">
        <v>262</v>
      </c>
      <c r="J170" s="74"/>
      <c r="K170" s="75"/>
      <c r="L170" s="76"/>
      <c r="M170" s="77"/>
      <c r="N170" s="78"/>
      <c r="O170" s="79">
        <v>378</v>
      </c>
      <c r="P170" s="131"/>
      <c r="Q170" s="132"/>
      <c r="R170" s="133">
        <v>1470</v>
      </c>
      <c r="S170" s="133">
        <f t="shared" si="17"/>
        <v>555660</v>
      </c>
      <c r="T170" s="80"/>
      <c r="U170" s="81"/>
      <c r="V170" s="82">
        <v>4400</v>
      </c>
      <c r="W170" s="83">
        <f t="shared" si="18"/>
        <v>1663200</v>
      </c>
      <c r="X170" s="133"/>
      <c r="Y170" s="134" t="s">
        <v>225</v>
      </c>
      <c r="Z170" s="142">
        <f t="shared" si="19"/>
        <v>1107540</v>
      </c>
      <c r="AA170" s="68"/>
      <c r="AB170" s="68"/>
      <c r="AC170" s="68"/>
      <c r="AD170" s="68"/>
      <c r="AE170" s="68"/>
    </row>
    <row r="171" spans="1:31" ht="16" customHeight="1" x14ac:dyDescent="0.45">
      <c r="A171" s="69">
        <v>2602</v>
      </c>
      <c r="B171" s="70">
        <v>46077</v>
      </c>
      <c r="C171" s="152" t="s">
        <v>197</v>
      </c>
      <c r="D171" s="122" t="s">
        <v>58</v>
      </c>
      <c r="E171" s="72" t="s">
        <v>59</v>
      </c>
      <c r="F171" s="73" t="s">
        <v>199</v>
      </c>
      <c r="G171" s="72" t="s">
        <v>59</v>
      </c>
      <c r="H171" s="138" t="s">
        <v>260</v>
      </c>
      <c r="I171" s="74" t="s">
        <v>263</v>
      </c>
      <c r="J171" s="74"/>
      <c r="K171" s="75"/>
      <c r="L171" s="76"/>
      <c r="M171" s="77"/>
      <c r="N171" s="78"/>
      <c r="O171" s="79">
        <v>300</v>
      </c>
      <c r="P171" s="131"/>
      <c r="Q171" s="132"/>
      <c r="R171" s="133">
        <v>1470</v>
      </c>
      <c r="S171" s="133">
        <f t="shared" si="17"/>
        <v>441000</v>
      </c>
      <c r="T171" s="80"/>
      <c r="U171" s="81"/>
      <c r="V171" s="82">
        <v>4400</v>
      </c>
      <c r="W171" s="83">
        <f t="shared" si="18"/>
        <v>1320000</v>
      </c>
      <c r="X171" s="133"/>
      <c r="Y171" s="134" t="s">
        <v>225</v>
      </c>
      <c r="Z171" s="142">
        <f t="shared" si="19"/>
        <v>879000</v>
      </c>
      <c r="AA171" s="68"/>
      <c r="AB171" s="68"/>
      <c r="AC171" s="68"/>
      <c r="AD171" s="68"/>
      <c r="AE171" s="68"/>
    </row>
    <row r="172" spans="1:31" ht="16" customHeight="1" x14ac:dyDescent="0.45">
      <c r="A172" s="69">
        <v>2602</v>
      </c>
      <c r="B172" s="70">
        <v>46081</v>
      </c>
      <c r="C172" s="157" t="s">
        <v>224</v>
      </c>
      <c r="D172" s="71"/>
      <c r="E172" s="72" t="s">
        <v>59</v>
      </c>
      <c r="F172" s="73" t="s">
        <v>199</v>
      </c>
      <c r="G172" s="72" t="s">
        <v>59</v>
      </c>
      <c r="H172" s="72" t="s">
        <v>133</v>
      </c>
      <c r="I172" s="74"/>
      <c r="J172" s="74"/>
      <c r="K172" s="75"/>
      <c r="L172" s="76"/>
      <c r="M172" s="77"/>
      <c r="N172" s="78"/>
      <c r="O172" s="79"/>
      <c r="P172" s="131"/>
      <c r="Q172" s="132"/>
      <c r="R172" s="133"/>
      <c r="S172" s="133"/>
      <c r="T172" s="80"/>
      <c r="U172" s="81"/>
      <c r="V172" s="82"/>
      <c r="W172" s="83">
        <v>-1499250</v>
      </c>
      <c r="X172" s="133"/>
      <c r="Y172" s="134" t="s">
        <v>264</v>
      </c>
      <c r="Z172" s="142"/>
      <c r="AA172" s="68"/>
      <c r="AB172" s="68"/>
      <c r="AC172" s="68"/>
      <c r="AD172" s="68"/>
      <c r="AE172" s="68"/>
    </row>
    <row r="173" spans="1:31" ht="16" customHeight="1" x14ac:dyDescent="0.45">
      <c r="A173" s="69">
        <v>2602</v>
      </c>
      <c r="B173" s="2">
        <v>46076</v>
      </c>
      <c r="C173" s="155" t="s">
        <v>234</v>
      </c>
      <c r="D173" s="3" t="s">
        <v>126</v>
      </c>
      <c r="E173" s="4" t="s">
        <v>101</v>
      </c>
      <c r="F173" s="5" t="s">
        <v>195</v>
      </c>
      <c r="G173" s="4" t="s">
        <v>104</v>
      </c>
      <c r="H173" s="126" t="s">
        <v>265</v>
      </c>
      <c r="I173" s="66" t="s">
        <v>105</v>
      </c>
      <c r="J173" s="66"/>
      <c r="K173" s="67"/>
      <c r="L173" s="11"/>
      <c r="M173" s="12"/>
      <c r="N173" s="13">
        <v>300</v>
      </c>
      <c r="O173" s="14"/>
      <c r="P173" s="15"/>
      <c r="Q173" s="16"/>
      <c r="R173" s="17">
        <v>800</v>
      </c>
      <c r="S173" s="17">
        <f>N173*R173</f>
        <v>240000</v>
      </c>
      <c r="T173" s="18"/>
      <c r="U173" s="19"/>
      <c r="V173" s="20" t="s">
        <v>266</v>
      </c>
      <c r="W173" s="21"/>
      <c r="X173" s="17"/>
      <c r="Y173" s="22" t="s">
        <v>196</v>
      </c>
      <c r="Z173" s="142">
        <f>W173-S173-Q173</f>
        <v>-240000</v>
      </c>
    </row>
    <row r="174" spans="1:31" s="68" customFormat="1" ht="16" customHeight="1" x14ac:dyDescent="0.45">
      <c r="A174" s="69">
        <v>2602</v>
      </c>
      <c r="B174" s="2">
        <v>46065</v>
      </c>
      <c r="C174" s="150" t="s">
        <v>234</v>
      </c>
      <c r="D174" s="3" t="s">
        <v>126</v>
      </c>
      <c r="E174" s="4" t="s">
        <v>101</v>
      </c>
      <c r="F174" s="5" t="s">
        <v>195</v>
      </c>
      <c r="G174" s="4" t="s">
        <v>147</v>
      </c>
      <c r="H174" s="66" t="s">
        <v>267</v>
      </c>
      <c r="I174" s="66">
        <v>30607</v>
      </c>
      <c r="J174" s="66"/>
      <c r="K174" s="67"/>
      <c r="L174" s="11"/>
      <c r="M174" s="12"/>
      <c r="N174" s="13">
        <v>873</v>
      </c>
      <c r="O174" s="14"/>
      <c r="P174" s="15"/>
      <c r="Q174" s="16"/>
      <c r="R174" s="17">
        <v>800</v>
      </c>
      <c r="S174" s="17">
        <f>N174*R174</f>
        <v>698400</v>
      </c>
      <c r="T174" s="18"/>
      <c r="U174" s="19"/>
      <c r="V174" s="20" t="s">
        <v>266</v>
      </c>
      <c r="W174" s="21"/>
      <c r="X174" s="17"/>
      <c r="Y174" s="22" t="s">
        <v>196</v>
      </c>
      <c r="Z174" s="142">
        <f>W174-S174-Q174</f>
        <v>-698400</v>
      </c>
      <c r="AA174"/>
      <c r="AB174"/>
      <c r="AC174"/>
      <c r="AD174"/>
      <c r="AE174"/>
    </row>
    <row r="175" spans="1:31" ht="16" customHeight="1" x14ac:dyDescent="0.45">
      <c r="A175" s="65">
        <v>2602</v>
      </c>
      <c r="B175" s="2">
        <v>46081</v>
      </c>
      <c r="C175" s="150" t="s">
        <v>171</v>
      </c>
      <c r="D175" s="3" t="s">
        <v>122</v>
      </c>
      <c r="E175" s="4" t="s">
        <v>266</v>
      </c>
      <c r="F175" s="5" t="s">
        <v>188</v>
      </c>
      <c r="G175" s="4" t="s">
        <v>56</v>
      </c>
      <c r="H175" s="66" t="s">
        <v>134</v>
      </c>
      <c r="I175" s="66"/>
      <c r="J175" s="66"/>
      <c r="K175" s="67"/>
      <c r="L175" s="11"/>
      <c r="M175" s="12"/>
      <c r="N175" s="13">
        <v>6373</v>
      </c>
      <c r="O175" s="14"/>
      <c r="P175" s="15"/>
      <c r="Q175" s="16"/>
      <c r="R175" s="17">
        <v>130</v>
      </c>
      <c r="S175" s="17">
        <f>N175*R175</f>
        <v>828490</v>
      </c>
      <c r="T175" s="18"/>
      <c r="U175" s="19"/>
      <c r="V175" s="20"/>
      <c r="W175" s="21"/>
      <c r="X175" s="17"/>
      <c r="Y175" s="22" t="s">
        <v>230</v>
      </c>
      <c r="Z175" s="142">
        <f>W175-S175-Q175</f>
        <v>-828490</v>
      </c>
    </row>
    <row r="176" spans="1:31" ht="16" customHeight="1" x14ac:dyDescent="0.45">
      <c r="A176" s="65"/>
      <c r="B176" s="2"/>
      <c r="C176" s="154"/>
      <c r="D176" s="3"/>
      <c r="E176" s="4"/>
      <c r="F176" s="5"/>
      <c r="G176" s="4"/>
      <c r="H176" s="4"/>
      <c r="I176" s="66"/>
      <c r="J176" s="66"/>
      <c r="K176" s="67"/>
      <c r="L176" s="11"/>
      <c r="M176" s="12"/>
      <c r="N176" s="13"/>
      <c r="O176" s="14"/>
      <c r="P176" s="15"/>
      <c r="Q176" s="16"/>
      <c r="R176" s="17"/>
      <c r="S176" s="17"/>
      <c r="T176" s="18"/>
      <c r="U176" s="19"/>
      <c r="V176" s="20"/>
      <c r="W176" s="21"/>
      <c r="X176" s="17"/>
      <c r="Z176" s="23"/>
    </row>
    <row r="177" spans="1:68" ht="16" customHeight="1" thickBot="1" x14ac:dyDescent="0.5">
      <c r="A177" s="65"/>
      <c r="B177" s="2"/>
      <c r="C177" s="150"/>
      <c r="D177" s="3"/>
      <c r="E177" s="4"/>
      <c r="F177" s="5"/>
      <c r="G177" s="4"/>
      <c r="H177" s="66"/>
      <c r="I177" s="66"/>
      <c r="J177" s="66"/>
      <c r="K177" s="67"/>
      <c r="L177" s="11"/>
      <c r="M177" s="12"/>
      <c r="N177" s="13"/>
      <c r="O177" s="14"/>
      <c r="P177" s="15"/>
      <c r="Q177" s="16"/>
      <c r="R177" s="17"/>
      <c r="S177" s="17"/>
      <c r="T177" s="18"/>
      <c r="U177" s="19"/>
      <c r="V177" s="20"/>
      <c r="W177" s="21"/>
      <c r="X177" s="17"/>
      <c r="Z177" s="23"/>
    </row>
    <row r="178" spans="1:68" s="120" customFormat="1" ht="16" customHeight="1" thickBot="1" x14ac:dyDescent="0.5">
      <c r="A178" s="100"/>
      <c r="B178" s="101"/>
      <c r="C178" s="151"/>
      <c r="D178" s="102"/>
      <c r="E178" s="103"/>
      <c r="F178" s="104"/>
      <c r="G178" s="103"/>
      <c r="H178" s="105"/>
      <c r="I178" s="105"/>
      <c r="J178" s="105"/>
      <c r="K178" s="106"/>
      <c r="L178" s="107"/>
      <c r="M178" s="108"/>
      <c r="N178" s="109"/>
      <c r="O178" s="110"/>
      <c r="P178" s="111"/>
      <c r="Q178" s="112">
        <f>SUM(Q103:Q177)</f>
        <v>6816289</v>
      </c>
      <c r="R178" s="113"/>
      <c r="S178" s="113">
        <f>SUM(S103:S177)</f>
        <v>110681227.5</v>
      </c>
      <c r="T178" s="114"/>
      <c r="U178" s="115"/>
      <c r="V178" s="116"/>
      <c r="W178" s="117">
        <f>SUM(W103:W177)</f>
        <v>172509901</v>
      </c>
      <c r="X178" s="113">
        <f>W178-S178-Q178</f>
        <v>55012384.5</v>
      </c>
      <c r="Y178" s="118"/>
      <c r="Z178" s="119">
        <f>SUM(Z103:Z177)</f>
        <v>56511634.5</v>
      </c>
    </row>
    <row r="179" spans="1:68" ht="16" customHeight="1" x14ac:dyDescent="0.45">
      <c r="A179" s="65"/>
      <c r="B179" s="2"/>
      <c r="C179" s="150"/>
      <c r="D179" s="3"/>
      <c r="E179" s="4"/>
      <c r="F179" s="5"/>
      <c r="G179" s="4"/>
      <c r="H179" s="66"/>
      <c r="I179" s="66"/>
      <c r="J179" s="66"/>
      <c r="K179" s="67"/>
      <c r="L179" s="11"/>
      <c r="M179" s="12"/>
      <c r="N179" s="13"/>
      <c r="O179" s="14"/>
      <c r="P179" s="15"/>
      <c r="Q179" s="16">
        <v>0</v>
      </c>
      <c r="R179" s="17"/>
      <c r="S179" s="17"/>
      <c r="T179" s="18"/>
      <c r="U179" s="19"/>
      <c r="V179" s="20"/>
      <c r="W179" s="21"/>
      <c r="X179" s="17"/>
      <c r="Z179" s="23"/>
    </row>
    <row r="180" spans="1:68" s="68" customFormat="1" ht="16" customHeight="1" x14ac:dyDescent="0.45">
      <c r="A180" s="69">
        <v>2603</v>
      </c>
      <c r="B180" s="2">
        <v>46084</v>
      </c>
      <c r="C180" s="161" t="s">
        <v>277</v>
      </c>
      <c r="D180" s="145" t="s">
        <v>53</v>
      </c>
      <c r="E180" s="4" t="s">
        <v>41</v>
      </c>
      <c r="F180" s="5" t="s">
        <v>249</v>
      </c>
      <c r="G180" s="4" t="s">
        <v>42</v>
      </c>
      <c r="H180" s="66" t="s">
        <v>43</v>
      </c>
      <c r="I180" s="66" t="s">
        <v>44</v>
      </c>
      <c r="J180" s="66"/>
      <c r="K180" s="67"/>
      <c r="L180" s="11"/>
      <c r="M180" s="12"/>
      <c r="N180" s="13"/>
      <c r="O180" s="14">
        <v>796</v>
      </c>
      <c r="P180" s="15"/>
      <c r="Q180" s="16"/>
      <c r="R180" s="17">
        <v>4870</v>
      </c>
      <c r="S180" s="17">
        <f>O180*R180</f>
        <v>3876520</v>
      </c>
      <c r="T180" s="18"/>
      <c r="U180" s="19"/>
      <c r="V180" s="20"/>
      <c r="W180" s="21"/>
      <c r="X180" s="17"/>
      <c r="Y180" s="22" t="s">
        <v>196</v>
      </c>
      <c r="Z180" s="23">
        <f t="shared" ref="Z180:Z189" si="20">W180-S180-Q180</f>
        <v>-3876520</v>
      </c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</row>
    <row r="181" spans="1:68" s="68" customFormat="1" ht="16" customHeight="1" x14ac:dyDescent="0.45">
      <c r="A181" s="69">
        <v>2603</v>
      </c>
      <c r="B181" s="2">
        <v>46084</v>
      </c>
      <c r="C181" s="161" t="s">
        <v>277</v>
      </c>
      <c r="D181" s="145" t="s">
        <v>53</v>
      </c>
      <c r="E181" s="4" t="s">
        <v>41</v>
      </c>
      <c r="F181" s="5" t="s">
        <v>249</v>
      </c>
      <c r="G181" s="4" t="s">
        <v>42</v>
      </c>
      <c r="H181" s="66" t="s">
        <v>43</v>
      </c>
      <c r="I181" s="66" t="s">
        <v>45</v>
      </c>
      <c r="J181" s="66"/>
      <c r="K181" s="67"/>
      <c r="L181" s="11"/>
      <c r="M181" s="12"/>
      <c r="N181" s="13"/>
      <c r="O181" s="14">
        <v>409</v>
      </c>
      <c r="P181" s="15"/>
      <c r="Q181" s="16"/>
      <c r="R181" s="17">
        <v>4870</v>
      </c>
      <c r="S181" s="17">
        <f>O181*R181</f>
        <v>1991830</v>
      </c>
      <c r="T181" s="18"/>
      <c r="U181" s="19"/>
      <c r="V181" s="20"/>
      <c r="W181" s="21"/>
      <c r="X181" s="17"/>
      <c r="Y181" s="22" t="s">
        <v>196</v>
      </c>
      <c r="Z181" s="23">
        <f t="shared" si="20"/>
        <v>-1991830</v>
      </c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</row>
    <row r="182" spans="1:68" s="68" customFormat="1" ht="16" customHeight="1" x14ac:dyDescent="0.45">
      <c r="A182" s="69">
        <v>2603</v>
      </c>
      <c r="B182" s="70">
        <v>46112</v>
      </c>
      <c r="C182" s="159" t="s">
        <v>234</v>
      </c>
      <c r="D182" s="160" t="s">
        <v>85</v>
      </c>
      <c r="E182" s="72" t="s">
        <v>147</v>
      </c>
      <c r="F182" s="73" t="s">
        <v>296</v>
      </c>
      <c r="G182" s="72" t="s">
        <v>147</v>
      </c>
      <c r="H182" s="74" t="s">
        <v>148</v>
      </c>
      <c r="I182" s="74">
        <v>30607</v>
      </c>
      <c r="J182" s="74"/>
      <c r="K182" s="75"/>
      <c r="L182" s="76"/>
      <c r="M182" s="77"/>
      <c r="N182" s="78">
        <v>8764</v>
      </c>
      <c r="O182" s="79">
        <v>8821</v>
      </c>
      <c r="P182" s="131"/>
      <c r="Q182" s="132"/>
      <c r="R182" s="133">
        <v>800</v>
      </c>
      <c r="S182" s="133">
        <f>N182*R182</f>
        <v>7011200</v>
      </c>
      <c r="T182" s="80"/>
      <c r="U182" s="81"/>
      <c r="V182" s="82">
        <v>1313</v>
      </c>
      <c r="W182" s="83">
        <f>O182*V182</f>
        <v>11581973</v>
      </c>
      <c r="X182" s="133"/>
      <c r="Y182" s="134" t="s">
        <v>196</v>
      </c>
      <c r="Z182" s="142">
        <f t="shared" si="20"/>
        <v>4570773</v>
      </c>
    </row>
    <row r="183" spans="1:68" ht="16" customHeight="1" x14ac:dyDescent="0.45">
      <c r="A183" s="69">
        <v>2603</v>
      </c>
      <c r="B183" s="70">
        <v>46112</v>
      </c>
      <c r="C183" s="159" t="s">
        <v>234</v>
      </c>
      <c r="D183" s="160" t="s">
        <v>85</v>
      </c>
      <c r="E183" s="72" t="s">
        <v>147</v>
      </c>
      <c r="F183" s="73" t="s">
        <v>296</v>
      </c>
      <c r="G183" s="72" t="s">
        <v>147</v>
      </c>
      <c r="H183" s="74" t="s">
        <v>148</v>
      </c>
      <c r="I183" s="74">
        <v>80933</v>
      </c>
      <c r="J183" s="74"/>
      <c r="K183" s="75"/>
      <c r="L183" s="76"/>
      <c r="M183" s="77"/>
      <c r="N183" s="78">
        <v>865</v>
      </c>
      <c r="O183" s="79">
        <v>1330</v>
      </c>
      <c r="P183" s="131"/>
      <c r="Q183" s="132"/>
      <c r="R183" s="133">
        <v>870</v>
      </c>
      <c r="S183" s="133">
        <f>N183*R183</f>
        <v>752550</v>
      </c>
      <c r="T183" s="80"/>
      <c r="U183" s="81"/>
      <c r="V183" s="82">
        <v>1313</v>
      </c>
      <c r="W183" s="83">
        <f>O183*V183</f>
        <v>1746290</v>
      </c>
      <c r="X183" s="133"/>
      <c r="Y183" s="134" t="s">
        <v>196</v>
      </c>
      <c r="Z183" s="142">
        <f t="shared" si="20"/>
        <v>993740</v>
      </c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</row>
    <row r="184" spans="1:68" ht="16" customHeight="1" x14ac:dyDescent="0.45">
      <c r="A184" s="69">
        <v>2603</v>
      </c>
      <c r="B184" s="70">
        <v>46112</v>
      </c>
      <c r="C184" s="159" t="s">
        <v>234</v>
      </c>
      <c r="D184" s="160" t="s">
        <v>85</v>
      </c>
      <c r="E184" s="72" t="s">
        <v>147</v>
      </c>
      <c r="F184" s="73" t="s">
        <v>296</v>
      </c>
      <c r="G184" s="72" t="s">
        <v>147</v>
      </c>
      <c r="H184" s="74" t="s">
        <v>148</v>
      </c>
      <c r="I184" s="74">
        <v>90312</v>
      </c>
      <c r="J184" s="74"/>
      <c r="K184" s="75"/>
      <c r="L184" s="76"/>
      <c r="M184" s="77"/>
      <c r="N184" s="78">
        <v>854</v>
      </c>
      <c r="O184" s="79">
        <v>1454</v>
      </c>
      <c r="P184" s="131"/>
      <c r="Q184" s="132"/>
      <c r="R184" s="133">
        <v>870</v>
      </c>
      <c r="S184" s="133">
        <f>N184*R184</f>
        <v>742980</v>
      </c>
      <c r="T184" s="80"/>
      <c r="U184" s="81"/>
      <c r="V184" s="82">
        <v>1313</v>
      </c>
      <c r="W184" s="83">
        <f>O184*V184</f>
        <v>1909102</v>
      </c>
      <c r="X184" s="133"/>
      <c r="Y184" s="134" t="s">
        <v>196</v>
      </c>
      <c r="Z184" s="142">
        <f t="shared" si="20"/>
        <v>1166122</v>
      </c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</row>
    <row r="185" spans="1:68" ht="16" customHeight="1" x14ac:dyDescent="0.45">
      <c r="A185" s="69">
        <v>2603</v>
      </c>
      <c r="B185" s="70">
        <v>46112</v>
      </c>
      <c r="C185" s="159" t="s">
        <v>234</v>
      </c>
      <c r="D185" s="160" t="s">
        <v>85</v>
      </c>
      <c r="E185" s="72" t="s">
        <v>147</v>
      </c>
      <c r="F185" s="73" t="s">
        <v>296</v>
      </c>
      <c r="G185" s="72" t="s">
        <v>147</v>
      </c>
      <c r="H185" s="74" t="s">
        <v>148</v>
      </c>
      <c r="I185" s="74">
        <v>90840</v>
      </c>
      <c r="J185" s="74"/>
      <c r="K185" s="75"/>
      <c r="L185" s="76"/>
      <c r="M185" s="77"/>
      <c r="N185" s="78">
        <v>4125</v>
      </c>
      <c r="O185" s="79">
        <v>3770</v>
      </c>
      <c r="P185" s="131"/>
      <c r="Q185" s="132"/>
      <c r="R185" s="133">
        <v>800</v>
      </c>
      <c r="S185" s="133">
        <f>N185*R185</f>
        <v>3300000</v>
      </c>
      <c r="T185" s="80"/>
      <c r="U185" s="81"/>
      <c r="V185" s="82">
        <v>1313</v>
      </c>
      <c r="W185" s="83">
        <f>O185*V185</f>
        <v>4950010</v>
      </c>
      <c r="X185" s="133"/>
      <c r="Y185" s="134" t="s">
        <v>196</v>
      </c>
      <c r="Z185" s="142">
        <f t="shared" si="20"/>
        <v>1650010</v>
      </c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</row>
    <row r="186" spans="1:68" ht="16" customHeight="1" x14ac:dyDescent="0.45">
      <c r="A186" s="69">
        <v>2603</v>
      </c>
      <c r="B186" s="70">
        <v>46112</v>
      </c>
      <c r="C186" s="159" t="s">
        <v>234</v>
      </c>
      <c r="D186" s="160" t="s">
        <v>85</v>
      </c>
      <c r="E186" s="72" t="s">
        <v>147</v>
      </c>
      <c r="F186" s="73" t="s">
        <v>296</v>
      </c>
      <c r="G186" s="72" t="s">
        <v>147</v>
      </c>
      <c r="H186" s="74" t="s">
        <v>148</v>
      </c>
      <c r="I186" s="74">
        <v>94010</v>
      </c>
      <c r="J186" s="74"/>
      <c r="K186" s="75"/>
      <c r="L186" s="76"/>
      <c r="M186" s="77"/>
      <c r="N186" s="78">
        <v>6090</v>
      </c>
      <c r="O186" s="79">
        <v>5564</v>
      </c>
      <c r="P186" s="131"/>
      <c r="Q186" s="132"/>
      <c r="R186" s="133">
        <v>800</v>
      </c>
      <c r="S186" s="133">
        <f>N186*R186</f>
        <v>4872000</v>
      </c>
      <c r="T186" s="80"/>
      <c r="U186" s="81"/>
      <c r="V186" s="82">
        <v>1313</v>
      </c>
      <c r="W186" s="83">
        <f>O186*V186</f>
        <v>7305532</v>
      </c>
      <c r="X186" s="133"/>
      <c r="Y186" s="134" t="s">
        <v>196</v>
      </c>
      <c r="Z186" s="142">
        <f t="shared" si="20"/>
        <v>2433532</v>
      </c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</row>
    <row r="187" spans="1:68" ht="16" customHeight="1" x14ac:dyDescent="0.45">
      <c r="A187" s="69">
        <v>2603</v>
      </c>
      <c r="B187" s="2">
        <v>46084</v>
      </c>
      <c r="C187" s="161" t="s">
        <v>189</v>
      </c>
      <c r="D187" s="145" t="s">
        <v>97</v>
      </c>
      <c r="E187" s="4" t="s">
        <v>160</v>
      </c>
      <c r="F187" s="5" t="s">
        <v>188</v>
      </c>
      <c r="G187" s="4" t="s">
        <v>56</v>
      </c>
      <c r="H187" s="66" t="s">
        <v>235</v>
      </c>
      <c r="I187" s="66"/>
      <c r="J187" s="66"/>
      <c r="K187" s="67"/>
      <c r="L187" s="11">
        <v>4</v>
      </c>
      <c r="M187" s="12">
        <v>1452.5</v>
      </c>
      <c r="N187" s="13"/>
      <c r="O187" s="14"/>
      <c r="P187" s="15"/>
      <c r="Q187" s="16"/>
      <c r="R187" s="17">
        <v>1050</v>
      </c>
      <c r="S187" s="17">
        <f>M187*R187</f>
        <v>1525125</v>
      </c>
      <c r="T187" s="18"/>
      <c r="U187" s="19"/>
      <c r="V187" s="20"/>
      <c r="W187" s="21"/>
      <c r="X187" s="17"/>
      <c r="Y187" s="22" t="s">
        <v>216</v>
      </c>
      <c r="Z187" s="23">
        <f t="shared" si="20"/>
        <v>-1525125</v>
      </c>
    </row>
    <row r="188" spans="1:68" s="68" customFormat="1" ht="16" customHeight="1" x14ac:dyDescent="0.45">
      <c r="A188" s="69">
        <v>2603</v>
      </c>
      <c r="B188" s="2">
        <v>46084</v>
      </c>
      <c r="C188" s="161" t="s">
        <v>189</v>
      </c>
      <c r="D188" s="145" t="s">
        <v>97</v>
      </c>
      <c r="E188" s="4" t="s">
        <v>160</v>
      </c>
      <c r="F188" s="5" t="s">
        <v>188</v>
      </c>
      <c r="G188" s="4" t="s">
        <v>56</v>
      </c>
      <c r="H188" s="66" t="s">
        <v>156</v>
      </c>
      <c r="I188" s="66"/>
      <c r="J188" s="66"/>
      <c r="K188" s="67"/>
      <c r="L188" s="11">
        <v>2</v>
      </c>
      <c r="M188" s="12">
        <v>822.5</v>
      </c>
      <c r="N188" s="13"/>
      <c r="O188" s="14"/>
      <c r="P188" s="15"/>
      <c r="Q188" s="16"/>
      <c r="R188" s="17">
        <v>1050</v>
      </c>
      <c r="S188" s="17">
        <f>M188*R188</f>
        <v>863625</v>
      </c>
      <c r="T188" s="18"/>
      <c r="U188" s="19"/>
      <c r="V188" s="20"/>
      <c r="W188" s="21"/>
      <c r="X188" s="17"/>
      <c r="Y188" s="22" t="s">
        <v>216</v>
      </c>
      <c r="Z188" s="23">
        <f t="shared" si="20"/>
        <v>-863625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</row>
    <row r="189" spans="1:68" ht="16" customHeight="1" x14ac:dyDescent="0.45">
      <c r="A189" s="69">
        <v>2603</v>
      </c>
      <c r="B189" s="2">
        <v>46084</v>
      </c>
      <c r="C189" s="161" t="s">
        <v>189</v>
      </c>
      <c r="D189" s="145" t="s">
        <v>97</v>
      </c>
      <c r="E189" s="4" t="s">
        <v>160</v>
      </c>
      <c r="F189" s="5" t="s">
        <v>188</v>
      </c>
      <c r="G189" s="4" t="s">
        <v>56</v>
      </c>
      <c r="H189" s="66" t="s">
        <v>140</v>
      </c>
      <c r="I189" s="66"/>
      <c r="J189" s="66"/>
      <c r="K189" s="67"/>
      <c r="L189" s="11">
        <v>1</v>
      </c>
      <c r="M189" s="12">
        <v>358.75</v>
      </c>
      <c r="N189" s="13"/>
      <c r="O189" s="14"/>
      <c r="P189" s="15"/>
      <c r="Q189" s="16"/>
      <c r="R189" s="17">
        <v>1050</v>
      </c>
      <c r="S189" s="17">
        <f>M189*R189</f>
        <v>376687.5</v>
      </c>
      <c r="T189" s="18"/>
      <c r="U189" s="19"/>
      <c r="V189" s="20"/>
      <c r="W189" s="21"/>
      <c r="X189" s="17"/>
      <c r="Y189" s="22" t="s">
        <v>216</v>
      </c>
      <c r="Z189" s="23">
        <f t="shared" si="20"/>
        <v>-376687.5</v>
      </c>
    </row>
    <row r="190" spans="1:68" ht="16" customHeight="1" x14ac:dyDescent="0.45">
      <c r="A190" s="69">
        <v>2603</v>
      </c>
      <c r="B190" s="2">
        <v>46099</v>
      </c>
      <c r="C190" s="161" t="s">
        <v>187</v>
      </c>
      <c r="D190" s="145" t="s">
        <v>97</v>
      </c>
      <c r="E190" s="4" t="s">
        <v>160</v>
      </c>
      <c r="F190" s="5" t="s">
        <v>188</v>
      </c>
      <c r="G190" s="4" t="s">
        <v>56</v>
      </c>
      <c r="H190" s="66" t="s">
        <v>235</v>
      </c>
      <c r="I190" s="66"/>
      <c r="J190" s="66"/>
      <c r="K190" s="121"/>
      <c r="L190" s="11"/>
      <c r="M190" s="12">
        <v>437.5</v>
      </c>
      <c r="N190" s="13"/>
      <c r="O190" s="14"/>
      <c r="P190" s="15"/>
      <c r="Q190" s="16"/>
      <c r="R190" s="17">
        <v>1000</v>
      </c>
      <c r="S190" s="129">
        <f>R190*M190</f>
        <v>437500</v>
      </c>
      <c r="T190" s="18"/>
      <c r="U190" s="19"/>
      <c r="V190" s="20"/>
      <c r="W190" s="21"/>
      <c r="X190" s="17"/>
      <c r="Y190" s="22" t="s">
        <v>216</v>
      </c>
      <c r="Z190" s="23">
        <f>W190-R190-Q190</f>
        <v>-1000</v>
      </c>
    </row>
    <row r="191" spans="1:68" ht="16" customHeight="1" x14ac:dyDescent="0.45">
      <c r="A191" s="69">
        <v>2603</v>
      </c>
      <c r="B191" s="2">
        <v>46099</v>
      </c>
      <c r="C191" s="161" t="s">
        <v>187</v>
      </c>
      <c r="D191" s="145" t="s">
        <v>97</v>
      </c>
      <c r="E191" s="4" t="s">
        <v>160</v>
      </c>
      <c r="F191" s="5" t="s">
        <v>188</v>
      </c>
      <c r="G191" s="4" t="s">
        <v>56</v>
      </c>
      <c r="H191" s="66" t="s">
        <v>156</v>
      </c>
      <c r="I191" s="66"/>
      <c r="J191" s="66"/>
      <c r="K191" s="121"/>
      <c r="L191" s="11">
        <v>2</v>
      </c>
      <c r="M191" s="12">
        <v>822.5</v>
      </c>
      <c r="N191" s="13"/>
      <c r="O191" s="14"/>
      <c r="P191" s="15"/>
      <c r="Q191" s="16"/>
      <c r="R191" s="17">
        <v>1000</v>
      </c>
      <c r="S191" s="129">
        <f>R191*M191</f>
        <v>822500</v>
      </c>
      <c r="T191" s="18"/>
      <c r="U191" s="19"/>
      <c r="V191" s="20"/>
      <c r="W191" s="21"/>
      <c r="X191" s="17"/>
      <c r="Y191" s="22" t="s">
        <v>216</v>
      </c>
      <c r="Z191" s="23">
        <f t="shared" ref="Z191:Z254" si="21">W191-S191-Q191</f>
        <v>-822500</v>
      </c>
    </row>
    <row r="192" spans="1:68" ht="16" customHeight="1" x14ac:dyDescent="0.45">
      <c r="A192" s="69">
        <v>2603</v>
      </c>
      <c r="B192" s="2">
        <v>46102</v>
      </c>
      <c r="C192" s="161" t="s">
        <v>189</v>
      </c>
      <c r="D192" s="145" t="s">
        <v>97</v>
      </c>
      <c r="E192" s="4" t="s">
        <v>160</v>
      </c>
      <c r="F192" s="5" t="s">
        <v>302</v>
      </c>
      <c r="G192" s="4" t="s">
        <v>56</v>
      </c>
      <c r="H192" s="66" t="s">
        <v>235</v>
      </c>
      <c r="I192" s="66"/>
      <c r="J192" s="66"/>
      <c r="K192" s="121"/>
      <c r="L192" s="11">
        <v>3</v>
      </c>
      <c r="M192" s="12">
        <v>1312.5</v>
      </c>
      <c r="N192" s="13"/>
      <c r="O192" s="14"/>
      <c r="P192" s="15"/>
      <c r="Q192" s="16"/>
      <c r="R192" s="17">
        <v>1050</v>
      </c>
      <c r="S192" s="17">
        <f>M192*R192</f>
        <v>1378125</v>
      </c>
      <c r="T192" s="18"/>
      <c r="U192" s="19"/>
      <c r="V192" s="20"/>
      <c r="W192" s="21"/>
      <c r="X192" s="17"/>
      <c r="Y192" s="22" t="s">
        <v>216</v>
      </c>
      <c r="Z192" s="23">
        <f t="shared" si="21"/>
        <v>-1378125</v>
      </c>
    </row>
    <row r="193" spans="1:68" ht="16" customHeight="1" x14ac:dyDescent="0.45">
      <c r="A193" s="69">
        <v>2603</v>
      </c>
      <c r="B193" s="2">
        <v>46097</v>
      </c>
      <c r="C193" s="161" t="s">
        <v>137</v>
      </c>
      <c r="D193" s="145" t="s">
        <v>62</v>
      </c>
      <c r="E193" s="4" t="s">
        <v>170</v>
      </c>
      <c r="F193" s="5" t="s">
        <v>177</v>
      </c>
      <c r="G193" s="4" t="s">
        <v>50</v>
      </c>
      <c r="H193" s="66" t="s">
        <v>99</v>
      </c>
      <c r="I193" s="66"/>
      <c r="J193" s="66"/>
      <c r="K193" s="121"/>
      <c r="L193" s="11">
        <v>6</v>
      </c>
      <c r="M193" s="12">
        <v>106</v>
      </c>
      <c r="N193" s="13">
        <v>2079</v>
      </c>
      <c r="O193" s="14"/>
      <c r="P193" s="15"/>
      <c r="Q193" s="16"/>
      <c r="R193" s="17"/>
      <c r="S193" s="17"/>
      <c r="T193" s="18"/>
      <c r="U193" s="19"/>
      <c r="V193" s="20"/>
      <c r="W193" s="21"/>
      <c r="X193" s="17"/>
      <c r="Y193" s="22" t="s">
        <v>181</v>
      </c>
      <c r="Z193" s="23">
        <f t="shared" si="21"/>
        <v>0</v>
      </c>
    </row>
    <row r="194" spans="1:68" ht="16" customHeight="1" x14ac:dyDescent="0.45">
      <c r="A194" s="69">
        <v>2603</v>
      </c>
      <c r="B194" s="70">
        <v>46101</v>
      </c>
      <c r="C194" s="159" t="s">
        <v>281</v>
      </c>
      <c r="D194" s="160" t="s">
        <v>40</v>
      </c>
      <c r="E194" s="72" t="s">
        <v>170</v>
      </c>
      <c r="F194" s="73" t="s">
        <v>195</v>
      </c>
      <c r="G194" s="72" t="s">
        <v>170</v>
      </c>
      <c r="H194" s="74" t="s">
        <v>39</v>
      </c>
      <c r="I194" s="74" t="s">
        <v>79</v>
      </c>
      <c r="J194" s="74"/>
      <c r="K194" s="85"/>
      <c r="L194" s="76">
        <v>1</v>
      </c>
      <c r="M194" s="77">
        <v>15.9</v>
      </c>
      <c r="N194" s="78">
        <v>226</v>
      </c>
      <c r="O194" s="79"/>
      <c r="P194" s="131"/>
      <c r="Q194" s="132"/>
      <c r="R194" s="133">
        <v>550</v>
      </c>
      <c r="S194" s="133">
        <f>N194*R194</f>
        <v>124300</v>
      </c>
      <c r="T194" s="80"/>
      <c r="U194" s="81"/>
      <c r="V194" s="82">
        <v>2100</v>
      </c>
      <c r="W194" s="83">
        <f>N194*V194</f>
        <v>474600</v>
      </c>
      <c r="X194" s="133"/>
      <c r="Y194" s="134" t="s">
        <v>230</v>
      </c>
      <c r="Z194" s="142">
        <f t="shared" si="21"/>
        <v>350300</v>
      </c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</row>
    <row r="195" spans="1:68" ht="16" customHeight="1" x14ac:dyDescent="0.45">
      <c r="A195" s="69">
        <v>2603</v>
      </c>
      <c r="B195" s="2">
        <v>46104</v>
      </c>
      <c r="C195" s="161" t="s">
        <v>290</v>
      </c>
      <c r="D195" s="145" t="s">
        <v>299</v>
      </c>
      <c r="E195" s="4" t="s">
        <v>85</v>
      </c>
      <c r="F195" s="5" t="s">
        <v>195</v>
      </c>
      <c r="G195" s="4" t="s">
        <v>299</v>
      </c>
      <c r="H195" s="66" t="s">
        <v>145</v>
      </c>
      <c r="I195" s="66" t="s">
        <v>300</v>
      </c>
      <c r="J195" s="66" t="s">
        <v>301</v>
      </c>
      <c r="K195" s="121"/>
      <c r="L195" s="11">
        <v>39</v>
      </c>
      <c r="M195" s="12"/>
      <c r="N195" s="13">
        <v>10729</v>
      </c>
      <c r="O195" s="14"/>
      <c r="P195" s="15"/>
      <c r="Q195" s="16"/>
      <c r="R195" s="17" t="s">
        <v>152</v>
      </c>
      <c r="S195" s="17"/>
      <c r="T195" s="18"/>
      <c r="U195" s="19"/>
      <c r="V195" s="20"/>
      <c r="W195" s="21"/>
      <c r="X195" s="17"/>
      <c r="Z195" s="23">
        <f t="shared" si="21"/>
        <v>0</v>
      </c>
    </row>
    <row r="196" spans="1:68" s="68" customFormat="1" ht="16" customHeight="1" x14ac:dyDescent="0.45">
      <c r="A196" s="69">
        <v>2603</v>
      </c>
      <c r="B196" s="2">
        <v>46091</v>
      </c>
      <c r="C196" s="161" t="s">
        <v>281</v>
      </c>
      <c r="D196" s="145" t="s">
        <v>40</v>
      </c>
      <c r="E196" s="4" t="s">
        <v>142</v>
      </c>
      <c r="F196" s="5" t="s">
        <v>177</v>
      </c>
      <c r="G196" s="4" t="s">
        <v>38</v>
      </c>
      <c r="H196" s="66" t="s">
        <v>39</v>
      </c>
      <c r="I196" s="66" t="s">
        <v>271</v>
      </c>
      <c r="J196" s="66"/>
      <c r="K196" s="121">
        <v>1</v>
      </c>
      <c r="L196" s="11">
        <v>5</v>
      </c>
      <c r="M196" s="12">
        <v>45</v>
      </c>
      <c r="N196" s="13">
        <v>674</v>
      </c>
      <c r="O196" s="14"/>
      <c r="P196" s="15"/>
      <c r="Q196" s="16"/>
      <c r="R196" s="17">
        <v>500</v>
      </c>
      <c r="S196" s="17">
        <f t="shared" ref="S196:S204" si="22">N196*R196</f>
        <v>337000</v>
      </c>
      <c r="T196" s="18"/>
      <c r="U196" s="19"/>
      <c r="V196" s="20"/>
      <c r="W196" s="21"/>
      <c r="X196" s="17"/>
      <c r="Y196" s="22" t="s">
        <v>230</v>
      </c>
      <c r="Z196" s="23">
        <f t="shared" si="21"/>
        <v>-337000</v>
      </c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</row>
    <row r="197" spans="1:68" s="68" customFormat="1" ht="16" customHeight="1" x14ac:dyDescent="0.45">
      <c r="A197" s="69">
        <v>2603</v>
      </c>
      <c r="B197" s="2">
        <v>46091</v>
      </c>
      <c r="C197" s="161" t="s">
        <v>281</v>
      </c>
      <c r="D197" s="145" t="s">
        <v>40</v>
      </c>
      <c r="E197" s="4" t="s">
        <v>142</v>
      </c>
      <c r="F197" s="5" t="s">
        <v>177</v>
      </c>
      <c r="G197" s="4" t="s">
        <v>38</v>
      </c>
      <c r="H197" s="66" t="s">
        <v>39</v>
      </c>
      <c r="I197" s="66" t="s">
        <v>271</v>
      </c>
      <c r="J197" s="66"/>
      <c r="K197" s="121">
        <v>2</v>
      </c>
      <c r="L197" s="11">
        <v>15</v>
      </c>
      <c r="M197" s="12">
        <v>164</v>
      </c>
      <c r="N197" s="13">
        <v>2370</v>
      </c>
      <c r="O197" s="14"/>
      <c r="P197" s="15"/>
      <c r="Q197" s="16"/>
      <c r="R197" s="17">
        <v>500</v>
      </c>
      <c r="S197" s="17">
        <f t="shared" si="22"/>
        <v>1185000</v>
      </c>
      <c r="T197" s="18"/>
      <c r="U197" s="19"/>
      <c r="V197" s="20"/>
      <c r="W197" s="21"/>
      <c r="X197" s="17"/>
      <c r="Y197" s="22" t="s">
        <v>230</v>
      </c>
      <c r="Z197" s="23">
        <f t="shared" si="21"/>
        <v>-1185000</v>
      </c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</row>
    <row r="198" spans="1:68" s="68" customFormat="1" ht="16" customHeight="1" x14ac:dyDescent="0.45">
      <c r="A198" s="69">
        <v>2603</v>
      </c>
      <c r="B198" s="2">
        <v>46094</v>
      </c>
      <c r="C198" s="161" t="s">
        <v>86</v>
      </c>
      <c r="D198" s="145" t="s">
        <v>40</v>
      </c>
      <c r="E198" s="4" t="s">
        <v>142</v>
      </c>
      <c r="F198" s="5" t="s">
        <v>177</v>
      </c>
      <c r="G198" s="4" t="s">
        <v>38</v>
      </c>
      <c r="H198" s="66" t="s">
        <v>39</v>
      </c>
      <c r="I198" s="66" t="s">
        <v>79</v>
      </c>
      <c r="J198" s="66"/>
      <c r="K198" s="121">
        <v>46</v>
      </c>
      <c r="L198" s="11">
        <v>7</v>
      </c>
      <c r="M198" s="12">
        <v>93</v>
      </c>
      <c r="N198" s="13">
        <v>1419</v>
      </c>
      <c r="O198" s="14"/>
      <c r="P198" s="15"/>
      <c r="Q198" s="16"/>
      <c r="R198" s="17">
        <v>550</v>
      </c>
      <c r="S198" s="17">
        <f t="shared" si="22"/>
        <v>780450</v>
      </c>
      <c r="T198" s="18"/>
      <c r="U198" s="19"/>
      <c r="V198" s="20"/>
      <c r="W198" s="21"/>
      <c r="X198" s="17"/>
      <c r="Y198" s="22" t="s">
        <v>230</v>
      </c>
      <c r="Z198" s="23">
        <f t="shared" si="21"/>
        <v>-780450</v>
      </c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</row>
    <row r="199" spans="1:68" s="68" customFormat="1" ht="16" customHeight="1" x14ac:dyDescent="0.45">
      <c r="A199" s="69">
        <v>2603</v>
      </c>
      <c r="B199" s="2">
        <v>46094</v>
      </c>
      <c r="C199" s="161" t="s">
        <v>86</v>
      </c>
      <c r="D199" s="145" t="s">
        <v>40</v>
      </c>
      <c r="E199" s="4" t="s">
        <v>142</v>
      </c>
      <c r="F199" s="5" t="s">
        <v>177</v>
      </c>
      <c r="G199" s="4" t="s">
        <v>38</v>
      </c>
      <c r="H199" s="66" t="s">
        <v>39</v>
      </c>
      <c r="I199" s="66" t="s">
        <v>81</v>
      </c>
      <c r="J199" s="66"/>
      <c r="K199" s="121">
        <v>35</v>
      </c>
      <c r="L199" s="11">
        <v>6</v>
      </c>
      <c r="M199" s="12">
        <v>91.2</v>
      </c>
      <c r="N199" s="13">
        <v>1440</v>
      </c>
      <c r="O199" s="14"/>
      <c r="P199" s="15"/>
      <c r="Q199" s="16"/>
      <c r="R199" s="17">
        <v>500</v>
      </c>
      <c r="S199" s="17">
        <f t="shared" si="22"/>
        <v>720000</v>
      </c>
      <c r="T199" s="18"/>
      <c r="U199" s="19"/>
      <c r="V199" s="20"/>
      <c r="W199" s="21"/>
      <c r="X199" s="17"/>
      <c r="Y199" s="22" t="s">
        <v>230</v>
      </c>
      <c r="Z199" s="23">
        <f t="shared" si="21"/>
        <v>-720000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</row>
    <row r="200" spans="1:68" s="68" customFormat="1" ht="16" customHeight="1" x14ac:dyDescent="0.45">
      <c r="A200" s="69">
        <v>2603</v>
      </c>
      <c r="B200" s="2">
        <v>46094</v>
      </c>
      <c r="C200" s="161" t="s">
        <v>86</v>
      </c>
      <c r="D200" s="145" t="s">
        <v>40</v>
      </c>
      <c r="E200" s="4" t="s">
        <v>142</v>
      </c>
      <c r="F200" s="5" t="s">
        <v>177</v>
      </c>
      <c r="G200" s="4" t="s">
        <v>38</v>
      </c>
      <c r="H200" s="66" t="s">
        <v>39</v>
      </c>
      <c r="I200" s="66" t="s">
        <v>81</v>
      </c>
      <c r="J200" s="66"/>
      <c r="K200" s="121">
        <v>34</v>
      </c>
      <c r="L200" s="11">
        <v>6</v>
      </c>
      <c r="M200" s="12">
        <v>90.8</v>
      </c>
      <c r="N200" s="13">
        <v>1427</v>
      </c>
      <c r="O200" s="14"/>
      <c r="P200" s="15"/>
      <c r="Q200" s="16"/>
      <c r="R200" s="17">
        <v>500</v>
      </c>
      <c r="S200" s="17">
        <f t="shared" si="22"/>
        <v>713500</v>
      </c>
      <c r="T200" s="18"/>
      <c r="U200" s="19"/>
      <c r="V200" s="20"/>
      <c r="W200" s="21"/>
      <c r="X200" s="17"/>
      <c r="Y200" s="22" t="s">
        <v>230</v>
      </c>
      <c r="Z200" s="23">
        <f t="shared" si="21"/>
        <v>-713500</v>
      </c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</row>
    <row r="201" spans="1:68" s="68" customFormat="1" ht="16" customHeight="1" x14ac:dyDescent="0.45">
      <c r="A201" s="69">
        <v>2603</v>
      </c>
      <c r="B201" s="2">
        <v>46101</v>
      </c>
      <c r="C201" s="161" t="s">
        <v>39</v>
      </c>
      <c r="D201" s="145" t="s">
        <v>40</v>
      </c>
      <c r="E201" s="4" t="s">
        <v>142</v>
      </c>
      <c r="F201" s="5" t="s">
        <v>298</v>
      </c>
      <c r="G201" s="4" t="s">
        <v>38</v>
      </c>
      <c r="H201" s="66" t="s">
        <v>39</v>
      </c>
      <c r="I201" s="66" t="s">
        <v>79</v>
      </c>
      <c r="J201" s="66"/>
      <c r="K201" s="121">
        <v>47</v>
      </c>
      <c r="L201" s="11">
        <v>7</v>
      </c>
      <c r="M201" s="12">
        <v>76.900000000000006</v>
      </c>
      <c r="N201" s="13">
        <v>1092</v>
      </c>
      <c r="O201" s="14"/>
      <c r="P201" s="15"/>
      <c r="Q201" s="16"/>
      <c r="R201" s="17">
        <v>550</v>
      </c>
      <c r="S201" s="17">
        <f t="shared" si="22"/>
        <v>600600</v>
      </c>
      <c r="T201" s="18"/>
      <c r="U201" s="19"/>
      <c r="V201" s="20"/>
      <c r="W201" s="21"/>
      <c r="X201" s="17"/>
      <c r="Y201" s="22" t="s">
        <v>230</v>
      </c>
      <c r="Z201" s="23">
        <f t="shared" si="21"/>
        <v>-600600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</row>
    <row r="202" spans="1:68" s="68" customFormat="1" ht="16" customHeight="1" x14ac:dyDescent="0.45">
      <c r="A202" s="69">
        <v>2603</v>
      </c>
      <c r="B202" s="2">
        <v>46101</v>
      </c>
      <c r="C202" s="161" t="s">
        <v>39</v>
      </c>
      <c r="D202" s="145" t="s">
        <v>40</v>
      </c>
      <c r="E202" s="4" t="s">
        <v>142</v>
      </c>
      <c r="F202" s="5" t="s">
        <v>298</v>
      </c>
      <c r="G202" s="4" t="s">
        <v>38</v>
      </c>
      <c r="H202" s="66" t="s">
        <v>39</v>
      </c>
      <c r="I202" s="66" t="s">
        <v>79</v>
      </c>
      <c r="J202" s="66"/>
      <c r="K202" s="121">
        <v>48</v>
      </c>
      <c r="L202" s="11">
        <v>8</v>
      </c>
      <c r="M202" s="12">
        <v>94.8</v>
      </c>
      <c r="N202" s="13">
        <v>1359</v>
      </c>
      <c r="O202" s="14"/>
      <c r="P202" s="15"/>
      <c r="Q202" s="16"/>
      <c r="R202" s="17">
        <v>550</v>
      </c>
      <c r="S202" s="17">
        <f t="shared" si="22"/>
        <v>747450</v>
      </c>
      <c r="T202" s="18"/>
      <c r="U202" s="19"/>
      <c r="V202" s="20"/>
      <c r="W202" s="21"/>
      <c r="X202" s="17"/>
      <c r="Y202" s="22" t="s">
        <v>230</v>
      </c>
      <c r="Z202" s="23">
        <f t="shared" si="21"/>
        <v>-747450</v>
      </c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</row>
    <row r="203" spans="1:68" s="68" customFormat="1" ht="16" customHeight="1" x14ac:dyDescent="0.45">
      <c r="A203" s="69">
        <v>2603</v>
      </c>
      <c r="B203" s="2">
        <v>46101</v>
      </c>
      <c r="C203" s="161" t="s">
        <v>39</v>
      </c>
      <c r="D203" s="145" t="s">
        <v>40</v>
      </c>
      <c r="E203" s="4" t="s">
        <v>142</v>
      </c>
      <c r="F203" s="5" t="s">
        <v>298</v>
      </c>
      <c r="G203" s="4" t="s">
        <v>38</v>
      </c>
      <c r="H203" s="66" t="s">
        <v>39</v>
      </c>
      <c r="I203" s="66" t="s">
        <v>79</v>
      </c>
      <c r="J203" s="66"/>
      <c r="K203" s="121">
        <v>49</v>
      </c>
      <c r="L203" s="11">
        <v>4</v>
      </c>
      <c r="M203" s="12">
        <v>48.9</v>
      </c>
      <c r="N203" s="13">
        <v>718</v>
      </c>
      <c r="O203" s="14"/>
      <c r="P203" s="15"/>
      <c r="Q203" s="16"/>
      <c r="R203" s="17">
        <v>550</v>
      </c>
      <c r="S203" s="17">
        <f t="shared" si="22"/>
        <v>394900</v>
      </c>
      <c r="T203" s="18"/>
      <c r="U203" s="19"/>
      <c r="V203" s="20"/>
      <c r="W203" s="21"/>
      <c r="X203" s="17"/>
      <c r="Y203" s="22" t="s">
        <v>230</v>
      </c>
      <c r="Z203" s="23">
        <f t="shared" si="21"/>
        <v>-394900</v>
      </c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</row>
    <row r="204" spans="1:68" s="68" customFormat="1" ht="16" customHeight="1" x14ac:dyDescent="0.45">
      <c r="A204" s="69">
        <v>2603</v>
      </c>
      <c r="B204" s="2">
        <v>46104</v>
      </c>
      <c r="C204" s="161" t="s">
        <v>39</v>
      </c>
      <c r="D204" s="145" t="s">
        <v>40</v>
      </c>
      <c r="E204" s="4" t="s">
        <v>142</v>
      </c>
      <c r="F204" s="5" t="s">
        <v>298</v>
      </c>
      <c r="G204" s="4" t="s">
        <v>38</v>
      </c>
      <c r="H204" s="66" t="s">
        <v>39</v>
      </c>
      <c r="I204" s="66" t="s">
        <v>79</v>
      </c>
      <c r="J204" s="66"/>
      <c r="K204" s="121">
        <v>50</v>
      </c>
      <c r="L204" s="11">
        <v>4</v>
      </c>
      <c r="M204" s="12">
        <v>43.9</v>
      </c>
      <c r="N204" s="13">
        <v>673</v>
      </c>
      <c r="O204" s="14"/>
      <c r="P204" s="15"/>
      <c r="Q204" s="16"/>
      <c r="R204" s="17">
        <v>550</v>
      </c>
      <c r="S204" s="17">
        <f t="shared" si="22"/>
        <v>370150</v>
      </c>
      <c r="T204" s="18"/>
      <c r="U204" s="19"/>
      <c r="V204" s="20"/>
      <c r="W204" s="21"/>
      <c r="X204" s="17"/>
      <c r="Y204" s="22" t="s">
        <v>230</v>
      </c>
      <c r="Z204" s="23">
        <f t="shared" si="21"/>
        <v>-370150</v>
      </c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</row>
    <row r="205" spans="1:68" s="68" customFormat="1" ht="16" customHeight="1" x14ac:dyDescent="0.45">
      <c r="A205" s="69">
        <v>2603</v>
      </c>
      <c r="B205" s="2">
        <v>46098</v>
      </c>
      <c r="C205" s="161" t="s">
        <v>187</v>
      </c>
      <c r="D205" s="145" t="s">
        <v>97</v>
      </c>
      <c r="E205" s="4" t="s">
        <v>154</v>
      </c>
      <c r="F205" s="5" t="s">
        <v>188</v>
      </c>
      <c r="G205" s="4" t="s">
        <v>56</v>
      </c>
      <c r="H205" s="66" t="s">
        <v>287</v>
      </c>
      <c r="I205" s="66" t="s">
        <v>288</v>
      </c>
      <c r="J205" s="66"/>
      <c r="K205" s="121"/>
      <c r="L205" s="11">
        <v>162</v>
      </c>
      <c r="M205" s="12">
        <v>5005.8</v>
      </c>
      <c r="N205" s="13"/>
      <c r="O205" s="14"/>
      <c r="P205" s="15"/>
      <c r="Q205" s="16"/>
      <c r="R205" s="17" t="s">
        <v>288</v>
      </c>
      <c r="S205" s="17"/>
      <c r="T205" s="18"/>
      <c r="U205" s="19"/>
      <c r="V205" s="20"/>
      <c r="W205" s="21"/>
      <c r="X205" s="17"/>
      <c r="Y205" s="22" t="s">
        <v>216</v>
      </c>
      <c r="Z205" s="23">
        <f t="shared" si="21"/>
        <v>0</v>
      </c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</row>
    <row r="206" spans="1:68" s="68" customFormat="1" ht="16" customHeight="1" x14ac:dyDescent="0.45">
      <c r="A206" s="69">
        <v>2603</v>
      </c>
      <c r="B206" s="2">
        <v>46097</v>
      </c>
      <c r="C206" s="161" t="s">
        <v>187</v>
      </c>
      <c r="D206" s="145" t="s">
        <v>127</v>
      </c>
      <c r="E206" s="4" t="s">
        <v>154</v>
      </c>
      <c r="F206" s="5" t="s">
        <v>188</v>
      </c>
      <c r="G206" s="4" t="s">
        <v>56</v>
      </c>
      <c r="H206" s="66" t="s">
        <v>289</v>
      </c>
      <c r="I206" s="66"/>
      <c r="J206" s="66" t="s">
        <v>138</v>
      </c>
      <c r="K206" s="121"/>
      <c r="L206" s="11">
        <v>5</v>
      </c>
      <c r="M206" s="12">
        <v>1875</v>
      </c>
      <c r="N206" s="13"/>
      <c r="O206" s="14"/>
      <c r="P206" s="15">
        <v>2205</v>
      </c>
      <c r="Q206" s="16">
        <f>M206*P206</f>
        <v>4134375</v>
      </c>
      <c r="R206" s="17"/>
      <c r="S206" s="17"/>
      <c r="T206" s="18"/>
      <c r="U206" s="19"/>
      <c r="V206" s="20"/>
      <c r="W206" s="21"/>
      <c r="X206" s="17"/>
      <c r="Y206" s="22" t="s">
        <v>181</v>
      </c>
      <c r="Z206" s="23">
        <f t="shared" si="21"/>
        <v>-4134375</v>
      </c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</row>
    <row r="207" spans="1:68" s="68" customFormat="1" ht="16" customHeight="1" x14ac:dyDescent="0.45">
      <c r="A207" s="69">
        <v>2603</v>
      </c>
      <c r="B207" s="2">
        <v>46097</v>
      </c>
      <c r="C207" s="161" t="s">
        <v>187</v>
      </c>
      <c r="D207" s="145" t="s">
        <v>127</v>
      </c>
      <c r="E207" s="4" t="s">
        <v>154</v>
      </c>
      <c r="F207" s="5" t="s">
        <v>188</v>
      </c>
      <c r="G207" s="4" t="s">
        <v>56</v>
      </c>
      <c r="H207" s="66" t="s">
        <v>289</v>
      </c>
      <c r="I207" s="66"/>
      <c r="J207" s="66" t="s">
        <v>136</v>
      </c>
      <c r="K207" s="121"/>
      <c r="L207" s="11">
        <v>1</v>
      </c>
      <c r="M207" s="12">
        <v>383.7</v>
      </c>
      <c r="N207" s="13"/>
      <c r="O207" s="14"/>
      <c r="P207" s="15">
        <v>1874</v>
      </c>
      <c r="Q207" s="16">
        <f>M207*P207</f>
        <v>719053.79999999993</v>
      </c>
      <c r="R207" s="17"/>
      <c r="S207" s="17"/>
      <c r="T207" s="18"/>
      <c r="U207" s="19"/>
      <c r="V207" s="20"/>
      <c r="W207" s="21"/>
      <c r="X207" s="17"/>
      <c r="Y207" s="22" t="s">
        <v>181</v>
      </c>
      <c r="Z207" s="23">
        <f t="shared" si="21"/>
        <v>-719053.79999999993</v>
      </c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</row>
    <row r="208" spans="1:68" s="68" customFormat="1" ht="16" customHeight="1" x14ac:dyDescent="0.45">
      <c r="A208" s="69">
        <v>2603</v>
      </c>
      <c r="B208" s="2">
        <v>46106</v>
      </c>
      <c r="C208" s="161" t="s">
        <v>189</v>
      </c>
      <c r="D208" s="145" t="s">
        <v>158</v>
      </c>
      <c r="E208" s="4" t="s">
        <v>154</v>
      </c>
      <c r="F208" s="5" t="s">
        <v>188</v>
      </c>
      <c r="G208" s="4" t="s">
        <v>56</v>
      </c>
      <c r="H208" s="66" t="s">
        <v>140</v>
      </c>
      <c r="I208" s="66"/>
      <c r="J208" s="66"/>
      <c r="K208" s="121"/>
      <c r="L208" s="11">
        <v>63</v>
      </c>
      <c r="M208" s="12">
        <v>1891.7</v>
      </c>
      <c r="N208" s="13"/>
      <c r="O208" s="14"/>
      <c r="P208" s="15">
        <v>4000</v>
      </c>
      <c r="Q208" s="16">
        <f>M208*P208</f>
        <v>7566800</v>
      </c>
      <c r="R208" s="17"/>
      <c r="S208" s="17"/>
      <c r="T208" s="18"/>
      <c r="U208" s="19"/>
      <c r="V208" s="20"/>
      <c r="W208" s="21"/>
      <c r="X208" s="17"/>
      <c r="Y208" s="22" t="s">
        <v>181</v>
      </c>
      <c r="Z208" s="23">
        <f t="shared" si="21"/>
        <v>-7566800</v>
      </c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</row>
    <row r="209" spans="1:68" ht="16" customHeight="1" x14ac:dyDescent="0.45">
      <c r="A209" s="69">
        <v>2603</v>
      </c>
      <c r="B209" s="70">
        <v>46085</v>
      </c>
      <c r="C209" s="159" t="s">
        <v>279</v>
      </c>
      <c r="D209" s="160" t="s">
        <v>146</v>
      </c>
      <c r="E209" s="72" t="s">
        <v>38</v>
      </c>
      <c r="F209" s="73" t="s">
        <v>177</v>
      </c>
      <c r="G209" s="72" t="s">
        <v>38</v>
      </c>
      <c r="H209" s="74" t="s">
        <v>270</v>
      </c>
      <c r="I209" s="74"/>
      <c r="J209" s="74"/>
      <c r="K209" s="75"/>
      <c r="L209" s="76">
        <v>1</v>
      </c>
      <c r="M209" s="77"/>
      <c r="N209" s="78">
        <v>30</v>
      </c>
      <c r="O209" s="79">
        <v>27</v>
      </c>
      <c r="P209" s="131"/>
      <c r="Q209" s="132"/>
      <c r="R209" s="133">
        <v>5000</v>
      </c>
      <c r="S209" s="133">
        <f>N209*R209</f>
        <v>150000</v>
      </c>
      <c r="T209" s="80"/>
      <c r="U209" s="81"/>
      <c r="V209" s="82"/>
      <c r="W209" s="83"/>
      <c r="X209" s="133"/>
      <c r="Y209" s="134" t="s">
        <v>181</v>
      </c>
      <c r="Z209" s="142">
        <f t="shared" si="21"/>
        <v>-150000</v>
      </c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</row>
    <row r="210" spans="1:68" s="68" customFormat="1" ht="16" customHeight="1" x14ac:dyDescent="0.45">
      <c r="A210" s="69">
        <v>2603</v>
      </c>
      <c r="B210" s="70">
        <v>46097</v>
      </c>
      <c r="C210" s="159" t="s">
        <v>86</v>
      </c>
      <c r="D210" s="160" t="s">
        <v>142</v>
      </c>
      <c r="E210" s="72" t="s">
        <v>38</v>
      </c>
      <c r="F210" s="73" t="s">
        <v>177</v>
      </c>
      <c r="G210" s="72" t="s">
        <v>38</v>
      </c>
      <c r="H210" s="74" t="s">
        <v>276</v>
      </c>
      <c r="I210" s="74"/>
      <c r="J210" s="74"/>
      <c r="K210" s="85"/>
      <c r="L210" s="76">
        <v>10</v>
      </c>
      <c r="M210" s="77"/>
      <c r="N210" s="78"/>
      <c r="O210" s="79">
        <v>2894</v>
      </c>
      <c r="P210" s="131"/>
      <c r="Q210" s="132"/>
      <c r="R210" s="133">
        <v>2400</v>
      </c>
      <c r="S210" s="133">
        <f>O210*R210</f>
        <v>6945600</v>
      </c>
      <c r="T210" s="80"/>
      <c r="U210" s="81"/>
      <c r="V210" s="82">
        <v>4700</v>
      </c>
      <c r="W210" s="83">
        <f>O210*V210</f>
        <v>13601800</v>
      </c>
      <c r="X210" s="133"/>
      <c r="Y210" s="134" t="s">
        <v>192</v>
      </c>
      <c r="Z210" s="142">
        <f t="shared" si="21"/>
        <v>6656200</v>
      </c>
    </row>
    <row r="211" spans="1:68" s="68" customFormat="1" ht="16" customHeight="1" x14ac:dyDescent="0.45">
      <c r="A211" s="69">
        <v>2603</v>
      </c>
      <c r="B211" s="70">
        <v>46101</v>
      </c>
      <c r="C211" s="159" t="s">
        <v>86</v>
      </c>
      <c r="D211" s="160" t="s">
        <v>293</v>
      </c>
      <c r="E211" s="72" t="s">
        <v>82</v>
      </c>
      <c r="F211" s="73" t="s">
        <v>177</v>
      </c>
      <c r="G211" s="72" t="s">
        <v>82</v>
      </c>
      <c r="H211" s="74" t="s">
        <v>242</v>
      </c>
      <c r="I211" s="74" t="s">
        <v>294</v>
      </c>
      <c r="J211" s="74"/>
      <c r="K211" s="85"/>
      <c r="L211" s="76"/>
      <c r="M211" s="77"/>
      <c r="N211" s="78"/>
      <c r="O211" s="79">
        <v>2616</v>
      </c>
      <c r="P211" s="131"/>
      <c r="Q211" s="132"/>
      <c r="R211" s="133">
        <v>2400</v>
      </c>
      <c r="S211" s="133">
        <f>O211*R211</f>
        <v>6278400</v>
      </c>
      <c r="T211" s="80"/>
      <c r="U211" s="81"/>
      <c r="V211" s="82">
        <v>4700</v>
      </c>
      <c r="W211" s="83">
        <f>O211*V211</f>
        <v>12295200</v>
      </c>
      <c r="X211" s="133"/>
      <c r="Y211" s="134" t="s">
        <v>192</v>
      </c>
      <c r="Z211" s="142">
        <f t="shared" si="21"/>
        <v>6016800</v>
      </c>
    </row>
    <row r="212" spans="1:68" s="68" customFormat="1" ht="16" customHeight="1" x14ac:dyDescent="0.45">
      <c r="A212" s="69">
        <v>2603</v>
      </c>
      <c r="B212" s="70">
        <v>46101</v>
      </c>
      <c r="C212" s="159" t="s">
        <v>86</v>
      </c>
      <c r="D212" s="160" t="s">
        <v>293</v>
      </c>
      <c r="E212" s="72" t="s">
        <v>82</v>
      </c>
      <c r="F212" s="73" t="s">
        <v>177</v>
      </c>
      <c r="G212" s="72" t="s">
        <v>82</v>
      </c>
      <c r="H212" s="74" t="s">
        <v>242</v>
      </c>
      <c r="I212" s="74" t="s">
        <v>295</v>
      </c>
      <c r="J212" s="74"/>
      <c r="K212" s="85"/>
      <c r="L212" s="76"/>
      <c r="M212" s="77"/>
      <c r="N212" s="78"/>
      <c r="O212" s="79">
        <v>1284</v>
      </c>
      <c r="P212" s="131"/>
      <c r="Q212" s="132"/>
      <c r="R212" s="133">
        <v>2400</v>
      </c>
      <c r="S212" s="133">
        <f>O212*R212</f>
        <v>3081600</v>
      </c>
      <c r="T212" s="80"/>
      <c r="U212" s="81"/>
      <c r="V212" s="82">
        <v>4700</v>
      </c>
      <c r="W212" s="83">
        <f>O212*V212</f>
        <v>6034800</v>
      </c>
      <c r="X212" s="133"/>
      <c r="Y212" s="134" t="s">
        <v>192</v>
      </c>
      <c r="Z212" s="142">
        <f t="shared" si="21"/>
        <v>2953200</v>
      </c>
    </row>
    <row r="213" spans="1:68" s="68" customFormat="1" ht="16" customHeight="1" x14ac:dyDescent="0.45">
      <c r="A213" s="69">
        <v>2603</v>
      </c>
      <c r="B213" s="2">
        <v>46097</v>
      </c>
      <c r="C213" s="161" t="s">
        <v>189</v>
      </c>
      <c r="D213" s="145" t="s">
        <v>284</v>
      </c>
      <c r="E213" s="4" t="s">
        <v>97</v>
      </c>
      <c r="F213" s="5" t="s">
        <v>188</v>
      </c>
      <c r="G213" s="4" t="s">
        <v>56</v>
      </c>
      <c r="H213" s="66" t="s">
        <v>285</v>
      </c>
      <c r="I213" s="66"/>
      <c r="J213" s="66"/>
      <c r="K213" s="121"/>
      <c r="L213" s="11">
        <v>670</v>
      </c>
      <c r="M213" s="12">
        <v>20511.7</v>
      </c>
      <c r="N213" s="13"/>
      <c r="O213" s="14"/>
      <c r="P213" s="15">
        <v>2755</v>
      </c>
      <c r="Q213" s="16">
        <f>M213*P213</f>
        <v>56509733.5</v>
      </c>
      <c r="R213" s="17"/>
      <c r="S213" s="17"/>
      <c r="T213" s="18"/>
      <c r="U213" s="19"/>
      <c r="V213" s="20"/>
      <c r="W213" s="21"/>
      <c r="X213" s="17"/>
      <c r="Y213" s="22" t="s">
        <v>181</v>
      </c>
      <c r="Z213" s="23">
        <f t="shared" si="21"/>
        <v>-56509733.5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</row>
    <row r="214" spans="1:68" s="68" customFormat="1" ht="16" customHeight="1" x14ac:dyDescent="0.45">
      <c r="A214" s="69">
        <v>2603</v>
      </c>
      <c r="B214" s="70">
        <v>46097</v>
      </c>
      <c r="C214" s="159" t="s">
        <v>290</v>
      </c>
      <c r="D214" s="160" t="s">
        <v>85</v>
      </c>
      <c r="E214" s="72" t="s">
        <v>104</v>
      </c>
      <c r="F214" s="73" t="s">
        <v>195</v>
      </c>
      <c r="G214" s="72" t="s">
        <v>104</v>
      </c>
      <c r="H214" s="74" t="s">
        <v>145</v>
      </c>
      <c r="I214" s="74" t="s">
        <v>141</v>
      </c>
      <c r="J214" s="74"/>
      <c r="K214" s="85"/>
      <c r="L214" s="76">
        <v>74</v>
      </c>
      <c r="M214" s="77"/>
      <c r="N214" s="78">
        <v>21507</v>
      </c>
      <c r="O214" s="79"/>
      <c r="P214" s="131"/>
      <c r="Q214" s="132"/>
      <c r="R214" s="133">
        <v>920</v>
      </c>
      <c r="S214" s="133">
        <f>R214*N214</f>
        <v>19786440</v>
      </c>
      <c r="T214" s="80"/>
      <c r="U214" s="81"/>
      <c r="V214" s="82">
        <v>1400</v>
      </c>
      <c r="W214" s="83">
        <f>V214*N214</f>
        <v>30109800</v>
      </c>
      <c r="X214" s="133"/>
      <c r="Y214" s="134" t="s">
        <v>196</v>
      </c>
      <c r="Z214" s="142">
        <f t="shared" si="21"/>
        <v>10323360</v>
      </c>
    </row>
    <row r="215" spans="1:68" s="68" customFormat="1" ht="16" customHeight="1" x14ac:dyDescent="0.45">
      <c r="A215" s="69">
        <v>2603</v>
      </c>
      <c r="B215" s="70">
        <v>46097</v>
      </c>
      <c r="C215" s="159" t="s">
        <v>234</v>
      </c>
      <c r="D215" s="160" t="s">
        <v>85</v>
      </c>
      <c r="E215" s="72" t="s">
        <v>104</v>
      </c>
      <c r="F215" s="73" t="s">
        <v>195</v>
      </c>
      <c r="G215" s="72" t="s">
        <v>104</v>
      </c>
      <c r="H215" s="74" t="s">
        <v>125</v>
      </c>
      <c r="I215" s="74" t="s">
        <v>121</v>
      </c>
      <c r="J215" s="74" t="s">
        <v>291</v>
      </c>
      <c r="K215" s="85"/>
      <c r="L215" s="76">
        <v>37</v>
      </c>
      <c r="M215" s="77"/>
      <c r="N215" s="78">
        <v>10705</v>
      </c>
      <c r="O215" s="79"/>
      <c r="P215" s="131"/>
      <c r="Q215" s="132"/>
      <c r="R215" s="133">
        <v>880</v>
      </c>
      <c r="S215" s="133">
        <f>R215*N215</f>
        <v>9420400</v>
      </c>
      <c r="T215" s="80"/>
      <c r="U215" s="81"/>
      <c r="V215" s="82">
        <v>1150</v>
      </c>
      <c r="W215" s="83">
        <f>V215*N215</f>
        <v>12310750</v>
      </c>
      <c r="X215" s="133"/>
      <c r="Y215" s="134" t="s">
        <v>196</v>
      </c>
      <c r="Z215" s="142">
        <f t="shared" si="21"/>
        <v>2890350</v>
      </c>
    </row>
    <row r="216" spans="1:68" s="68" customFormat="1" ht="16" customHeight="1" x14ac:dyDescent="0.45">
      <c r="A216" s="69">
        <v>2603</v>
      </c>
      <c r="B216" s="2">
        <v>46090</v>
      </c>
      <c r="C216" s="161" t="s">
        <v>283</v>
      </c>
      <c r="D216" s="145" t="s">
        <v>91</v>
      </c>
      <c r="E216" s="4" t="s">
        <v>58</v>
      </c>
      <c r="F216" s="5" t="s">
        <v>199</v>
      </c>
      <c r="G216" s="4" t="s">
        <v>59</v>
      </c>
      <c r="H216" s="66" t="s">
        <v>98</v>
      </c>
      <c r="I216" s="66"/>
      <c r="J216" s="66"/>
      <c r="K216" s="121"/>
      <c r="L216" s="11"/>
      <c r="M216" s="12">
        <v>1548</v>
      </c>
      <c r="N216" s="13"/>
      <c r="O216" s="14"/>
      <c r="P216" s="15">
        <v>2304</v>
      </c>
      <c r="Q216" s="16">
        <f>M216*P216</f>
        <v>3566592</v>
      </c>
      <c r="R216" s="17"/>
      <c r="S216" s="17"/>
      <c r="T216" s="18"/>
      <c r="U216" s="19"/>
      <c r="V216" s="20"/>
      <c r="W216" s="21"/>
      <c r="X216" s="17"/>
      <c r="Y216" s="22" t="s">
        <v>181</v>
      </c>
      <c r="Z216" s="23">
        <f t="shared" si="21"/>
        <v>-3566592</v>
      </c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</row>
    <row r="217" spans="1:68" s="68" customFormat="1" ht="16" customHeight="1" x14ac:dyDescent="0.45">
      <c r="A217" s="69">
        <v>2603</v>
      </c>
      <c r="B217" s="2">
        <v>46090</v>
      </c>
      <c r="C217" s="161" t="s">
        <v>283</v>
      </c>
      <c r="D217" s="145" t="s">
        <v>91</v>
      </c>
      <c r="E217" s="4" t="s">
        <v>58</v>
      </c>
      <c r="F217" s="5" t="s">
        <v>199</v>
      </c>
      <c r="G217" s="4" t="s">
        <v>59</v>
      </c>
      <c r="H217" s="66" t="s">
        <v>119</v>
      </c>
      <c r="I217" s="66"/>
      <c r="J217" s="66"/>
      <c r="K217" s="121"/>
      <c r="L217" s="11"/>
      <c r="M217" s="12">
        <v>500</v>
      </c>
      <c r="N217" s="13"/>
      <c r="O217" s="14"/>
      <c r="P217" s="15">
        <v>2364</v>
      </c>
      <c r="Q217" s="16">
        <f>M217*P217</f>
        <v>1182000</v>
      </c>
      <c r="R217" s="17"/>
      <c r="S217" s="17"/>
      <c r="T217" s="18"/>
      <c r="U217" s="19"/>
      <c r="V217" s="20"/>
      <c r="W217" s="21"/>
      <c r="X217" s="17"/>
      <c r="Y217" s="22" t="s">
        <v>181</v>
      </c>
      <c r="Z217" s="23">
        <f t="shared" si="21"/>
        <v>-1182000</v>
      </c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</row>
    <row r="218" spans="1:68" ht="16" customHeight="1" x14ac:dyDescent="0.45">
      <c r="A218" s="69">
        <v>2603</v>
      </c>
      <c r="B218" s="2">
        <v>46084</v>
      </c>
      <c r="C218" s="161" t="s">
        <v>189</v>
      </c>
      <c r="D218" s="145" t="s">
        <v>154</v>
      </c>
      <c r="E218" s="4" t="s">
        <v>55</v>
      </c>
      <c r="F218" s="5" t="s">
        <v>188</v>
      </c>
      <c r="G218" s="4" t="s">
        <v>56</v>
      </c>
      <c r="H218" s="66" t="s">
        <v>235</v>
      </c>
      <c r="I218" s="66"/>
      <c r="J218" s="66"/>
      <c r="K218" s="67"/>
      <c r="L218" s="11">
        <v>3</v>
      </c>
      <c r="M218" s="12">
        <v>1265.5999999999999</v>
      </c>
      <c r="N218" s="13"/>
      <c r="O218" s="14"/>
      <c r="P218" s="15"/>
      <c r="Q218" s="16"/>
      <c r="R218" s="17">
        <v>1000</v>
      </c>
      <c r="S218" s="17">
        <f t="shared" ref="S218:S225" si="23">M218*R218</f>
        <v>1265600</v>
      </c>
      <c r="T218" s="18"/>
      <c r="U218" s="19"/>
      <c r="V218" s="20"/>
      <c r="W218" s="21"/>
      <c r="X218" s="17"/>
      <c r="Y218" s="22" t="s">
        <v>216</v>
      </c>
      <c r="Z218" s="23">
        <f t="shared" si="21"/>
        <v>-1265600</v>
      </c>
    </row>
    <row r="219" spans="1:68" ht="16" customHeight="1" x14ac:dyDescent="0.45">
      <c r="A219" s="69">
        <v>2603</v>
      </c>
      <c r="B219" s="2">
        <v>46085</v>
      </c>
      <c r="C219" s="161" t="s">
        <v>189</v>
      </c>
      <c r="D219" s="145" t="s">
        <v>154</v>
      </c>
      <c r="E219" s="4" t="s">
        <v>55</v>
      </c>
      <c r="F219" s="5" t="s">
        <v>188</v>
      </c>
      <c r="G219" s="4" t="s">
        <v>56</v>
      </c>
      <c r="H219" s="66" t="s">
        <v>156</v>
      </c>
      <c r="I219" s="66"/>
      <c r="J219" s="66"/>
      <c r="K219" s="67"/>
      <c r="L219" s="11">
        <v>6</v>
      </c>
      <c r="M219" s="12">
        <v>563.20000000000005</v>
      </c>
      <c r="N219" s="13"/>
      <c r="O219" s="14"/>
      <c r="P219" s="15"/>
      <c r="Q219" s="16"/>
      <c r="R219" s="17">
        <v>1000</v>
      </c>
      <c r="S219" s="17">
        <f t="shared" si="23"/>
        <v>563200</v>
      </c>
      <c r="T219" s="18"/>
      <c r="U219" s="19"/>
      <c r="V219" s="20"/>
      <c r="W219" s="21"/>
      <c r="X219" s="17"/>
      <c r="Y219" s="22" t="s">
        <v>216</v>
      </c>
      <c r="Z219" s="23">
        <f t="shared" si="21"/>
        <v>-563200</v>
      </c>
    </row>
    <row r="220" spans="1:68" s="68" customFormat="1" ht="16" customHeight="1" x14ac:dyDescent="0.45">
      <c r="A220" s="69">
        <v>2603</v>
      </c>
      <c r="B220" s="2">
        <v>46085</v>
      </c>
      <c r="C220" s="161" t="s">
        <v>189</v>
      </c>
      <c r="D220" s="145" t="s">
        <v>154</v>
      </c>
      <c r="E220" s="4" t="s">
        <v>55</v>
      </c>
      <c r="F220" s="5" t="s">
        <v>188</v>
      </c>
      <c r="G220" s="4" t="s">
        <v>56</v>
      </c>
      <c r="H220" s="66" t="s">
        <v>140</v>
      </c>
      <c r="I220" s="66"/>
      <c r="J220" s="66"/>
      <c r="K220" s="67"/>
      <c r="L220" s="11">
        <v>1</v>
      </c>
      <c r="M220" s="12">
        <v>455.9</v>
      </c>
      <c r="N220" s="13"/>
      <c r="O220" s="14"/>
      <c r="P220" s="15"/>
      <c r="Q220" s="16"/>
      <c r="R220" s="17">
        <v>1000</v>
      </c>
      <c r="S220" s="17">
        <f t="shared" si="23"/>
        <v>455900</v>
      </c>
      <c r="T220" s="18"/>
      <c r="U220" s="19"/>
      <c r="V220" s="20"/>
      <c r="W220" s="21"/>
      <c r="X220" s="17"/>
      <c r="Y220" s="22" t="s">
        <v>216</v>
      </c>
      <c r="Z220" s="23">
        <f t="shared" si="21"/>
        <v>-455900</v>
      </c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</row>
    <row r="221" spans="1:68" ht="16" customHeight="1" x14ac:dyDescent="0.45">
      <c r="A221" s="69">
        <v>2603</v>
      </c>
      <c r="B221" s="2">
        <v>46105</v>
      </c>
      <c r="C221" s="161" t="s">
        <v>189</v>
      </c>
      <c r="D221" s="145" t="s">
        <v>154</v>
      </c>
      <c r="E221" s="4" t="s">
        <v>55</v>
      </c>
      <c r="F221" s="5" t="s">
        <v>188</v>
      </c>
      <c r="G221" s="4" t="s">
        <v>56</v>
      </c>
      <c r="H221" s="66" t="s">
        <v>235</v>
      </c>
      <c r="I221" s="66"/>
      <c r="J221" s="66"/>
      <c r="K221" s="121"/>
      <c r="L221" s="11">
        <v>2</v>
      </c>
      <c r="M221" s="12">
        <v>838.4</v>
      </c>
      <c r="N221" s="13"/>
      <c r="O221" s="14"/>
      <c r="P221" s="15"/>
      <c r="Q221" s="16"/>
      <c r="R221" s="17">
        <v>1000</v>
      </c>
      <c r="S221" s="17">
        <f t="shared" si="23"/>
        <v>838400</v>
      </c>
      <c r="T221" s="18"/>
      <c r="U221" s="19"/>
      <c r="V221" s="20"/>
      <c r="W221" s="21"/>
      <c r="X221" s="17"/>
      <c r="Y221" s="22" t="s">
        <v>216</v>
      </c>
      <c r="Z221" s="23">
        <f t="shared" si="21"/>
        <v>-838400</v>
      </c>
    </row>
    <row r="222" spans="1:68" ht="16" customHeight="1" x14ac:dyDescent="0.45">
      <c r="A222" s="69">
        <v>2603</v>
      </c>
      <c r="B222" s="2">
        <v>46105</v>
      </c>
      <c r="C222" s="161" t="s">
        <v>189</v>
      </c>
      <c r="D222" s="145" t="s">
        <v>154</v>
      </c>
      <c r="E222" s="4" t="s">
        <v>55</v>
      </c>
      <c r="F222" s="5" t="s">
        <v>188</v>
      </c>
      <c r="G222" s="4" t="s">
        <v>56</v>
      </c>
      <c r="H222" s="66" t="s">
        <v>156</v>
      </c>
      <c r="I222" s="66"/>
      <c r="J222" s="66"/>
      <c r="K222" s="121"/>
      <c r="L222" s="11">
        <v>1</v>
      </c>
      <c r="M222" s="12">
        <v>420.9</v>
      </c>
      <c r="N222" s="13"/>
      <c r="O222" s="14"/>
      <c r="P222" s="15"/>
      <c r="Q222" s="16"/>
      <c r="R222" s="17">
        <v>1000</v>
      </c>
      <c r="S222" s="17">
        <f t="shared" si="23"/>
        <v>420900</v>
      </c>
      <c r="T222" s="18"/>
      <c r="U222" s="19"/>
      <c r="V222" s="20"/>
      <c r="W222" s="21"/>
      <c r="X222" s="17"/>
      <c r="Y222" s="22" t="s">
        <v>216</v>
      </c>
      <c r="Z222" s="23">
        <f t="shared" si="21"/>
        <v>-420900</v>
      </c>
    </row>
    <row r="223" spans="1:68" s="68" customFormat="1" ht="16" customHeight="1" x14ac:dyDescent="0.45">
      <c r="A223" s="69">
        <v>2603</v>
      </c>
      <c r="B223" s="2">
        <v>46104</v>
      </c>
      <c r="C223" s="161" t="s">
        <v>189</v>
      </c>
      <c r="D223" s="145" t="s">
        <v>154</v>
      </c>
      <c r="E223" s="4" t="s">
        <v>55</v>
      </c>
      <c r="F223" s="5" t="s">
        <v>188</v>
      </c>
      <c r="G223" s="4" t="s">
        <v>56</v>
      </c>
      <c r="H223" s="66" t="s">
        <v>156</v>
      </c>
      <c r="I223" s="66"/>
      <c r="J223" s="66"/>
      <c r="K223" s="121"/>
      <c r="L223" s="11">
        <v>1</v>
      </c>
      <c r="M223" s="12">
        <v>424.4</v>
      </c>
      <c r="N223" s="13"/>
      <c r="O223" s="14"/>
      <c r="P223" s="15"/>
      <c r="Q223" s="16"/>
      <c r="R223" s="17">
        <v>1000</v>
      </c>
      <c r="S223" s="17">
        <f t="shared" si="23"/>
        <v>424400</v>
      </c>
      <c r="T223" s="18"/>
      <c r="U223" s="19"/>
      <c r="V223" s="20"/>
      <c r="W223" s="21"/>
      <c r="X223" s="17"/>
      <c r="Y223" s="22" t="s">
        <v>216</v>
      </c>
      <c r="Z223" s="23">
        <f t="shared" si="21"/>
        <v>-424400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</row>
    <row r="224" spans="1:68" ht="16" customHeight="1" x14ac:dyDescent="0.45">
      <c r="A224" s="69">
        <v>2603</v>
      </c>
      <c r="B224" s="2">
        <v>46104</v>
      </c>
      <c r="C224" s="161" t="s">
        <v>189</v>
      </c>
      <c r="D224" s="145" t="s">
        <v>154</v>
      </c>
      <c r="E224" s="4" t="s">
        <v>55</v>
      </c>
      <c r="F224" s="5" t="s">
        <v>188</v>
      </c>
      <c r="G224" s="4" t="s">
        <v>56</v>
      </c>
      <c r="H224" s="66" t="s">
        <v>140</v>
      </c>
      <c r="I224" s="66"/>
      <c r="J224" s="66"/>
      <c r="K224" s="121"/>
      <c r="L224" s="11">
        <v>1</v>
      </c>
      <c r="M224" s="12">
        <v>226.1</v>
      </c>
      <c r="N224" s="13"/>
      <c r="O224" s="14"/>
      <c r="P224" s="15"/>
      <c r="Q224" s="16"/>
      <c r="R224" s="17">
        <v>1000</v>
      </c>
      <c r="S224" s="17">
        <f t="shared" si="23"/>
        <v>226100</v>
      </c>
      <c r="T224" s="18"/>
      <c r="U224" s="19"/>
      <c r="V224" s="20"/>
      <c r="W224" s="21"/>
      <c r="X224" s="17"/>
      <c r="Y224" s="22" t="s">
        <v>216</v>
      </c>
      <c r="Z224" s="23">
        <f t="shared" si="21"/>
        <v>-226100</v>
      </c>
    </row>
    <row r="225" spans="1:68" ht="16" customHeight="1" x14ac:dyDescent="0.45">
      <c r="A225" s="69">
        <v>2603</v>
      </c>
      <c r="B225" s="2">
        <v>46104</v>
      </c>
      <c r="C225" s="161" t="s">
        <v>189</v>
      </c>
      <c r="D225" s="145" t="s">
        <v>154</v>
      </c>
      <c r="E225" s="4" t="s">
        <v>55</v>
      </c>
      <c r="F225" s="5" t="s">
        <v>188</v>
      </c>
      <c r="G225" s="4" t="s">
        <v>56</v>
      </c>
      <c r="H225" s="66" t="s">
        <v>235</v>
      </c>
      <c r="I225" s="66"/>
      <c r="J225" s="66"/>
      <c r="K225" s="121"/>
      <c r="L225" s="11">
        <v>1</v>
      </c>
      <c r="M225" s="12">
        <v>420.9</v>
      </c>
      <c r="N225" s="13"/>
      <c r="O225" s="14"/>
      <c r="P225" s="15"/>
      <c r="Q225" s="16"/>
      <c r="R225" s="17">
        <v>1000</v>
      </c>
      <c r="S225" s="17">
        <f t="shared" si="23"/>
        <v>420900</v>
      </c>
      <c r="T225" s="18"/>
      <c r="U225" s="19"/>
      <c r="V225" s="20"/>
      <c r="W225" s="21"/>
      <c r="X225" s="17"/>
      <c r="Y225" s="22" t="s">
        <v>216</v>
      </c>
      <c r="Z225" s="23">
        <f t="shared" si="21"/>
        <v>-420900</v>
      </c>
    </row>
    <row r="226" spans="1:68" ht="16" customHeight="1" x14ac:dyDescent="0.45">
      <c r="A226" s="69">
        <v>2603</v>
      </c>
      <c r="B226" s="70">
        <v>46085</v>
      </c>
      <c r="C226" s="159" t="s">
        <v>277</v>
      </c>
      <c r="D226" s="160" t="s">
        <v>41</v>
      </c>
      <c r="E226" s="72" t="s">
        <v>42</v>
      </c>
      <c r="F226" s="73" t="s">
        <v>249</v>
      </c>
      <c r="G226" s="72" t="s">
        <v>42</v>
      </c>
      <c r="H226" s="74" t="s">
        <v>43</v>
      </c>
      <c r="I226" s="74" t="s">
        <v>44</v>
      </c>
      <c r="J226" s="74" t="s">
        <v>109</v>
      </c>
      <c r="K226" s="75"/>
      <c r="L226" s="76"/>
      <c r="M226" s="77"/>
      <c r="N226" s="78"/>
      <c r="O226" s="79">
        <v>788</v>
      </c>
      <c r="P226" s="131"/>
      <c r="Q226" s="132"/>
      <c r="R226" s="133">
        <v>170</v>
      </c>
      <c r="S226" s="133">
        <f>O226*R226</f>
        <v>133960</v>
      </c>
      <c r="T226" s="80"/>
      <c r="U226" s="81"/>
      <c r="V226" s="82">
        <v>6200</v>
      </c>
      <c r="W226" s="83">
        <f>O226*V226</f>
        <v>4885600</v>
      </c>
      <c r="X226" s="133"/>
      <c r="Y226" s="134" t="s">
        <v>192</v>
      </c>
      <c r="Z226" s="142">
        <f t="shared" si="21"/>
        <v>4751640</v>
      </c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</row>
    <row r="227" spans="1:68" ht="16" customHeight="1" x14ac:dyDescent="0.45">
      <c r="A227" s="69">
        <v>2603</v>
      </c>
      <c r="B227" s="70">
        <v>46085</v>
      </c>
      <c r="C227" s="159" t="s">
        <v>277</v>
      </c>
      <c r="D227" s="160" t="s">
        <v>41</v>
      </c>
      <c r="E227" s="72" t="s">
        <v>42</v>
      </c>
      <c r="F227" s="73" t="s">
        <v>249</v>
      </c>
      <c r="G227" s="72" t="s">
        <v>42</v>
      </c>
      <c r="H227" s="74" t="s">
        <v>43</v>
      </c>
      <c r="I227" s="74" t="s">
        <v>268</v>
      </c>
      <c r="J227" s="74" t="s">
        <v>109</v>
      </c>
      <c r="K227" s="75"/>
      <c r="L227" s="76"/>
      <c r="M227" s="77"/>
      <c r="N227" s="78"/>
      <c r="O227" s="79">
        <v>402</v>
      </c>
      <c r="P227" s="131"/>
      <c r="Q227" s="132"/>
      <c r="R227" s="133">
        <v>170</v>
      </c>
      <c r="S227" s="133">
        <f>O227*R227</f>
        <v>68340</v>
      </c>
      <c r="T227" s="80"/>
      <c r="U227" s="81"/>
      <c r="V227" s="82">
        <v>6200</v>
      </c>
      <c r="W227" s="83">
        <f>O227*V227</f>
        <v>2492400</v>
      </c>
      <c r="X227" s="133"/>
      <c r="Y227" s="134" t="s">
        <v>192</v>
      </c>
      <c r="Z227" s="142">
        <f t="shared" si="21"/>
        <v>2424060</v>
      </c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</row>
    <row r="228" spans="1:68" s="68" customFormat="1" ht="16" customHeight="1" x14ac:dyDescent="0.45">
      <c r="A228" s="69">
        <v>2603</v>
      </c>
      <c r="B228" s="70">
        <v>46085</v>
      </c>
      <c r="C228" s="159" t="s">
        <v>277</v>
      </c>
      <c r="D228" s="160" t="s">
        <v>64</v>
      </c>
      <c r="E228" s="72" t="s">
        <v>42</v>
      </c>
      <c r="F228" s="73" t="s">
        <v>249</v>
      </c>
      <c r="G228" s="72" t="s">
        <v>42</v>
      </c>
      <c r="H228" s="74" t="s">
        <v>109</v>
      </c>
      <c r="I228" s="74" t="s">
        <v>123</v>
      </c>
      <c r="J228" s="74"/>
      <c r="K228" s="75"/>
      <c r="L228" s="76"/>
      <c r="M228" s="77">
        <v>171.8</v>
      </c>
      <c r="N228" s="78"/>
      <c r="O228" s="79">
        <v>911</v>
      </c>
      <c r="P228" s="131"/>
      <c r="Q228" s="132"/>
      <c r="R228" s="133">
        <v>1850</v>
      </c>
      <c r="S228" s="133">
        <f>M228*R228</f>
        <v>317830</v>
      </c>
      <c r="T228" s="80"/>
      <c r="U228" s="81"/>
      <c r="V228" s="82">
        <v>1270</v>
      </c>
      <c r="W228" s="83">
        <f>O228*V228</f>
        <v>1156970</v>
      </c>
      <c r="X228" s="133"/>
      <c r="Y228" s="134" t="s">
        <v>230</v>
      </c>
      <c r="Z228" s="142">
        <f t="shared" si="21"/>
        <v>839140</v>
      </c>
    </row>
    <row r="229" spans="1:68" ht="16" customHeight="1" x14ac:dyDescent="0.45">
      <c r="A229" s="69">
        <v>2603</v>
      </c>
      <c r="B229" s="70">
        <v>46084</v>
      </c>
      <c r="C229" s="159" t="s">
        <v>277</v>
      </c>
      <c r="D229" s="160" t="s">
        <v>53</v>
      </c>
      <c r="E229" s="72" t="s">
        <v>42</v>
      </c>
      <c r="F229" s="73" t="s">
        <v>249</v>
      </c>
      <c r="G229" s="72" t="s">
        <v>42</v>
      </c>
      <c r="H229" s="74" t="s">
        <v>269</v>
      </c>
      <c r="I229" s="74"/>
      <c r="J229" s="74"/>
      <c r="K229" s="75"/>
      <c r="L229" s="76"/>
      <c r="M229" s="77"/>
      <c r="N229" s="78"/>
      <c r="O229" s="79">
        <v>1</v>
      </c>
      <c r="P229" s="131"/>
      <c r="Q229" s="132"/>
      <c r="R229" s="133"/>
      <c r="S229" s="133">
        <v>500000</v>
      </c>
      <c r="T229" s="80"/>
      <c r="U229" s="81"/>
      <c r="V229" s="82">
        <v>250000</v>
      </c>
      <c r="W229" s="83">
        <v>250000</v>
      </c>
      <c r="X229" s="133"/>
      <c r="Y229" s="134" t="s">
        <v>196</v>
      </c>
      <c r="Z229" s="142">
        <f t="shared" si="21"/>
        <v>-250000</v>
      </c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</row>
    <row r="230" spans="1:68" ht="16" customHeight="1" x14ac:dyDescent="0.45">
      <c r="A230" s="69">
        <v>2603</v>
      </c>
      <c r="B230" s="2">
        <v>46086</v>
      </c>
      <c r="C230" s="161" t="s">
        <v>189</v>
      </c>
      <c r="D230" s="145" t="s">
        <v>55</v>
      </c>
      <c r="E230" s="4" t="s">
        <v>64</v>
      </c>
      <c r="F230" s="5" t="s">
        <v>188</v>
      </c>
      <c r="G230" s="4" t="s">
        <v>56</v>
      </c>
      <c r="H230" s="66" t="s">
        <v>189</v>
      </c>
      <c r="I230" s="66"/>
      <c r="J230" s="66"/>
      <c r="K230" s="67"/>
      <c r="L230" s="11">
        <v>168</v>
      </c>
      <c r="M230" s="12">
        <v>2926</v>
      </c>
      <c r="N230" s="13"/>
      <c r="O230" s="14"/>
      <c r="P230" s="15"/>
      <c r="Q230" s="16"/>
      <c r="R230" s="17">
        <v>2000</v>
      </c>
      <c r="S230" s="17">
        <f t="shared" ref="S230:S236" si="24">M230*R230</f>
        <v>5852000</v>
      </c>
      <c r="T230" s="18"/>
      <c r="U230" s="19"/>
      <c r="V230" s="20"/>
      <c r="W230" s="21"/>
      <c r="X230" s="17"/>
      <c r="Y230" s="22" t="s">
        <v>186</v>
      </c>
      <c r="Z230" s="23">
        <f t="shared" si="21"/>
        <v>-5852000</v>
      </c>
    </row>
    <row r="231" spans="1:68" ht="16" customHeight="1" x14ac:dyDescent="0.45">
      <c r="A231" s="69">
        <v>2603</v>
      </c>
      <c r="B231" s="2">
        <v>46085</v>
      </c>
      <c r="C231" s="161" t="s">
        <v>189</v>
      </c>
      <c r="D231" s="145" t="s">
        <v>160</v>
      </c>
      <c r="E231" s="4" t="s">
        <v>64</v>
      </c>
      <c r="F231" s="5" t="s">
        <v>188</v>
      </c>
      <c r="G231" s="4" t="s">
        <v>56</v>
      </c>
      <c r="H231" s="66" t="s">
        <v>189</v>
      </c>
      <c r="I231" s="66"/>
      <c r="J231" s="66"/>
      <c r="K231" s="67"/>
      <c r="L231" s="11">
        <v>45</v>
      </c>
      <c r="M231" s="12">
        <v>938.2</v>
      </c>
      <c r="N231" s="13"/>
      <c r="O231" s="14"/>
      <c r="P231" s="15"/>
      <c r="Q231" s="16"/>
      <c r="R231" s="17">
        <v>2000</v>
      </c>
      <c r="S231" s="17">
        <f t="shared" si="24"/>
        <v>1876400</v>
      </c>
      <c r="T231" s="18"/>
      <c r="U231" s="19"/>
      <c r="V231" s="20"/>
      <c r="W231" s="21"/>
      <c r="X231" s="17"/>
      <c r="Y231" s="22" t="s">
        <v>186</v>
      </c>
      <c r="Z231" s="23">
        <f t="shared" si="21"/>
        <v>-1876400</v>
      </c>
    </row>
    <row r="232" spans="1:68" ht="16" customHeight="1" x14ac:dyDescent="0.45">
      <c r="A232" s="69">
        <v>2603</v>
      </c>
      <c r="B232" s="2">
        <v>46084</v>
      </c>
      <c r="C232" s="161" t="s">
        <v>189</v>
      </c>
      <c r="D232" s="145" t="s">
        <v>55</v>
      </c>
      <c r="E232" s="4" t="s">
        <v>64</v>
      </c>
      <c r="F232" s="5" t="s">
        <v>188</v>
      </c>
      <c r="G232" s="4" t="s">
        <v>56</v>
      </c>
      <c r="H232" s="66" t="s">
        <v>189</v>
      </c>
      <c r="I232" s="66"/>
      <c r="J232" s="66"/>
      <c r="K232" s="67"/>
      <c r="L232" s="11">
        <v>231</v>
      </c>
      <c r="M232" s="12">
        <v>4042.5</v>
      </c>
      <c r="N232" s="13"/>
      <c r="O232" s="14"/>
      <c r="P232" s="15"/>
      <c r="Q232" s="16"/>
      <c r="R232" s="17">
        <v>2000</v>
      </c>
      <c r="S232" s="17">
        <f t="shared" si="24"/>
        <v>8085000</v>
      </c>
      <c r="T232" s="18"/>
      <c r="U232" s="19"/>
      <c r="V232" s="20"/>
      <c r="W232" s="21"/>
      <c r="X232" s="17"/>
      <c r="Y232" s="22" t="s">
        <v>186</v>
      </c>
      <c r="Z232" s="23">
        <f t="shared" si="21"/>
        <v>-8085000</v>
      </c>
    </row>
    <row r="233" spans="1:68" s="68" customFormat="1" ht="16" customHeight="1" x14ac:dyDescent="0.45">
      <c r="A233" s="69">
        <v>2603</v>
      </c>
      <c r="B233" s="2">
        <v>46087</v>
      </c>
      <c r="C233" s="161" t="s">
        <v>189</v>
      </c>
      <c r="D233" s="145" t="s">
        <v>160</v>
      </c>
      <c r="E233" s="4" t="s">
        <v>64</v>
      </c>
      <c r="F233" s="5" t="s">
        <v>188</v>
      </c>
      <c r="G233" s="4" t="s">
        <v>56</v>
      </c>
      <c r="H233" s="66" t="s">
        <v>171</v>
      </c>
      <c r="I233" s="66"/>
      <c r="J233" s="66"/>
      <c r="K233" s="121"/>
      <c r="L233" s="11">
        <v>100</v>
      </c>
      <c r="M233" s="12">
        <v>2016.2</v>
      </c>
      <c r="N233" s="13"/>
      <c r="O233" s="14"/>
      <c r="P233" s="15"/>
      <c r="Q233" s="16"/>
      <c r="R233" s="17">
        <v>2000</v>
      </c>
      <c r="S233" s="17">
        <f t="shared" si="24"/>
        <v>4032400</v>
      </c>
      <c r="T233" s="18"/>
      <c r="U233" s="19"/>
      <c r="V233" s="20"/>
      <c r="W233" s="21"/>
      <c r="X233" s="17"/>
      <c r="Y233" s="22" t="s">
        <v>186</v>
      </c>
      <c r="Z233" s="23">
        <f t="shared" si="21"/>
        <v>-4032400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</row>
    <row r="234" spans="1:68" s="68" customFormat="1" ht="16" customHeight="1" x14ac:dyDescent="0.45">
      <c r="A234" s="69">
        <v>2603</v>
      </c>
      <c r="B234" s="2">
        <v>46091</v>
      </c>
      <c r="C234" s="161" t="s">
        <v>189</v>
      </c>
      <c r="D234" s="145" t="s">
        <v>160</v>
      </c>
      <c r="E234" s="4" t="s">
        <v>64</v>
      </c>
      <c r="F234" s="5" t="s">
        <v>188</v>
      </c>
      <c r="G234" s="4" t="s">
        <v>56</v>
      </c>
      <c r="H234" s="66" t="s">
        <v>189</v>
      </c>
      <c r="I234" s="66"/>
      <c r="J234" s="66"/>
      <c r="K234" s="121"/>
      <c r="L234" s="11">
        <v>89</v>
      </c>
      <c r="M234" s="12">
        <v>1833.8</v>
      </c>
      <c r="N234" s="13"/>
      <c r="O234" s="14"/>
      <c r="P234" s="15"/>
      <c r="Q234" s="16"/>
      <c r="R234" s="17">
        <v>2000</v>
      </c>
      <c r="S234" s="17">
        <f t="shared" si="24"/>
        <v>3667600</v>
      </c>
      <c r="T234" s="18"/>
      <c r="U234" s="19"/>
      <c r="V234" s="20"/>
      <c r="W234" s="21"/>
      <c r="X234" s="17"/>
      <c r="Y234" s="22" t="s">
        <v>186</v>
      </c>
      <c r="Z234" s="23">
        <f t="shared" si="21"/>
        <v>-3667600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</row>
    <row r="235" spans="1:68" s="68" customFormat="1" ht="16" customHeight="1" x14ac:dyDescent="0.45">
      <c r="A235" s="69">
        <v>2603</v>
      </c>
      <c r="B235" s="2">
        <v>46093</v>
      </c>
      <c r="C235" s="161" t="s">
        <v>187</v>
      </c>
      <c r="D235" s="145" t="s">
        <v>55</v>
      </c>
      <c r="E235" s="4" t="s">
        <v>64</v>
      </c>
      <c r="F235" s="5" t="s">
        <v>188</v>
      </c>
      <c r="G235" s="4" t="s">
        <v>56</v>
      </c>
      <c r="H235" s="66" t="s">
        <v>61</v>
      </c>
      <c r="I235" s="66"/>
      <c r="J235" s="66"/>
      <c r="K235" s="121"/>
      <c r="L235" s="11">
        <v>81</v>
      </c>
      <c r="M235" s="12">
        <v>1417.5</v>
      </c>
      <c r="N235" s="13"/>
      <c r="O235" s="14"/>
      <c r="P235" s="15"/>
      <c r="Q235" s="16"/>
      <c r="R235" s="17">
        <v>2000</v>
      </c>
      <c r="S235" s="17">
        <f t="shared" si="24"/>
        <v>2835000</v>
      </c>
      <c r="T235" s="18"/>
      <c r="U235" s="19"/>
      <c r="V235" s="20"/>
      <c r="W235" s="21"/>
      <c r="X235" s="17"/>
      <c r="Y235" s="22" t="s">
        <v>186</v>
      </c>
      <c r="Z235" s="23">
        <f t="shared" si="21"/>
        <v>-2835000</v>
      </c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</row>
    <row r="236" spans="1:68" ht="16" customHeight="1" x14ac:dyDescent="0.45">
      <c r="A236" s="69">
        <v>2603</v>
      </c>
      <c r="B236" s="2">
        <v>46101</v>
      </c>
      <c r="C236" s="161" t="s">
        <v>189</v>
      </c>
      <c r="D236" s="145" t="s">
        <v>55</v>
      </c>
      <c r="E236" s="4" t="s">
        <v>64</v>
      </c>
      <c r="F236" s="5" t="s">
        <v>188</v>
      </c>
      <c r="G236" s="4" t="s">
        <v>56</v>
      </c>
      <c r="H236" s="66" t="s">
        <v>61</v>
      </c>
      <c r="I236" s="66"/>
      <c r="J236" s="66"/>
      <c r="K236" s="121"/>
      <c r="L236" s="11">
        <v>64</v>
      </c>
      <c r="M236" s="12">
        <v>1120</v>
      </c>
      <c r="N236" s="13"/>
      <c r="O236" s="14"/>
      <c r="P236" s="15"/>
      <c r="Q236" s="16"/>
      <c r="R236" s="17">
        <v>2000</v>
      </c>
      <c r="S236" s="17">
        <f t="shared" si="24"/>
        <v>2240000</v>
      </c>
      <c r="T236" s="18"/>
      <c r="U236" s="19"/>
      <c r="V236" s="20"/>
      <c r="W236" s="21"/>
      <c r="X236" s="17"/>
      <c r="Y236" s="22" t="s">
        <v>186</v>
      </c>
      <c r="Z236" s="23">
        <f t="shared" si="21"/>
        <v>-2240000</v>
      </c>
    </row>
    <row r="237" spans="1:68" ht="16" customHeight="1" x14ac:dyDescent="0.45">
      <c r="A237" s="69">
        <v>2603</v>
      </c>
      <c r="B237" s="70">
        <v>46094</v>
      </c>
      <c r="C237" s="159" t="s">
        <v>234</v>
      </c>
      <c r="D237" s="160" t="s">
        <v>85</v>
      </c>
      <c r="E237" s="72" t="s">
        <v>129</v>
      </c>
      <c r="F237" s="73" t="s">
        <v>195</v>
      </c>
      <c r="G237" s="72" t="s">
        <v>129</v>
      </c>
      <c r="H237" s="74" t="s">
        <v>125</v>
      </c>
      <c r="I237" s="74" t="s">
        <v>292</v>
      </c>
      <c r="J237" s="74"/>
      <c r="K237" s="85"/>
      <c r="L237" s="76">
        <v>6</v>
      </c>
      <c r="M237" s="77"/>
      <c r="N237" s="78">
        <v>1653</v>
      </c>
      <c r="O237" s="79"/>
      <c r="P237" s="131"/>
      <c r="Q237" s="132"/>
      <c r="R237" s="133">
        <v>800</v>
      </c>
      <c r="S237" s="133">
        <f>R237*N237</f>
        <v>1322400</v>
      </c>
      <c r="T237" s="80"/>
      <c r="U237" s="81"/>
      <c r="V237" s="82">
        <v>1200</v>
      </c>
      <c r="W237" s="83">
        <f>N237*V237</f>
        <v>1983600</v>
      </c>
      <c r="X237" s="133"/>
      <c r="Y237" s="134" t="s">
        <v>196</v>
      </c>
      <c r="Z237" s="142">
        <f t="shared" si="21"/>
        <v>661200</v>
      </c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</row>
    <row r="238" spans="1:68" ht="16" customHeight="1" x14ac:dyDescent="0.45">
      <c r="A238" s="69">
        <v>2603</v>
      </c>
      <c r="B238" s="70">
        <v>46084</v>
      </c>
      <c r="C238" s="159" t="s">
        <v>189</v>
      </c>
      <c r="D238" s="160" t="s">
        <v>64</v>
      </c>
      <c r="E238" s="72" t="s">
        <v>56</v>
      </c>
      <c r="F238" s="73" t="s">
        <v>188</v>
      </c>
      <c r="G238" s="72" t="s">
        <v>56</v>
      </c>
      <c r="H238" s="74" t="s">
        <v>65</v>
      </c>
      <c r="I238" s="74" t="s">
        <v>66</v>
      </c>
      <c r="J238" s="74"/>
      <c r="K238" s="85" t="s">
        <v>88</v>
      </c>
      <c r="L238" s="76">
        <v>32</v>
      </c>
      <c r="M238" s="77">
        <v>502.2</v>
      </c>
      <c r="N238" s="78"/>
      <c r="O238" s="79">
        <v>755</v>
      </c>
      <c r="P238" s="131"/>
      <c r="Q238" s="132"/>
      <c r="R238" s="133">
        <v>2500</v>
      </c>
      <c r="S238" s="133">
        <f t="shared" ref="S238:S285" si="25">M238*R238</f>
        <v>1255500</v>
      </c>
      <c r="T238" s="80"/>
      <c r="U238" s="81"/>
      <c r="V238" s="82">
        <v>6566</v>
      </c>
      <c r="W238" s="83">
        <f t="shared" ref="W238:W279" si="26">O238*V238</f>
        <v>4957330</v>
      </c>
      <c r="X238" s="133"/>
      <c r="Y238" s="134" t="s">
        <v>230</v>
      </c>
      <c r="Z238" s="142">
        <f t="shared" si="21"/>
        <v>3701830</v>
      </c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</row>
    <row r="239" spans="1:68" ht="16" customHeight="1" x14ac:dyDescent="0.45">
      <c r="A239" s="69">
        <v>2603</v>
      </c>
      <c r="B239" s="70">
        <v>46084</v>
      </c>
      <c r="C239" s="159" t="s">
        <v>189</v>
      </c>
      <c r="D239" s="160" t="s">
        <v>64</v>
      </c>
      <c r="E239" s="72" t="s">
        <v>56</v>
      </c>
      <c r="F239" s="73" t="s">
        <v>188</v>
      </c>
      <c r="G239" s="72" t="s">
        <v>56</v>
      </c>
      <c r="H239" s="74" t="s">
        <v>65</v>
      </c>
      <c r="I239" s="74" t="s">
        <v>66</v>
      </c>
      <c r="J239" s="74"/>
      <c r="K239" s="85" t="s">
        <v>89</v>
      </c>
      <c r="L239" s="76">
        <v>32</v>
      </c>
      <c r="M239" s="77">
        <v>469.4</v>
      </c>
      <c r="N239" s="78"/>
      <c r="O239" s="79">
        <v>734</v>
      </c>
      <c r="P239" s="131"/>
      <c r="Q239" s="132"/>
      <c r="R239" s="133">
        <v>2500</v>
      </c>
      <c r="S239" s="133">
        <f t="shared" si="25"/>
        <v>1173500</v>
      </c>
      <c r="T239" s="80"/>
      <c r="U239" s="81"/>
      <c r="V239" s="82">
        <v>6566</v>
      </c>
      <c r="W239" s="83">
        <f t="shared" si="26"/>
        <v>4819444</v>
      </c>
      <c r="X239" s="133"/>
      <c r="Y239" s="134" t="s">
        <v>230</v>
      </c>
      <c r="Z239" s="142">
        <f t="shared" si="21"/>
        <v>3645944</v>
      </c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</row>
    <row r="240" spans="1:68" ht="16" customHeight="1" x14ac:dyDescent="0.45">
      <c r="A240" s="69">
        <v>2603</v>
      </c>
      <c r="B240" s="70">
        <v>46084</v>
      </c>
      <c r="C240" s="159" t="s">
        <v>189</v>
      </c>
      <c r="D240" s="160" t="s">
        <v>64</v>
      </c>
      <c r="E240" s="72" t="s">
        <v>56</v>
      </c>
      <c r="F240" s="73" t="s">
        <v>188</v>
      </c>
      <c r="G240" s="72" t="s">
        <v>56</v>
      </c>
      <c r="H240" s="74" t="s">
        <v>65</v>
      </c>
      <c r="I240" s="74" t="s">
        <v>66</v>
      </c>
      <c r="J240" s="74"/>
      <c r="K240" s="85" t="s">
        <v>114</v>
      </c>
      <c r="L240" s="76">
        <v>32</v>
      </c>
      <c r="M240" s="77">
        <v>475</v>
      </c>
      <c r="N240" s="78"/>
      <c r="O240" s="79">
        <v>764</v>
      </c>
      <c r="P240" s="131"/>
      <c r="Q240" s="132"/>
      <c r="R240" s="133">
        <v>2500</v>
      </c>
      <c r="S240" s="133">
        <f t="shared" si="25"/>
        <v>1187500</v>
      </c>
      <c r="T240" s="80"/>
      <c r="U240" s="81"/>
      <c r="V240" s="82">
        <v>6566</v>
      </c>
      <c r="W240" s="83">
        <f t="shared" si="26"/>
        <v>5016424</v>
      </c>
      <c r="X240" s="133"/>
      <c r="Y240" s="134" t="s">
        <v>230</v>
      </c>
      <c r="Z240" s="142">
        <f t="shared" si="21"/>
        <v>3828924</v>
      </c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</row>
    <row r="241" spans="1:68" s="68" customFormat="1" ht="16" customHeight="1" x14ac:dyDescent="0.45">
      <c r="A241" s="69">
        <v>2603</v>
      </c>
      <c r="B241" s="70">
        <v>46084</v>
      </c>
      <c r="C241" s="159" t="s">
        <v>189</v>
      </c>
      <c r="D241" s="160" t="s">
        <v>64</v>
      </c>
      <c r="E241" s="72" t="s">
        <v>56</v>
      </c>
      <c r="F241" s="73" t="s">
        <v>188</v>
      </c>
      <c r="G241" s="72" t="s">
        <v>56</v>
      </c>
      <c r="H241" s="74" t="s">
        <v>65</v>
      </c>
      <c r="I241" s="74" t="s">
        <v>66</v>
      </c>
      <c r="J241" s="74"/>
      <c r="K241" s="85" t="s">
        <v>100</v>
      </c>
      <c r="L241" s="76">
        <v>21</v>
      </c>
      <c r="M241" s="77">
        <v>313.8</v>
      </c>
      <c r="N241" s="78"/>
      <c r="O241" s="79">
        <v>482</v>
      </c>
      <c r="P241" s="131"/>
      <c r="Q241" s="132"/>
      <c r="R241" s="133">
        <v>2500</v>
      </c>
      <c r="S241" s="133">
        <f t="shared" si="25"/>
        <v>784500</v>
      </c>
      <c r="T241" s="80"/>
      <c r="U241" s="81"/>
      <c r="V241" s="82">
        <v>6566</v>
      </c>
      <c r="W241" s="83">
        <f t="shared" si="26"/>
        <v>3164812</v>
      </c>
      <c r="X241" s="133"/>
      <c r="Y241" s="134" t="s">
        <v>230</v>
      </c>
      <c r="Z241" s="142">
        <f t="shared" si="21"/>
        <v>2380312</v>
      </c>
    </row>
    <row r="242" spans="1:68" ht="16" customHeight="1" x14ac:dyDescent="0.45">
      <c r="A242" s="69">
        <v>2603</v>
      </c>
      <c r="B242" s="70">
        <v>46084</v>
      </c>
      <c r="C242" s="159" t="s">
        <v>189</v>
      </c>
      <c r="D242" s="160" t="s">
        <v>64</v>
      </c>
      <c r="E242" s="72" t="s">
        <v>56</v>
      </c>
      <c r="F242" s="73" t="s">
        <v>188</v>
      </c>
      <c r="G242" s="72" t="s">
        <v>56</v>
      </c>
      <c r="H242" s="74" t="s">
        <v>65</v>
      </c>
      <c r="I242" s="74" t="s">
        <v>66</v>
      </c>
      <c r="J242" s="74"/>
      <c r="K242" s="85" t="s">
        <v>117</v>
      </c>
      <c r="L242" s="76">
        <v>32</v>
      </c>
      <c r="M242" s="77">
        <v>497.2</v>
      </c>
      <c r="N242" s="78"/>
      <c r="O242" s="79">
        <v>762</v>
      </c>
      <c r="P242" s="131"/>
      <c r="Q242" s="132"/>
      <c r="R242" s="133">
        <v>2500</v>
      </c>
      <c r="S242" s="133">
        <f t="shared" si="25"/>
        <v>1243000</v>
      </c>
      <c r="T242" s="80"/>
      <c r="U242" s="81"/>
      <c r="V242" s="82">
        <v>6566</v>
      </c>
      <c r="W242" s="83">
        <f t="shared" si="26"/>
        <v>5003292</v>
      </c>
      <c r="X242" s="133"/>
      <c r="Y242" s="134" t="s">
        <v>230</v>
      </c>
      <c r="Z242" s="142">
        <f t="shared" si="21"/>
        <v>3760292</v>
      </c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</row>
    <row r="243" spans="1:68" ht="16" customHeight="1" x14ac:dyDescent="0.45">
      <c r="A243" s="69">
        <v>2603</v>
      </c>
      <c r="B243" s="70">
        <v>46084</v>
      </c>
      <c r="C243" s="159" t="s">
        <v>189</v>
      </c>
      <c r="D243" s="160" t="s">
        <v>64</v>
      </c>
      <c r="E243" s="72" t="s">
        <v>56</v>
      </c>
      <c r="F243" s="73" t="s">
        <v>188</v>
      </c>
      <c r="G243" s="72" t="s">
        <v>56</v>
      </c>
      <c r="H243" s="74" t="s">
        <v>65</v>
      </c>
      <c r="I243" s="74" t="s">
        <v>66</v>
      </c>
      <c r="J243" s="74"/>
      <c r="K243" s="85" t="s">
        <v>120</v>
      </c>
      <c r="L243" s="76">
        <v>32</v>
      </c>
      <c r="M243" s="77">
        <v>482.7</v>
      </c>
      <c r="N243" s="78"/>
      <c r="O243" s="79">
        <v>753</v>
      </c>
      <c r="P243" s="131"/>
      <c r="Q243" s="132"/>
      <c r="R243" s="133">
        <v>2500</v>
      </c>
      <c r="S243" s="133">
        <f t="shared" si="25"/>
        <v>1206750</v>
      </c>
      <c r="T243" s="80"/>
      <c r="U243" s="81"/>
      <c r="V243" s="82">
        <v>6566</v>
      </c>
      <c r="W243" s="83">
        <f t="shared" si="26"/>
        <v>4944198</v>
      </c>
      <c r="X243" s="133"/>
      <c r="Y243" s="134" t="s">
        <v>230</v>
      </c>
      <c r="Z243" s="142">
        <f t="shared" si="21"/>
        <v>3737448</v>
      </c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</row>
    <row r="244" spans="1:68" s="68" customFormat="1" ht="16" customHeight="1" x14ac:dyDescent="0.45">
      <c r="A244" s="69">
        <v>2603</v>
      </c>
      <c r="B244" s="70">
        <v>46084</v>
      </c>
      <c r="C244" s="159" t="s">
        <v>189</v>
      </c>
      <c r="D244" s="160" t="s">
        <v>64</v>
      </c>
      <c r="E244" s="72" t="s">
        <v>56</v>
      </c>
      <c r="F244" s="73" t="s">
        <v>188</v>
      </c>
      <c r="G244" s="72" t="s">
        <v>56</v>
      </c>
      <c r="H244" s="74" t="s">
        <v>65</v>
      </c>
      <c r="I244" s="74" t="s">
        <v>66</v>
      </c>
      <c r="J244" s="74"/>
      <c r="K244" s="85" t="s">
        <v>67</v>
      </c>
      <c r="L244" s="76">
        <v>24</v>
      </c>
      <c r="M244" s="77">
        <v>460.3</v>
      </c>
      <c r="N244" s="78"/>
      <c r="O244" s="79">
        <v>687</v>
      </c>
      <c r="P244" s="131"/>
      <c r="Q244" s="132"/>
      <c r="R244" s="133">
        <v>2500</v>
      </c>
      <c r="S244" s="133">
        <f t="shared" si="25"/>
        <v>1150750</v>
      </c>
      <c r="T244" s="80"/>
      <c r="U244" s="81"/>
      <c r="V244" s="82">
        <v>6566</v>
      </c>
      <c r="W244" s="83">
        <f t="shared" si="26"/>
        <v>4510842</v>
      </c>
      <c r="X244" s="133"/>
      <c r="Y244" s="134" t="s">
        <v>230</v>
      </c>
      <c r="Z244" s="142">
        <f t="shared" si="21"/>
        <v>3360092</v>
      </c>
    </row>
    <row r="245" spans="1:68" s="68" customFormat="1" ht="16" customHeight="1" x14ac:dyDescent="0.45">
      <c r="A245" s="69">
        <v>2603</v>
      </c>
      <c r="B245" s="70">
        <v>46084</v>
      </c>
      <c r="C245" s="159" t="s">
        <v>189</v>
      </c>
      <c r="D245" s="160" t="s">
        <v>64</v>
      </c>
      <c r="E245" s="72" t="s">
        <v>56</v>
      </c>
      <c r="F245" s="73" t="s">
        <v>188</v>
      </c>
      <c r="G245" s="72" t="s">
        <v>56</v>
      </c>
      <c r="H245" s="74" t="s">
        <v>65</v>
      </c>
      <c r="I245" s="74" t="s">
        <v>66</v>
      </c>
      <c r="J245" s="74"/>
      <c r="K245" s="85" t="s">
        <v>68</v>
      </c>
      <c r="L245" s="76">
        <v>24</v>
      </c>
      <c r="M245" s="77">
        <v>458.9</v>
      </c>
      <c r="N245" s="78"/>
      <c r="O245" s="79">
        <v>692</v>
      </c>
      <c r="P245" s="131"/>
      <c r="Q245" s="132"/>
      <c r="R245" s="133">
        <v>2500</v>
      </c>
      <c r="S245" s="133">
        <f t="shared" si="25"/>
        <v>1147250</v>
      </c>
      <c r="T245" s="80"/>
      <c r="U245" s="81"/>
      <c r="V245" s="82">
        <v>6566</v>
      </c>
      <c r="W245" s="83">
        <f t="shared" si="26"/>
        <v>4543672</v>
      </c>
      <c r="X245" s="133"/>
      <c r="Y245" s="134" t="s">
        <v>230</v>
      </c>
      <c r="Z245" s="142">
        <f t="shared" si="21"/>
        <v>3396422</v>
      </c>
    </row>
    <row r="246" spans="1:68" s="68" customFormat="1" ht="16" customHeight="1" x14ac:dyDescent="0.45">
      <c r="A246" s="69">
        <v>2603</v>
      </c>
      <c r="B246" s="70">
        <v>46084</v>
      </c>
      <c r="C246" s="159" t="s">
        <v>189</v>
      </c>
      <c r="D246" s="160" t="s">
        <v>64</v>
      </c>
      <c r="E246" s="72" t="s">
        <v>56</v>
      </c>
      <c r="F246" s="73" t="s">
        <v>188</v>
      </c>
      <c r="G246" s="72" t="s">
        <v>56</v>
      </c>
      <c r="H246" s="74" t="s">
        <v>65</v>
      </c>
      <c r="I246" s="74" t="s">
        <v>66</v>
      </c>
      <c r="J246" s="74"/>
      <c r="K246" s="85" t="s">
        <v>69</v>
      </c>
      <c r="L246" s="76">
        <v>24</v>
      </c>
      <c r="M246" s="77">
        <v>458.2</v>
      </c>
      <c r="N246" s="78"/>
      <c r="O246" s="79">
        <v>685</v>
      </c>
      <c r="P246" s="131"/>
      <c r="Q246" s="132"/>
      <c r="R246" s="133">
        <v>2500</v>
      </c>
      <c r="S246" s="133">
        <f t="shared" si="25"/>
        <v>1145500</v>
      </c>
      <c r="T246" s="80"/>
      <c r="U246" s="81"/>
      <c r="V246" s="82">
        <v>6566</v>
      </c>
      <c r="W246" s="83">
        <f t="shared" si="26"/>
        <v>4497710</v>
      </c>
      <c r="X246" s="133"/>
      <c r="Y246" s="134" t="s">
        <v>230</v>
      </c>
      <c r="Z246" s="142">
        <f t="shared" si="21"/>
        <v>3352210</v>
      </c>
    </row>
    <row r="247" spans="1:68" s="68" customFormat="1" ht="16" customHeight="1" x14ac:dyDescent="0.45">
      <c r="A247" s="69">
        <v>2603</v>
      </c>
      <c r="B247" s="70">
        <v>46084</v>
      </c>
      <c r="C247" s="159" t="s">
        <v>189</v>
      </c>
      <c r="D247" s="160" t="s">
        <v>64</v>
      </c>
      <c r="E247" s="72" t="s">
        <v>56</v>
      </c>
      <c r="F247" s="73" t="s">
        <v>188</v>
      </c>
      <c r="G247" s="72" t="s">
        <v>56</v>
      </c>
      <c r="H247" s="74" t="s">
        <v>65</v>
      </c>
      <c r="I247" s="74" t="s">
        <v>66</v>
      </c>
      <c r="J247" s="74"/>
      <c r="K247" s="85" t="s">
        <v>70</v>
      </c>
      <c r="L247" s="76">
        <v>25</v>
      </c>
      <c r="M247" s="77">
        <v>467</v>
      </c>
      <c r="N247" s="78"/>
      <c r="O247" s="79">
        <v>713</v>
      </c>
      <c r="P247" s="131"/>
      <c r="Q247" s="132"/>
      <c r="R247" s="133">
        <v>2500</v>
      </c>
      <c r="S247" s="133">
        <f t="shared" si="25"/>
        <v>1167500</v>
      </c>
      <c r="T247" s="80"/>
      <c r="U247" s="81"/>
      <c r="V247" s="82">
        <v>6566</v>
      </c>
      <c r="W247" s="83">
        <f t="shared" si="26"/>
        <v>4681558</v>
      </c>
      <c r="X247" s="133"/>
      <c r="Y247" s="134" t="s">
        <v>230</v>
      </c>
      <c r="Z247" s="142">
        <f t="shared" si="21"/>
        <v>3514058</v>
      </c>
    </row>
    <row r="248" spans="1:68" s="68" customFormat="1" ht="16" customHeight="1" x14ac:dyDescent="0.45">
      <c r="A248" s="69">
        <v>2603</v>
      </c>
      <c r="B248" s="70">
        <v>46084</v>
      </c>
      <c r="C248" s="159" t="s">
        <v>189</v>
      </c>
      <c r="D248" s="160" t="s">
        <v>64</v>
      </c>
      <c r="E248" s="72" t="s">
        <v>56</v>
      </c>
      <c r="F248" s="73" t="s">
        <v>188</v>
      </c>
      <c r="G248" s="72" t="s">
        <v>56</v>
      </c>
      <c r="H248" s="74" t="s">
        <v>65</v>
      </c>
      <c r="I248" s="74" t="s">
        <v>66</v>
      </c>
      <c r="J248" s="74"/>
      <c r="K248" s="85" t="s">
        <v>71</v>
      </c>
      <c r="L248" s="76">
        <v>24</v>
      </c>
      <c r="M248" s="77">
        <v>432.6</v>
      </c>
      <c r="N248" s="78"/>
      <c r="O248" s="79">
        <v>674</v>
      </c>
      <c r="P248" s="131"/>
      <c r="Q248" s="132"/>
      <c r="R248" s="133">
        <v>2500</v>
      </c>
      <c r="S248" s="133">
        <f t="shared" si="25"/>
        <v>1081500</v>
      </c>
      <c r="T248" s="80"/>
      <c r="U248" s="81"/>
      <c r="V248" s="82">
        <v>6566</v>
      </c>
      <c r="W248" s="83">
        <f t="shared" si="26"/>
        <v>4425484</v>
      </c>
      <c r="X248" s="133"/>
      <c r="Y248" s="134" t="s">
        <v>230</v>
      </c>
      <c r="Z248" s="142">
        <f t="shared" si="21"/>
        <v>3343984</v>
      </c>
    </row>
    <row r="249" spans="1:68" s="68" customFormat="1" ht="16" customHeight="1" x14ac:dyDescent="0.45">
      <c r="A249" s="69">
        <v>2603</v>
      </c>
      <c r="B249" s="70">
        <v>46084</v>
      </c>
      <c r="C249" s="159" t="s">
        <v>189</v>
      </c>
      <c r="D249" s="160" t="s">
        <v>64</v>
      </c>
      <c r="E249" s="72" t="s">
        <v>56</v>
      </c>
      <c r="F249" s="73" t="s">
        <v>188</v>
      </c>
      <c r="G249" s="72" t="s">
        <v>56</v>
      </c>
      <c r="H249" s="74" t="s">
        <v>65</v>
      </c>
      <c r="I249" s="74" t="s">
        <v>66</v>
      </c>
      <c r="J249" s="74"/>
      <c r="K249" s="85" t="s">
        <v>72</v>
      </c>
      <c r="L249" s="76">
        <v>29</v>
      </c>
      <c r="M249" s="77">
        <v>433.1</v>
      </c>
      <c r="N249" s="78"/>
      <c r="O249" s="79">
        <v>687</v>
      </c>
      <c r="P249" s="131"/>
      <c r="Q249" s="132"/>
      <c r="R249" s="133">
        <v>2500</v>
      </c>
      <c r="S249" s="133">
        <f t="shared" si="25"/>
        <v>1082750</v>
      </c>
      <c r="T249" s="80"/>
      <c r="U249" s="81"/>
      <c r="V249" s="82">
        <v>6566</v>
      </c>
      <c r="W249" s="83">
        <f t="shared" si="26"/>
        <v>4510842</v>
      </c>
      <c r="X249" s="133"/>
      <c r="Y249" s="134" t="s">
        <v>230</v>
      </c>
      <c r="Z249" s="142">
        <f t="shared" si="21"/>
        <v>3428092</v>
      </c>
    </row>
    <row r="250" spans="1:68" s="68" customFormat="1" ht="16" customHeight="1" x14ac:dyDescent="0.45">
      <c r="A250" s="69">
        <v>2603</v>
      </c>
      <c r="B250" s="70">
        <v>46091</v>
      </c>
      <c r="C250" s="159" t="s">
        <v>189</v>
      </c>
      <c r="D250" s="160" t="s">
        <v>64</v>
      </c>
      <c r="E250" s="72" t="s">
        <v>56</v>
      </c>
      <c r="F250" s="73" t="s">
        <v>188</v>
      </c>
      <c r="G250" s="72" t="s">
        <v>56</v>
      </c>
      <c r="H250" s="74" t="s">
        <v>65</v>
      </c>
      <c r="I250" s="74" t="s">
        <v>66</v>
      </c>
      <c r="J250" s="74"/>
      <c r="K250" s="85" t="s">
        <v>67</v>
      </c>
      <c r="L250" s="76">
        <v>32</v>
      </c>
      <c r="M250" s="77">
        <v>484.8</v>
      </c>
      <c r="N250" s="78"/>
      <c r="O250" s="79">
        <v>747</v>
      </c>
      <c r="P250" s="131"/>
      <c r="Q250" s="132"/>
      <c r="R250" s="133">
        <v>2500</v>
      </c>
      <c r="S250" s="133">
        <f t="shared" si="25"/>
        <v>1212000</v>
      </c>
      <c r="T250" s="80"/>
      <c r="U250" s="81"/>
      <c r="V250" s="82">
        <v>6566</v>
      </c>
      <c r="W250" s="83">
        <f t="shared" si="26"/>
        <v>4904802</v>
      </c>
      <c r="X250" s="133"/>
      <c r="Y250" s="134" t="s">
        <v>230</v>
      </c>
      <c r="Z250" s="142">
        <f t="shared" si="21"/>
        <v>3692802</v>
      </c>
    </row>
    <row r="251" spans="1:68" s="68" customFormat="1" ht="16" customHeight="1" x14ac:dyDescent="0.45">
      <c r="A251" s="69">
        <v>2603</v>
      </c>
      <c r="B251" s="70">
        <v>46091</v>
      </c>
      <c r="C251" s="159" t="s">
        <v>189</v>
      </c>
      <c r="D251" s="160" t="s">
        <v>64</v>
      </c>
      <c r="E251" s="72" t="s">
        <v>56</v>
      </c>
      <c r="F251" s="73" t="s">
        <v>188</v>
      </c>
      <c r="G251" s="72" t="s">
        <v>56</v>
      </c>
      <c r="H251" s="74" t="s">
        <v>65</v>
      </c>
      <c r="I251" s="74" t="s">
        <v>66</v>
      </c>
      <c r="J251" s="74"/>
      <c r="K251" s="85" t="s">
        <v>68</v>
      </c>
      <c r="L251" s="76">
        <v>30</v>
      </c>
      <c r="M251" s="77">
        <v>461.3</v>
      </c>
      <c r="N251" s="78"/>
      <c r="O251" s="79">
        <v>712</v>
      </c>
      <c r="P251" s="131"/>
      <c r="Q251" s="132"/>
      <c r="R251" s="133">
        <v>2500</v>
      </c>
      <c r="S251" s="133">
        <f t="shared" si="25"/>
        <v>1153250</v>
      </c>
      <c r="T251" s="80"/>
      <c r="U251" s="81"/>
      <c r="V251" s="82">
        <v>6566</v>
      </c>
      <c r="W251" s="83">
        <f t="shared" si="26"/>
        <v>4674992</v>
      </c>
      <c r="X251" s="133"/>
      <c r="Y251" s="134" t="s">
        <v>230</v>
      </c>
      <c r="Z251" s="142">
        <f t="shared" si="21"/>
        <v>3521742</v>
      </c>
    </row>
    <row r="252" spans="1:68" s="68" customFormat="1" ht="16" customHeight="1" x14ac:dyDescent="0.45">
      <c r="A252" s="69">
        <v>2603</v>
      </c>
      <c r="B252" s="70">
        <v>46091</v>
      </c>
      <c r="C252" s="159" t="s">
        <v>189</v>
      </c>
      <c r="D252" s="160" t="s">
        <v>64</v>
      </c>
      <c r="E252" s="72" t="s">
        <v>56</v>
      </c>
      <c r="F252" s="73" t="s">
        <v>188</v>
      </c>
      <c r="G252" s="72" t="s">
        <v>56</v>
      </c>
      <c r="H252" s="74" t="s">
        <v>65</v>
      </c>
      <c r="I252" s="74" t="s">
        <v>66</v>
      </c>
      <c r="J252" s="74"/>
      <c r="K252" s="85" t="s">
        <v>69</v>
      </c>
      <c r="L252" s="76">
        <v>32</v>
      </c>
      <c r="M252" s="77">
        <v>484.6</v>
      </c>
      <c r="N252" s="78"/>
      <c r="O252" s="79">
        <v>751</v>
      </c>
      <c r="P252" s="131"/>
      <c r="Q252" s="132"/>
      <c r="R252" s="133">
        <v>2500</v>
      </c>
      <c r="S252" s="133">
        <f t="shared" si="25"/>
        <v>1211500</v>
      </c>
      <c r="T252" s="80"/>
      <c r="U252" s="81"/>
      <c r="V252" s="82">
        <v>6566</v>
      </c>
      <c r="W252" s="83">
        <f t="shared" si="26"/>
        <v>4931066</v>
      </c>
      <c r="X252" s="133"/>
      <c r="Y252" s="134" t="s">
        <v>230</v>
      </c>
      <c r="Z252" s="142">
        <f t="shared" si="21"/>
        <v>3719566</v>
      </c>
    </row>
    <row r="253" spans="1:68" s="68" customFormat="1" ht="16" customHeight="1" x14ac:dyDescent="0.45">
      <c r="A253" s="69">
        <v>2603</v>
      </c>
      <c r="B253" s="70">
        <v>46091</v>
      </c>
      <c r="C253" s="159" t="s">
        <v>189</v>
      </c>
      <c r="D253" s="160" t="s">
        <v>64</v>
      </c>
      <c r="E253" s="72" t="s">
        <v>56</v>
      </c>
      <c r="F253" s="73" t="s">
        <v>188</v>
      </c>
      <c r="G253" s="72" t="s">
        <v>56</v>
      </c>
      <c r="H253" s="74" t="s">
        <v>65</v>
      </c>
      <c r="I253" s="74" t="s">
        <v>66</v>
      </c>
      <c r="J253" s="74"/>
      <c r="K253" s="85" t="s">
        <v>70</v>
      </c>
      <c r="L253" s="76">
        <v>32</v>
      </c>
      <c r="M253" s="77">
        <v>488.6</v>
      </c>
      <c r="N253" s="78"/>
      <c r="O253" s="79">
        <v>754</v>
      </c>
      <c r="P253" s="131"/>
      <c r="Q253" s="132"/>
      <c r="R253" s="133">
        <v>2500</v>
      </c>
      <c r="S253" s="133">
        <f t="shared" si="25"/>
        <v>1221500</v>
      </c>
      <c r="T253" s="80"/>
      <c r="U253" s="81"/>
      <c r="V253" s="82">
        <v>6566</v>
      </c>
      <c r="W253" s="83">
        <f t="shared" si="26"/>
        <v>4950764</v>
      </c>
      <c r="X253" s="133"/>
      <c r="Y253" s="134" t="s">
        <v>230</v>
      </c>
      <c r="Z253" s="142">
        <f t="shared" si="21"/>
        <v>3729264</v>
      </c>
    </row>
    <row r="254" spans="1:68" ht="16" customHeight="1" x14ac:dyDescent="0.45">
      <c r="A254" s="69">
        <v>2603</v>
      </c>
      <c r="B254" s="70">
        <v>46091</v>
      </c>
      <c r="C254" s="159" t="s">
        <v>189</v>
      </c>
      <c r="D254" s="160" t="s">
        <v>64</v>
      </c>
      <c r="E254" s="72" t="s">
        <v>56</v>
      </c>
      <c r="F254" s="73" t="s">
        <v>188</v>
      </c>
      <c r="G254" s="72" t="s">
        <v>56</v>
      </c>
      <c r="H254" s="74" t="s">
        <v>65</v>
      </c>
      <c r="I254" s="74" t="s">
        <v>66</v>
      </c>
      <c r="J254" s="74"/>
      <c r="K254" s="85" t="s">
        <v>71</v>
      </c>
      <c r="L254" s="76">
        <v>32</v>
      </c>
      <c r="M254" s="77">
        <v>472.5</v>
      </c>
      <c r="N254" s="78"/>
      <c r="O254" s="79">
        <v>730</v>
      </c>
      <c r="P254" s="131"/>
      <c r="Q254" s="132"/>
      <c r="R254" s="133">
        <v>2500</v>
      </c>
      <c r="S254" s="133">
        <f t="shared" si="25"/>
        <v>1181250</v>
      </c>
      <c r="T254" s="80"/>
      <c r="U254" s="81"/>
      <c r="V254" s="82">
        <v>6566</v>
      </c>
      <c r="W254" s="83">
        <f t="shared" si="26"/>
        <v>4793180</v>
      </c>
      <c r="X254" s="133"/>
      <c r="Y254" s="134" t="s">
        <v>230</v>
      </c>
      <c r="Z254" s="142">
        <f t="shared" si="21"/>
        <v>3611930</v>
      </c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</row>
    <row r="255" spans="1:68" s="68" customFormat="1" ht="16" customHeight="1" x14ac:dyDescent="0.45">
      <c r="A255" s="69">
        <v>2603</v>
      </c>
      <c r="B255" s="70">
        <v>46091</v>
      </c>
      <c r="C255" s="159" t="s">
        <v>189</v>
      </c>
      <c r="D255" s="160" t="s">
        <v>64</v>
      </c>
      <c r="E255" s="72" t="s">
        <v>56</v>
      </c>
      <c r="F255" s="73" t="s">
        <v>188</v>
      </c>
      <c r="G255" s="72" t="s">
        <v>56</v>
      </c>
      <c r="H255" s="74" t="s">
        <v>65</v>
      </c>
      <c r="I255" s="74" t="s">
        <v>66</v>
      </c>
      <c r="J255" s="74"/>
      <c r="K255" s="85" t="s">
        <v>72</v>
      </c>
      <c r="L255" s="76">
        <v>32</v>
      </c>
      <c r="M255" s="77">
        <v>477.7</v>
      </c>
      <c r="N255" s="78"/>
      <c r="O255" s="79">
        <v>744</v>
      </c>
      <c r="P255" s="131"/>
      <c r="Q255" s="132"/>
      <c r="R255" s="133">
        <v>2500</v>
      </c>
      <c r="S255" s="133">
        <f t="shared" si="25"/>
        <v>1194250</v>
      </c>
      <c r="T255" s="80"/>
      <c r="U255" s="81"/>
      <c r="V255" s="82">
        <v>6566</v>
      </c>
      <c r="W255" s="83">
        <f t="shared" si="26"/>
        <v>4885104</v>
      </c>
      <c r="X255" s="133"/>
      <c r="Y255" s="134" t="s">
        <v>230</v>
      </c>
      <c r="Z255" s="142">
        <f t="shared" ref="Z255:Z293" si="27">W255-S255-Q255</f>
        <v>3690854</v>
      </c>
    </row>
    <row r="256" spans="1:68" s="68" customFormat="1" ht="16" customHeight="1" x14ac:dyDescent="0.45">
      <c r="A256" s="69">
        <v>2603</v>
      </c>
      <c r="B256" s="70">
        <v>46091</v>
      </c>
      <c r="C256" s="159" t="s">
        <v>189</v>
      </c>
      <c r="D256" s="160" t="s">
        <v>64</v>
      </c>
      <c r="E256" s="72" t="s">
        <v>56</v>
      </c>
      <c r="F256" s="73" t="s">
        <v>188</v>
      </c>
      <c r="G256" s="72" t="s">
        <v>56</v>
      </c>
      <c r="H256" s="74" t="s">
        <v>65</v>
      </c>
      <c r="I256" s="74" t="s">
        <v>66</v>
      </c>
      <c r="J256" s="74"/>
      <c r="K256" s="85" t="s">
        <v>78</v>
      </c>
      <c r="L256" s="76">
        <v>32</v>
      </c>
      <c r="M256" s="77">
        <v>477.5</v>
      </c>
      <c r="N256" s="78"/>
      <c r="O256" s="79">
        <v>742</v>
      </c>
      <c r="P256" s="131"/>
      <c r="Q256" s="132"/>
      <c r="R256" s="133">
        <v>2500</v>
      </c>
      <c r="S256" s="133">
        <f t="shared" si="25"/>
        <v>1193750</v>
      </c>
      <c r="T256" s="80"/>
      <c r="U256" s="81"/>
      <c r="V256" s="82">
        <v>6566</v>
      </c>
      <c r="W256" s="83">
        <f t="shared" si="26"/>
        <v>4871972</v>
      </c>
      <c r="X256" s="133"/>
      <c r="Y256" s="134" t="s">
        <v>230</v>
      </c>
      <c r="Z256" s="142">
        <f t="shared" si="27"/>
        <v>3678222</v>
      </c>
    </row>
    <row r="257" spans="1:68" ht="16" customHeight="1" x14ac:dyDescent="0.45">
      <c r="A257" s="69">
        <v>2603</v>
      </c>
      <c r="B257" s="70">
        <v>46091</v>
      </c>
      <c r="C257" s="159" t="s">
        <v>189</v>
      </c>
      <c r="D257" s="160" t="s">
        <v>64</v>
      </c>
      <c r="E257" s="72" t="s">
        <v>56</v>
      </c>
      <c r="F257" s="73" t="s">
        <v>188</v>
      </c>
      <c r="G257" s="72" t="s">
        <v>56</v>
      </c>
      <c r="H257" s="74" t="s">
        <v>65</v>
      </c>
      <c r="I257" s="74" t="s">
        <v>66</v>
      </c>
      <c r="J257" s="74"/>
      <c r="K257" s="85" t="s">
        <v>92</v>
      </c>
      <c r="L257" s="76">
        <v>31</v>
      </c>
      <c r="M257" s="77">
        <v>470.7</v>
      </c>
      <c r="N257" s="78"/>
      <c r="O257" s="79">
        <v>730</v>
      </c>
      <c r="P257" s="131"/>
      <c r="Q257" s="132"/>
      <c r="R257" s="133">
        <v>2500</v>
      </c>
      <c r="S257" s="133">
        <f t="shared" si="25"/>
        <v>1176750</v>
      </c>
      <c r="T257" s="80"/>
      <c r="U257" s="81"/>
      <c r="V257" s="82">
        <v>6566</v>
      </c>
      <c r="W257" s="83">
        <f t="shared" si="26"/>
        <v>4793180</v>
      </c>
      <c r="X257" s="133"/>
      <c r="Y257" s="134" t="s">
        <v>230</v>
      </c>
      <c r="Z257" s="142">
        <f t="shared" si="27"/>
        <v>3616430</v>
      </c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</row>
    <row r="258" spans="1:68" s="68" customFormat="1" ht="16" customHeight="1" x14ac:dyDescent="0.45">
      <c r="A258" s="69">
        <v>2603</v>
      </c>
      <c r="B258" s="70">
        <v>46100</v>
      </c>
      <c r="C258" s="159" t="s">
        <v>187</v>
      </c>
      <c r="D258" s="160" t="s">
        <v>64</v>
      </c>
      <c r="E258" s="72" t="s">
        <v>56</v>
      </c>
      <c r="F258" s="73" t="s">
        <v>188</v>
      </c>
      <c r="G258" s="72" t="s">
        <v>56</v>
      </c>
      <c r="H258" s="74" t="s">
        <v>65</v>
      </c>
      <c r="I258" s="74" t="s">
        <v>66</v>
      </c>
      <c r="J258" s="74"/>
      <c r="K258" s="85" t="s">
        <v>73</v>
      </c>
      <c r="L258" s="76">
        <v>24</v>
      </c>
      <c r="M258" s="77">
        <v>467.5</v>
      </c>
      <c r="N258" s="78"/>
      <c r="O258" s="79">
        <v>703</v>
      </c>
      <c r="P258" s="131"/>
      <c r="Q258" s="132"/>
      <c r="R258" s="133">
        <v>2500</v>
      </c>
      <c r="S258" s="133">
        <f t="shared" si="25"/>
        <v>1168750</v>
      </c>
      <c r="T258" s="80"/>
      <c r="U258" s="81"/>
      <c r="V258" s="82">
        <v>6566</v>
      </c>
      <c r="W258" s="83">
        <f t="shared" si="26"/>
        <v>4615898</v>
      </c>
      <c r="X258" s="133"/>
      <c r="Y258" s="134" t="s">
        <v>230</v>
      </c>
      <c r="Z258" s="142">
        <f t="shared" si="27"/>
        <v>3447148</v>
      </c>
    </row>
    <row r="259" spans="1:68" s="68" customFormat="1" ht="16" customHeight="1" x14ac:dyDescent="0.45">
      <c r="A259" s="69">
        <v>2603</v>
      </c>
      <c r="B259" s="70">
        <v>46100</v>
      </c>
      <c r="C259" s="159" t="s">
        <v>187</v>
      </c>
      <c r="D259" s="160" t="s">
        <v>64</v>
      </c>
      <c r="E259" s="72" t="s">
        <v>56</v>
      </c>
      <c r="F259" s="73" t="s">
        <v>188</v>
      </c>
      <c r="G259" s="72" t="s">
        <v>56</v>
      </c>
      <c r="H259" s="74" t="s">
        <v>65</v>
      </c>
      <c r="I259" s="74" t="s">
        <v>66</v>
      </c>
      <c r="J259" s="74"/>
      <c r="K259" s="85" t="s">
        <v>75</v>
      </c>
      <c r="L259" s="76">
        <v>24</v>
      </c>
      <c r="M259" s="77">
        <v>451.7</v>
      </c>
      <c r="N259" s="78"/>
      <c r="O259" s="79">
        <v>676</v>
      </c>
      <c r="P259" s="131"/>
      <c r="Q259" s="132"/>
      <c r="R259" s="133">
        <v>2500</v>
      </c>
      <c r="S259" s="133">
        <f t="shared" si="25"/>
        <v>1129250</v>
      </c>
      <c r="T259" s="80"/>
      <c r="U259" s="81"/>
      <c r="V259" s="82">
        <v>6566</v>
      </c>
      <c r="W259" s="83">
        <f t="shared" si="26"/>
        <v>4438616</v>
      </c>
      <c r="X259" s="133"/>
      <c r="Y259" s="134" t="s">
        <v>230</v>
      </c>
      <c r="Z259" s="142">
        <f t="shared" si="27"/>
        <v>3309366</v>
      </c>
    </row>
    <row r="260" spans="1:68" s="68" customFormat="1" ht="16" customHeight="1" x14ac:dyDescent="0.45">
      <c r="A260" s="69">
        <v>2603</v>
      </c>
      <c r="B260" s="70">
        <v>46100</v>
      </c>
      <c r="C260" s="159" t="s">
        <v>187</v>
      </c>
      <c r="D260" s="160" t="s">
        <v>64</v>
      </c>
      <c r="E260" s="72" t="s">
        <v>56</v>
      </c>
      <c r="F260" s="73" t="s">
        <v>188</v>
      </c>
      <c r="G260" s="72" t="s">
        <v>56</v>
      </c>
      <c r="H260" s="74" t="s">
        <v>65</v>
      </c>
      <c r="I260" s="74" t="s">
        <v>66</v>
      </c>
      <c r="J260" s="74"/>
      <c r="K260" s="85" t="s">
        <v>76</v>
      </c>
      <c r="L260" s="76">
        <v>24</v>
      </c>
      <c r="M260" s="77">
        <v>443.9</v>
      </c>
      <c r="N260" s="78"/>
      <c r="O260" s="79">
        <v>685</v>
      </c>
      <c r="P260" s="131"/>
      <c r="Q260" s="132"/>
      <c r="R260" s="133">
        <v>2500</v>
      </c>
      <c r="S260" s="133">
        <f t="shared" si="25"/>
        <v>1109750</v>
      </c>
      <c r="T260" s="80"/>
      <c r="U260" s="81"/>
      <c r="V260" s="82">
        <v>6566</v>
      </c>
      <c r="W260" s="83">
        <f t="shared" si="26"/>
        <v>4497710</v>
      </c>
      <c r="X260" s="133"/>
      <c r="Y260" s="134" t="s">
        <v>230</v>
      </c>
      <c r="Z260" s="142">
        <f t="shared" si="27"/>
        <v>3387960</v>
      </c>
    </row>
    <row r="261" spans="1:68" s="68" customFormat="1" ht="16" customHeight="1" x14ac:dyDescent="0.45">
      <c r="A261" s="69">
        <v>2603</v>
      </c>
      <c r="B261" s="70">
        <v>46100</v>
      </c>
      <c r="C261" s="159" t="s">
        <v>187</v>
      </c>
      <c r="D261" s="160" t="s">
        <v>64</v>
      </c>
      <c r="E261" s="72" t="s">
        <v>56</v>
      </c>
      <c r="F261" s="73" t="s">
        <v>188</v>
      </c>
      <c r="G261" s="72" t="s">
        <v>56</v>
      </c>
      <c r="H261" s="74" t="s">
        <v>65</v>
      </c>
      <c r="I261" s="74" t="s">
        <v>66</v>
      </c>
      <c r="J261" s="74"/>
      <c r="K261" s="85" t="s">
        <v>77</v>
      </c>
      <c r="L261" s="76">
        <v>24</v>
      </c>
      <c r="M261" s="77">
        <v>452.2</v>
      </c>
      <c r="N261" s="78"/>
      <c r="O261" s="79">
        <v>689</v>
      </c>
      <c r="P261" s="131"/>
      <c r="Q261" s="132"/>
      <c r="R261" s="133">
        <v>2500</v>
      </c>
      <c r="S261" s="133">
        <f t="shared" si="25"/>
        <v>1130500</v>
      </c>
      <c r="T261" s="80"/>
      <c r="U261" s="81"/>
      <c r="V261" s="82">
        <v>6566</v>
      </c>
      <c r="W261" s="83">
        <f t="shared" si="26"/>
        <v>4523974</v>
      </c>
      <c r="X261" s="133"/>
      <c r="Y261" s="134" t="s">
        <v>230</v>
      </c>
      <c r="Z261" s="142">
        <f t="shared" si="27"/>
        <v>3393474</v>
      </c>
    </row>
    <row r="262" spans="1:68" s="68" customFormat="1" ht="16" customHeight="1" x14ac:dyDescent="0.45">
      <c r="A262" s="69">
        <v>2603</v>
      </c>
      <c r="B262" s="70">
        <v>46100</v>
      </c>
      <c r="C262" s="159" t="s">
        <v>187</v>
      </c>
      <c r="D262" s="160" t="s">
        <v>64</v>
      </c>
      <c r="E262" s="72" t="s">
        <v>56</v>
      </c>
      <c r="F262" s="73" t="s">
        <v>188</v>
      </c>
      <c r="G262" s="72" t="s">
        <v>56</v>
      </c>
      <c r="H262" s="74" t="s">
        <v>65</v>
      </c>
      <c r="I262" s="74" t="s">
        <v>66</v>
      </c>
      <c r="J262" s="74"/>
      <c r="K262" s="85" t="s">
        <v>78</v>
      </c>
      <c r="L262" s="76">
        <v>24</v>
      </c>
      <c r="M262" s="77">
        <v>457.1</v>
      </c>
      <c r="N262" s="78"/>
      <c r="O262" s="79">
        <v>698</v>
      </c>
      <c r="P262" s="131"/>
      <c r="Q262" s="132"/>
      <c r="R262" s="133">
        <v>2500</v>
      </c>
      <c r="S262" s="133">
        <f t="shared" si="25"/>
        <v>1142750</v>
      </c>
      <c r="T262" s="80"/>
      <c r="U262" s="81"/>
      <c r="V262" s="82">
        <v>6566</v>
      </c>
      <c r="W262" s="83">
        <f t="shared" si="26"/>
        <v>4583068</v>
      </c>
      <c r="X262" s="133"/>
      <c r="Y262" s="134" t="s">
        <v>230</v>
      </c>
      <c r="Z262" s="142">
        <f t="shared" si="27"/>
        <v>3440318</v>
      </c>
    </row>
    <row r="263" spans="1:68" ht="16" customHeight="1" x14ac:dyDescent="0.45">
      <c r="A263" s="69">
        <v>2603</v>
      </c>
      <c r="B263" s="70">
        <v>46100</v>
      </c>
      <c r="C263" s="159" t="s">
        <v>187</v>
      </c>
      <c r="D263" s="160" t="s">
        <v>64</v>
      </c>
      <c r="E263" s="72" t="s">
        <v>56</v>
      </c>
      <c r="F263" s="73" t="s">
        <v>188</v>
      </c>
      <c r="G263" s="72" t="s">
        <v>56</v>
      </c>
      <c r="H263" s="74" t="s">
        <v>65</v>
      </c>
      <c r="I263" s="74" t="s">
        <v>66</v>
      </c>
      <c r="J263" s="74"/>
      <c r="K263" s="85" t="s">
        <v>92</v>
      </c>
      <c r="L263" s="76">
        <v>24</v>
      </c>
      <c r="M263" s="77">
        <v>457.3</v>
      </c>
      <c r="N263" s="78"/>
      <c r="O263" s="79">
        <v>697</v>
      </c>
      <c r="P263" s="131"/>
      <c r="Q263" s="132"/>
      <c r="R263" s="133">
        <v>2500</v>
      </c>
      <c r="S263" s="133">
        <f t="shared" si="25"/>
        <v>1143250</v>
      </c>
      <c r="T263" s="80"/>
      <c r="U263" s="81"/>
      <c r="V263" s="82">
        <v>6566</v>
      </c>
      <c r="W263" s="83">
        <f t="shared" si="26"/>
        <v>4576502</v>
      </c>
      <c r="X263" s="133"/>
      <c r="Y263" s="134" t="s">
        <v>230</v>
      </c>
      <c r="Z263" s="142">
        <f t="shared" si="27"/>
        <v>3433252</v>
      </c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</row>
    <row r="264" spans="1:68" ht="16" customHeight="1" x14ac:dyDescent="0.45">
      <c r="A264" s="69">
        <v>2603</v>
      </c>
      <c r="B264" s="70">
        <v>46100</v>
      </c>
      <c r="C264" s="159" t="s">
        <v>187</v>
      </c>
      <c r="D264" s="160" t="s">
        <v>64</v>
      </c>
      <c r="E264" s="72" t="s">
        <v>56</v>
      </c>
      <c r="F264" s="73" t="s">
        <v>188</v>
      </c>
      <c r="G264" s="72" t="s">
        <v>56</v>
      </c>
      <c r="H264" s="74" t="s">
        <v>65</v>
      </c>
      <c r="I264" s="74" t="s">
        <v>66</v>
      </c>
      <c r="J264" s="74"/>
      <c r="K264" s="85" t="s">
        <v>93</v>
      </c>
      <c r="L264" s="76">
        <v>24</v>
      </c>
      <c r="M264" s="77">
        <v>457.3</v>
      </c>
      <c r="N264" s="78"/>
      <c r="O264" s="79">
        <v>672</v>
      </c>
      <c r="P264" s="131"/>
      <c r="Q264" s="132"/>
      <c r="R264" s="133">
        <v>2500</v>
      </c>
      <c r="S264" s="133">
        <f t="shared" si="25"/>
        <v>1143250</v>
      </c>
      <c r="T264" s="80"/>
      <c r="U264" s="81"/>
      <c r="V264" s="82">
        <v>6566</v>
      </c>
      <c r="W264" s="83">
        <f t="shared" si="26"/>
        <v>4412352</v>
      </c>
      <c r="X264" s="133"/>
      <c r="Y264" s="134" t="s">
        <v>230</v>
      </c>
      <c r="Z264" s="142">
        <f t="shared" si="27"/>
        <v>3269102</v>
      </c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</row>
    <row r="265" spans="1:68" ht="16" customHeight="1" x14ac:dyDescent="0.45">
      <c r="A265" s="69">
        <v>2603</v>
      </c>
      <c r="B265" s="70">
        <v>46100</v>
      </c>
      <c r="C265" s="159" t="s">
        <v>187</v>
      </c>
      <c r="D265" s="160" t="s">
        <v>64</v>
      </c>
      <c r="E265" s="72" t="s">
        <v>56</v>
      </c>
      <c r="F265" s="73" t="s">
        <v>188</v>
      </c>
      <c r="G265" s="72" t="s">
        <v>56</v>
      </c>
      <c r="H265" s="74" t="s">
        <v>65</v>
      </c>
      <c r="I265" s="74" t="s">
        <v>66</v>
      </c>
      <c r="J265" s="74"/>
      <c r="K265" s="85" t="s">
        <v>94</v>
      </c>
      <c r="L265" s="76">
        <v>24</v>
      </c>
      <c r="M265" s="77">
        <v>462.8</v>
      </c>
      <c r="N265" s="78"/>
      <c r="O265" s="79">
        <v>694</v>
      </c>
      <c r="P265" s="131"/>
      <c r="Q265" s="132"/>
      <c r="R265" s="133">
        <v>2500</v>
      </c>
      <c r="S265" s="133">
        <f t="shared" si="25"/>
        <v>1157000</v>
      </c>
      <c r="T265" s="80"/>
      <c r="U265" s="81"/>
      <c r="V265" s="82">
        <v>6566</v>
      </c>
      <c r="W265" s="83">
        <f t="shared" si="26"/>
        <v>4556804</v>
      </c>
      <c r="X265" s="133"/>
      <c r="Y265" s="134" t="s">
        <v>230</v>
      </c>
      <c r="Z265" s="142">
        <f t="shared" si="27"/>
        <v>3399804</v>
      </c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</row>
    <row r="266" spans="1:68" s="68" customFormat="1" ht="16" customHeight="1" x14ac:dyDescent="0.45">
      <c r="A266" s="69">
        <v>2603</v>
      </c>
      <c r="B266" s="70">
        <v>46100</v>
      </c>
      <c r="C266" s="159" t="s">
        <v>187</v>
      </c>
      <c r="D266" s="160" t="s">
        <v>64</v>
      </c>
      <c r="E266" s="72" t="s">
        <v>56</v>
      </c>
      <c r="F266" s="73" t="s">
        <v>188</v>
      </c>
      <c r="G266" s="72" t="s">
        <v>56</v>
      </c>
      <c r="H266" s="74" t="s">
        <v>65</v>
      </c>
      <c r="I266" s="74" t="s">
        <v>66</v>
      </c>
      <c r="J266" s="74"/>
      <c r="K266" s="85" t="s">
        <v>87</v>
      </c>
      <c r="L266" s="76">
        <v>24</v>
      </c>
      <c r="M266" s="77">
        <v>446.8</v>
      </c>
      <c r="N266" s="78"/>
      <c r="O266" s="79">
        <v>687</v>
      </c>
      <c r="P266" s="131"/>
      <c r="Q266" s="132"/>
      <c r="R266" s="133">
        <v>2500</v>
      </c>
      <c r="S266" s="133">
        <f t="shared" si="25"/>
        <v>1117000</v>
      </c>
      <c r="T266" s="80"/>
      <c r="U266" s="81"/>
      <c r="V266" s="82">
        <v>6566</v>
      </c>
      <c r="W266" s="83">
        <f t="shared" si="26"/>
        <v>4510842</v>
      </c>
      <c r="X266" s="133"/>
      <c r="Y266" s="134" t="s">
        <v>230</v>
      </c>
      <c r="Z266" s="142">
        <f t="shared" si="27"/>
        <v>3393842</v>
      </c>
    </row>
    <row r="267" spans="1:68" s="68" customFormat="1" ht="16" customHeight="1" x14ac:dyDescent="0.45">
      <c r="A267" s="69">
        <v>2603</v>
      </c>
      <c r="B267" s="70">
        <v>46100</v>
      </c>
      <c r="C267" s="159" t="s">
        <v>187</v>
      </c>
      <c r="D267" s="160" t="s">
        <v>64</v>
      </c>
      <c r="E267" s="72" t="s">
        <v>56</v>
      </c>
      <c r="F267" s="73" t="s">
        <v>188</v>
      </c>
      <c r="G267" s="72" t="s">
        <v>56</v>
      </c>
      <c r="H267" s="74" t="s">
        <v>65</v>
      </c>
      <c r="I267" s="74" t="s">
        <v>66</v>
      </c>
      <c r="J267" s="74"/>
      <c r="K267" s="85" t="s">
        <v>88</v>
      </c>
      <c r="L267" s="76">
        <v>24</v>
      </c>
      <c r="M267" s="77">
        <v>456</v>
      </c>
      <c r="N267" s="78"/>
      <c r="O267" s="79">
        <v>674</v>
      </c>
      <c r="P267" s="131"/>
      <c r="Q267" s="132"/>
      <c r="R267" s="133">
        <v>2500</v>
      </c>
      <c r="S267" s="133">
        <f t="shared" si="25"/>
        <v>1140000</v>
      </c>
      <c r="T267" s="80"/>
      <c r="U267" s="81"/>
      <c r="V267" s="82">
        <v>6566</v>
      </c>
      <c r="W267" s="83">
        <f t="shared" si="26"/>
        <v>4425484</v>
      </c>
      <c r="X267" s="133"/>
      <c r="Y267" s="134" t="s">
        <v>230</v>
      </c>
      <c r="Z267" s="142">
        <f t="shared" si="27"/>
        <v>3285484</v>
      </c>
    </row>
    <row r="268" spans="1:68" ht="16" customHeight="1" x14ac:dyDescent="0.45">
      <c r="A268" s="69">
        <v>2603</v>
      </c>
      <c r="B268" s="70">
        <v>46107</v>
      </c>
      <c r="C268" s="159" t="s">
        <v>189</v>
      </c>
      <c r="D268" s="160" t="s">
        <v>64</v>
      </c>
      <c r="E268" s="72" t="s">
        <v>56</v>
      </c>
      <c r="F268" s="73" t="s">
        <v>188</v>
      </c>
      <c r="G268" s="72" t="s">
        <v>56</v>
      </c>
      <c r="H268" s="74" t="s">
        <v>65</v>
      </c>
      <c r="I268" s="74" t="s">
        <v>66</v>
      </c>
      <c r="J268" s="74"/>
      <c r="K268" s="85" t="s">
        <v>68</v>
      </c>
      <c r="L268" s="76">
        <v>8</v>
      </c>
      <c r="M268" s="77">
        <v>120.9</v>
      </c>
      <c r="N268" s="78"/>
      <c r="O268" s="79">
        <v>188</v>
      </c>
      <c r="P268" s="131"/>
      <c r="Q268" s="132"/>
      <c r="R268" s="133">
        <v>2500</v>
      </c>
      <c r="S268" s="133">
        <f t="shared" si="25"/>
        <v>302250</v>
      </c>
      <c r="T268" s="80"/>
      <c r="U268" s="81"/>
      <c r="V268" s="82">
        <v>6566</v>
      </c>
      <c r="W268" s="83">
        <f t="shared" si="26"/>
        <v>1234408</v>
      </c>
      <c r="X268" s="133"/>
      <c r="Y268" s="134" t="s">
        <v>230</v>
      </c>
      <c r="Z268" s="142">
        <f t="shared" si="27"/>
        <v>932158</v>
      </c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</row>
    <row r="269" spans="1:68" ht="16" customHeight="1" x14ac:dyDescent="0.45">
      <c r="A269" s="69">
        <v>2603</v>
      </c>
      <c r="B269" s="70">
        <v>46107</v>
      </c>
      <c r="C269" s="159" t="s">
        <v>189</v>
      </c>
      <c r="D269" s="160" t="s">
        <v>64</v>
      </c>
      <c r="E269" s="72" t="s">
        <v>56</v>
      </c>
      <c r="F269" s="73" t="s">
        <v>188</v>
      </c>
      <c r="G269" s="72" t="s">
        <v>56</v>
      </c>
      <c r="H269" s="74" t="s">
        <v>65</v>
      </c>
      <c r="I269" s="74" t="s">
        <v>66</v>
      </c>
      <c r="J269" s="74"/>
      <c r="K269" s="85" t="s">
        <v>73</v>
      </c>
      <c r="L269" s="76">
        <v>32</v>
      </c>
      <c r="M269" s="77">
        <v>466.9</v>
      </c>
      <c r="N269" s="78"/>
      <c r="O269" s="79">
        <v>721</v>
      </c>
      <c r="P269" s="131"/>
      <c r="Q269" s="132"/>
      <c r="R269" s="133">
        <v>2500</v>
      </c>
      <c r="S269" s="133">
        <f t="shared" si="25"/>
        <v>1167250</v>
      </c>
      <c r="T269" s="80"/>
      <c r="U269" s="81"/>
      <c r="V269" s="82">
        <v>6566</v>
      </c>
      <c r="W269" s="83">
        <f t="shared" si="26"/>
        <v>4734086</v>
      </c>
      <c r="X269" s="133"/>
      <c r="Y269" s="134" t="s">
        <v>230</v>
      </c>
      <c r="Z269" s="142">
        <f t="shared" si="27"/>
        <v>3566836</v>
      </c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</row>
    <row r="270" spans="1:68" ht="16" customHeight="1" x14ac:dyDescent="0.45">
      <c r="A270" s="69">
        <v>2603</v>
      </c>
      <c r="B270" s="70">
        <v>46107</v>
      </c>
      <c r="C270" s="159" t="s">
        <v>189</v>
      </c>
      <c r="D270" s="160" t="s">
        <v>64</v>
      </c>
      <c r="E270" s="72" t="s">
        <v>56</v>
      </c>
      <c r="F270" s="73" t="s">
        <v>188</v>
      </c>
      <c r="G270" s="72" t="s">
        <v>56</v>
      </c>
      <c r="H270" s="74" t="s">
        <v>65</v>
      </c>
      <c r="I270" s="74" t="s">
        <v>66</v>
      </c>
      <c r="J270" s="74"/>
      <c r="K270" s="85" t="s">
        <v>75</v>
      </c>
      <c r="L270" s="76">
        <v>32</v>
      </c>
      <c r="M270" s="77">
        <v>473.2</v>
      </c>
      <c r="N270" s="78"/>
      <c r="O270" s="79">
        <v>727</v>
      </c>
      <c r="P270" s="131"/>
      <c r="Q270" s="132"/>
      <c r="R270" s="133">
        <v>2500</v>
      </c>
      <c r="S270" s="133">
        <f t="shared" si="25"/>
        <v>1183000</v>
      </c>
      <c r="T270" s="80"/>
      <c r="U270" s="81"/>
      <c r="V270" s="82">
        <v>6566</v>
      </c>
      <c r="W270" s="83">
        <f t="shared" si="26"/>
        <v>4773482</v>
      </c>
      <c r="X270" s="133"/>
      <c r="Y270" s="134" t="s">
        <v>230</v>
      </c>
      <c r="Z270" s="142">
        <f t="shared" si="27"/>
        <v>3590482</v>
      </c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</row>
    <row r="271" spans="1:68" ht="16" customHeight="1" x14ac:dyDescent="0.45">
      <c r="A271" s="69">
        <v>2603</v>
      </c>
      <c r="B271" s="70">
        <v>46107</v>
      </c>
      <c r="C271" s="159" t="s">
        <v>189</v>
      </c>
      <c r="D271" s="160" t="s">
        <v>64</v>
      </c>
      <c r="E271" s="72" t="s">
        <v>56</v>
      </c>
      <c r="F271" s="73" t="s">
        <v>188</v>
      </c>
      <c r="G271" s="72" t="s">
        <v>56</v>
      </c>
      <c r="H271" s="74" t="s">
        <v>65</v>
      </c>
      <c r="I271" s="74" t="s">
        <v>66</v>
      </c>
      <c r="J271" s="74"/>
      <c r="K271" s="85" t="s">
        <v>76</v>
      </c>
      <c r="L271" s="76">
        <v>32</v>
      </c>
      <c r="M271" s="77">
        <v>484.2</v>
      </c>
      <c r="N271" s="78"/>
      <c r="O271" s="79">
        <v>752</v>
      </c>
      <c r="P271" s="131"/>
      <c r="Q271" s="132"/>
      <c r="R271" s="133">
        <v>2500</v>
      </c>
      <c r="S271" s="133">
        <f t="shared" si="25"/>
        <v>1210500</v>
      </c>
      <c r="T271" s="80"/>
      <c r="U271" s="81"/>
      <c r="V271" s="82">
        <v>6566</v>
      </c>
      <c r="W271" s="83">
        <f t="shared" si="26"/>
        <v>4937632</v>
      </c>
      <c r="X271" s="133"/>
      <c r="Y271" s="134" t="s">
        <v>230</v>
      </c>
      <c r="Z271" s="142">
        <f t="shared" si="27"/>
        <v>3727132</v>
      </c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</row>
    <row r="272" spans="1:68" ht="16" customHeight="1" x14ac:dyDescent="0.45">
      <c r="A272" s="69">
        <v>2603</v>
      </c>
      <c r="B272" s="70">
        <v>46107</v>
      </c>
      <c r="C272" s="159" t="s">
        <v>189</v>
      </c>
      <c r="D272" s="160" t="s">
        <v>64</v>
      </c>
      <c r="E272" s="72" t="s">
        <v>56</v>
      </c>
      <c r="F272" s="73" t="s">
        <v>188</v>
      </c>
      <c r="G272" s="72" t="s">
        <v>56</v>
      </c>
      <c r="H272" s="74" t="s">
        <v>65</v>
      </c>
      <c r="I272" s="74" t="s">
        <v>66</v>
      </c>
      <c r="J272" s="74"/>
      <c r="K272" s="85" t="s">
        <v>77</v>
      </c>
      <c r="L272" s="76">
        <v>32</v>
      </c>
      <c r="M272" s="77">
        <v>487</v>
      </c>
      <c r="N272" s="78"/>
      <c r="O272" s="79">
        <v>755</v>
      </c>
      <c r="P272" s="131"/>
      <c r="Q272" s="132"/>
      <c r="R272" s="133">
        <v>2500</v>
      </c>
      <c r="S272" s="133">
        <f t="shared" si="25"/>
        <v>1217500</v>
      </c>
      <c r="T272" s="80"/>
      <c r="U272" s="81"/>
      <c r="V272" s="82">
        <v>6566</v>
      </c>
      <c r="W272" s="83">
        <f t="shared" si="26"/>
        <v>4957330</v>
      </c>
      <c r="X272" s="133"/>
      <c r="Y272" s="134" t="s">
        <v>230</v>
      </c>
      <c r="Z272" s="142">
        <f t="shared" si="27"/>
        <v>3739830</v>
      </c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</row>
    <row r="273" spans="1:68" ht="16" customHeight="1" x14ac:dyDescent="0.45">
      <c r="A273" s="69">
        <v>2603</v>
      </c>
      <c r="B273" s="70">
        <v>46107</v>
      </c>
      <c r="C273" s="159" t="s">
        <v>189</v>
      </c>
      <c r="D273" s="160" t="s">
        <v>64</v>
      </c>
      <c r="E273" s="72" t="s">
        <v>56</v>
      </c>
      <c r="F273" s="73" t="s">
        <v>188</v>
      </c>
      <c r="G273" s="72" t="s">
        <v>56</v>
      </c>
      <c r="H273" s="74" t="s">
        <v>65</v>
      </c>
      <c r="I273" s="74" t="s">
        <v>66</v>
      </c>
      <c r="J273" s="74"/>
      <c r="K273" s="85" t="s">
        <v>93</v>
      </c>
      <c r="L273" s="76">
        <v>33</v>
      </c>
      <c r="M273" s="77">
        <v>488</v>
      </c>
      <c r="N273" s="78"/>
      <c r="O273" s="79">
        <v>754</v>
      </c>
      <c r="P273" s="131"/>
      <c r="Q273" s="132"/>
      <c r="R273" s="133">
        <v>2500</v>
      </c>
      <c r="S273" s="133">
        <f t="shared" si="25"/>
        <v>1220000</v>
      </c>
      <c r="T273" s="80"/>
      <c r="U273" s="81"/>
      <c r="V273" s="82">
        <v>6566</v>
      </c>
      <c r="W273" s="83">
        <f t="shared" si="26"/>
        <v>4950764</v>
      </c>
      <c r="X273" s="133"/>
      <c r="Y273" s="134" t="s">
        <v>230</v>
      </c>
      <c r="Z273" s="142">
        <f t="shared" si="27"/>
        <v>3730764</v>
      </c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</row>
    <row r="274" spans="1:68" ht="16" customHeight="1" x14ac:dyDescent="0.45">
      <c r="A274" s="69">
        <v>2603</v>
      </c>
      <c r="B274" s="70">
        <v>46107</v>
      </c>
      <c r="C274" s="159" t="s">
        <v>189</v>
      </c>
      <c r="D274" s="160" t="s">
        <v>64</v>
      </c>
      <c r="E274" s="72" t="s">
        <v>56</v>
      </c>
      <c r="F274" s="73" t="s">
        <v>188</v>
      </c>
      <c r="G274" s="72" t="s">
        <v>56</v>
      </c>
      <c r="H274" s="74" t="s">
        <v>65</v>
      </c>
      <c r="I274" s="74" t="s">
        <v>66</v>
      </c>
      <c r="J274" s="74"/>
      <c r="K274" s="85" t="s">
        <v>94</v>
      </c>
      <c r="L274" s="76">
        <v>34</v>
      </c>
      <c r="M274" s="77">
        <v>506.8</v>
      </c>
      <c r="N274" s="78"/>
      <c r="O274" s="79">
        <v>779</v>
      </c>
      <c r="P274" s="131"/>
      <c r="Q274" s="132"/>
      <c r="R274" s="133">
        <v>2500</v>
      </c>
      <c r="S274" s="133">
        <f t="shared" si="25"/>
        <v>1267000</v>
      </c>
      <c r="T274" s="80"/>
      <c r="U274" s="81"/>
      <c r="V274" s="82">
        <v>6566</v>
      </c>
      <c r="W274" s="83">
        <f t="shared" si="26"/>
        <v>5114914</v>
      </c>
      <c r="X274" s="133"/>
      <c r="Y274" s="134" t="s">
        <v>230</v>
      </c>
      <c r="Z274" s="142">
        <f t="shared" si="27"/>
        <v>3847914</v>
      </c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</row>
    <row r="275" spans="1:68" ht="16" customHeight="1" x14ac:dyDescent="0.45">
      <c r="A275" s="69">
        <v>2603</v>
      </c>
      <c r="B275" s="70">
        <v>46107</v>
      </c>
      <c r="C275" s="159" t="s">
        <v>189</v>
      </c>
      <c r="D275" s="160" t="s">
        <v>64</v>
      </c>
      <c r="E275" s="72" t="s">
        <v>56</v>
      </c>
      <c r="F275" s="73" t="s">
        <v>188</v>
      </c>
      <c r="G275" s="72" t="s">
        <v>56</v>
      </c>
      <c r="H275" s="74" t="s">
        <v>65</v>
      </c>
      <c r="I275" s="74" t="s">
        <v>66</v>
      </c>
      <c r="J275" s="74"/>
      <c r="K275" s="85" t="s">
        <v>87</v>
      </c>
      <c r="L275" s="76">
        <v>26</v>
      </c>
      <c r="M275" s="77">
        <v>390.7</v>
      </c>
      <c r="N275" s="78"/>
      <c r="O275" s="79">
        <v>598</v>
      </c>
      <c r="P275" s="131"/>
      <c r="Q275" s="132"/>
      <c r="R275" s="133">
        <v>2500</v>
      </c>
      <c r="S275" s="133">
        <f t="shared" si="25"/>
        <v>976750</v>
      </c>
      <c r="T275" s="80"/>
      <c r="U275" s="81"/>
      <c r="V275" s="82">
        <v>6566</v>
      </c>
      <c r="W275" s="83">
        <f t="shared" si="26"/>
        <v>3926468</v>
      </c>
      <c r="X275" s="133"/>
      <c r="Y275" s="134" t="s">
        <v>230</v>
      </c>
      <c r="Z275" s="142">
        <f t="shared" si="27"/>
        <v>2949718</v>
      </c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</row>
    <row r="276" spans="1:68" ht="16" customHeight="1" x14ac:dyDescent="0.45">
      <c r="A276" s="69">
        <v>2603</v>
      </c>
      <c r="B276" s="70">
        <v>46107</v>
      </c>
      <c r="C276" s="159" t="s">
        <v>189</v>
      </c>
      <c r="D276" s="160" t="s">
        <v>64</v>
      </c>
      <c r="E276" s="72" t="s">
        <v>56</v>
      </c>
      <c r="F276" s="73" t="s">
        <v>188</v>
      </c>
      <c r="G276" s="72" t="s">
        <v>56</v>
      </c>
      <c r="H276" s="74" t="s">
        <v>65</v>
      </c>
      <c r="I276" s="74" t="s">
        <v>66</v>
      </c>
      <c r="J276" s="74"/>
      <c r="K276" s="85" t="s">
        <v>88</v>
      </c>
      <c r="L276" s="76">
        <v>32</v>
      </c>
      <c r="M276" s="77">
        <v>454.7</v>
      </c>
      <c r="N276" s="78"/>
      <c r="O276" s="79">
        <v>703</v>
      </c>
      <c r="P276" s="131"/>
      <c r="Q276" s="132"/>
      <c r="R276" s="133">
        <v>2500</v>
      </c>
      <c r="S276" s="133">
        <f t="shared" si="25"/>
        <v>1136750</v>
      </c>
      <c r="T276" s="80"/>
      <c r="U276" s="81"/>
      <c r="V276" s="82">
        <v>6566</v>
      </c>
      <c r="W276" s="83">
        <f t="shared" si="26"/>
        <v>4615898</v>
      </c>
      <c r="X276" s="133"/>
      <c r="Y276" s="134" t="s">
        <v>230</v>
      </c>
      <c r="Z276" s="142">
        <f t="shared" si="27"/>
        <v>3479148</v>
      </c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</row>
    <row r="277" spans="1:68" s="68" customFormat="1" ht="16" customHeight="1" x14ac:dyDescent="0.45">
      <c r="A277" s="69">
        <v>2603</v>
      </c>
      <c r="B277" s="70">
        <v>46107</v>
      </c>
      <c r="C277" s="159" t="s">
        <v>189</v>
      </c>
      <c r="D277" s="160" t="s">
        <v>64</v>
      </c>
      <c r="E277" s="72" t="s">
        <v>56</v>
      </c>
      <c r="F277" s="73" t="s">
        <v>188</v>
      </c>
      <c r="G277" s="72" t="s">
        <v>56</v>
      </c>
      <c r="H277" s="74" t="s">
        <v>65</v>
      </c>
      <c r="I277" s="74" t="s">
        <v>66</v>
      </c>
      <c r="J277" s="74"/>
      <c r="K277" s="85" t="s">
        <v>89</v>
      </c>
      <c r="L277" s="76">
        <v>32</v>
      </c>
      <c r="M277" s="77">
        <v>463.9</v>
      </c>
      <c r="N277" s="78"/>
      <c r="O277" s="79">
        <v>718</v>
      </c>
      <c r="P277" s="131"/>
      <c r="Q277" s="132"/>
      <c r="R277" s="133">
        <v>2500</v>
      </c>
      <c r="S277" s="133">
        <f t="shared" si="25"/>
        <v>1159750</v>
      </c>
      <c r="T277" s="80"/>
      <c r="U277" s="81"/>
      <c r="V277" s="82">
        <v>6566</v>
      </c>
      <c r="W277" s="83">
        <f t="shared" si="26"/>
        <v>4714388</v>
      </c>
      <c r="X277" s="133"/>
      <c r="Y277" s="134" t="s">
        <v>230</v>
      </c>
      <c r="Z277" s="142">
        <f t="shared" si="27"/>
        <v>3554638</v>
      </c>
    </row>
    <row r="278" spans="1:68" s="68" customFormat="1" ht="16" customHeight="1" x14ac:dyDescent="0.45">
      <c r="A278" s="69">
        <v>2603</v>
      </c>
      <c r="B278" s="70">
        <v>46107</v>
      </c>
      <c r="C278" s="159" t="s">
        <v>189</v>
      </c>
      <c r="D278" s="160" t="s">
        <v>64</v>
      </c>
      <c r="E278" s="72" t="s">
        <v>56</v>
      </c>
      <c r="F278" s="73" t="s">
        <v>188</v>
      </c>
      <c r="G278" s="72" t="s">
        <v>56</v>
      </c>
      <c r="H278" s="74" t="s">
        <v>65</v>
      </c>
      <c r="I278" s="74" t="s">
        <v>66</v>
      </c>
      <c r="J278" s="74"/>
      <c r="K278" s="85" t="s">
        <v>305</v>
      </c>
      <c r="L278" s="76">
        <v>32</v>
      </c>
      <c r="M278" s="77">
        <v>486.5</v>
      </c>
      <c r="N278" s="78"/>
      <c r="O278" s="79">
        <v>748</v>
      </c>
      <c r="P278" s="131"/>
      <c r="Q278" s="132"/>
      <c r="R278" s="133">
        <v>2500</v>
      </c>
      <c r="S278" s="133">
        <f t="shared" si="25"/>
        <v>1216250</v>
      </c>
      <c r="T278" s="80"/>
      <c r="U278" s="81"/>
      <c r="V278" s="82">
        <v>6566</v>
      </c>
      <c r="W278" s="83">
        <f t="shared" si="26"/>
        <v>4911368</v>
      </c>
      <c r="X278" s="133"/>
      <c r="Y278" s="134" t="s">
        <v>230</v>
      </c>
      <c r="Z278" s="142">
        <f t="shared" si="27"/>
        <v>3695118</v>
      </c>
    </row>
    <row r="279" spans="1:68" ht="16" customHeight="1" x14ac:dyDescent="0.45">
      <c r="A279" s="69">
        <v>2603</v>
      </c>
      <c r="B279" s="70">
        <v>46107</v>
      </c>
      <c r="C279" s="159" t="s">
        <v>189</v>
      </c>
      <c r="D279" s="160" t="s">
        <v>64</v>
      </c>
      <c r="E279" s="72" t="s">
        <v>56</v>
      </c>
      <c r="F279" s="73" t="s">
        <v>188</v>
      </c>
      <c r="G279" s="72" t="s">
        <v>56</v>
      </c>
      <c r="H279" s="74" t="s">
        <v>65</v>
      </c>
      <c r="I279" s="74" t="s">
        <v>66</v>
      </c>
      <c r="J279" s="74"/>
      <c r="K279" s="85" t="s">
        <v>100</v>
      </c>
      <c r="L279" s="76">
        <v>11</v>
      </c>
      <c r="M279" s="77">
        <v>161.6</v>
      </c>
      <c r="N279" s="78"/>
      <c r="O279" s="79">
        <v>249</v>
      </c>
      <c r="P279" s="131"/>
      <c r="Q279" s="132"/>
      <c r="R279" s="133">
        <v>2500</v>
      </c>
      <c r="S279" s="133">
        <f t="shared" si="25"/>
        <v>404000</v>
      </c>
      <c r="T279" s="80"/>
      <c r="U279" s="81"/>
      <c r="V279" s="82">
        <v>6566</v>
      </c>
      <c r="W279" s="83">
        <f t="shared" si="26"/>
        <v>1634934</v>
      </c>
      <c r="X279" s="133"/>
      <c r="Y279" s="134" t="s">
        <v>230</v>
      </c>
      <c r="Z279" s="142">
        <f t="shared" si="27"/>
        <v>1230934</v>
      </c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</row>
    <row r="280" spans="1:68" s="68" customFormat="1" ht="16" customHeight="1" x14ac:dyDescent="0.45">
      <c r="A280" s="69">
        <v>2603</v>
      </c>
      <c r="B280" s="2">
        <v>46086</v>
      </c>
      <c r="C280" s="161" t="s">
        <v>278</v>
      </c>
      <c r="D280" s="145" t="s">
        <v>37</v>
      </c>
      <c r="E280" s="4" t="s">
        <v>40</v>
      </c>
      <c r="F280" s="5" t="s">
        <v>177</v>
      </c>
      <c r="G280" s="4" t="s">
        <v>38</v>
      </c>
      <c r="H280" s="66" t="s">
        <v>39</v>
      </c>
      <c r="I280" s="66"/>
      <c r="J280" s="66"/>
      <c r="K280" s="67"/>
      <c r="L280" s="11">
        <v>12</v>
      </c>
      <c r="M280" s="12">
        <v>210</v>
      </c>
      <c r="N280" s="13"/>
      <c r="O280" s="14"/>
      <c r="P280" s="15"/>
      <c r="Q280" s="16"/>
      <c r="R280" s="17">
        <v>3800</v>
      </c>
      <c r="S280" s="17">
        <f t="shared" si="25"/>
        <v>798000</v>
      </c>
      <c r="T280" s="18"/>
      <c r="U280" s="19"/>
      <c r="V280" s="20"/>
      <c r="W280" s="21"/>
      <c r="X280" s="17"/>
      <c r="Y280" s="22" t="s">
        <v>186</v>
      </c>
      <c r="Z280" s="23">
        <f t="shared" si="27"/>
        <v>-798000</v>
      </c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</row>
    <row r="281" spans="1:68" s="68" customFormat="1" ht="16" customHeight="1" x14ac:dyDescent="0.45">
      <c r="A281" s="69">
        <v>2603</v>
      </c>
      <c r="B281" s="2">
        <v>46084</v>
      </c>
      <c r="C281" s="161" t="s">
        <v>280</v>
      </c>
      <c r="D281" s="145" t="s">
        <v>37</v>
      </c>
      <c r="E281" s="4" t="s">
        <v>40</v>
      </c>
      <c r="F281" s="5" t="s">
        <v>177</v>
      </c>
      <c r="G281" s="4" t="s">
        <v>38</v>
      </c>
      <c r="H281" s="66" t="s">
        <v>39</v>
      </c>
      <c r="I281" s="66"/>
      <c r="J281" s="66"/>
      <c r="K281" s="121"/>
      <c r="L281" s="11">
        <v>14</v>
      </c>
      <c r="M281" s="12">
        <v>245</v>
      </c>
      <c r="N281" s="13"/>
      <c r="O281" s="14"/>
      <c r="P281" s="15"/>
      <c r="Q281" s="16"/>
      <c r="R281" s="17">
        <v>3800</v>
      </c>
      <c r="S281" s="17">
        <f t="shared" si="25"/>
        <v>931000</v>
      </c>
      <c r="T281" s="18"/>
      <c r="U281" s="19"/>
      <c r="V281" s="20"/>
      <c r="W281" s="21"/>
      <c r="X281" s="17"/>
      <c r="Y281" s="22" t="s">
        <v>186</v>
      </c>
      <c r="Z281" s="23">
        <f t="shared" si="27"/>
        <v>-931000</v>
      </c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</row>
    <row r="282" spans="1:68" s="68" customFormat="1" ht="16" customHeight="1" x14ac:dyDescent="0.45">
      <c r="A282" s="69">
        <v>2603</v>
      </c>
      <c r="B282" s="2">
        <v>46087</v>
      </c>
      <c r="C282" s="161" t="s">
        <v>39</v>
      </c>
      <c r="D282" s="145" t="s">
        <v>37</v>
      </c>
      <c r="E282" s="4" t="s">
        <v>40</v>
      </c>
      <c r="F282" s="5" t="s">
        <v>177</v>
      </c>
      <c r="G282" s="4" t="s">
        <v>38</v>
      </c>
      <c r="H282" s="66" t="s">
        <v>39</v>
      </c>
      <c r="I282" s="66"/>
      <c r="J282" s="66"/>
      <c r="K282" s="121"/>
      <c r="L282" s="11">
        <v>6</v>
      </c>
      <c r="M282" s="12">
        <v>105</v>
      </c>
      <c r="N282" s="13"/>
      <c r="O282" s="14"/>
      <c r="P282" s="15"/>
      <c r="Q282" s="16"/>
      <c r="R282" s="17">
        <v>3800</v>
      </c>
      <c r="S282" s="17">
        <f t="shared" si="25"/>
        <v>399000</v>
      </c>
      <c r="T282" s="18"/>
      <c r="U282" s="19"/>
      <c r="V282" s="20"/>
      <c r="W282" s="21"/>
      <c r="X282" s="17"/>
      <c r="Y282" s="22" t="s">
        <v>186</v>
      </c>
      <c r="Z282" s="23">
        <f t="shared" si="27"/>
        <v>-399000</v>
      </c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</row>
    <row r="283" spans="1:68" s="68" customFormat="1" ht="16" customHeight="1" x14ac:dyDescent="0.45">
      <c r="A283" s="69">
        <v>2603</v>
      </c>
      <c r="B283" s="2">
        <v>46094</v>
      </c>
      <c r="C283" s="161" t="s">
        <v>86</v>
      </c>
      <c r="D283" s="145" t="s">
        <v>37</v>
      </c>
      <c r="E283" s="4" t="s">
        <v>40</v>
      </c>
      <c r="F283" s="5" t="s">
        <v>177</v>
      </c>
      <c r="G283" s="4" t="s">
        <v>38</v>
      </c>
      <c r="H283" s="66" t="s">
        <v>39</v>
      </c>
      <c r="I283" s="66"/>
      <c r="J283" s="66"/>
      <c r="K283" s="121"/>
      <c r="L283" s="11">
        <v>12</v>
      </c>
      <c r="M283" s="12">
        <v>210</v>
      </c>
      <c r="N283" s="13"/>
      <c r="O283" s="14"/>
      <c r="P283" s="15"/>
      <c r="Q283" s="16"/>
      <c r="R283" s="17">
        <v>3800</v>
      </c>
      <c r="S283" s="17">
        <f t="shared" si="25"/>
        <v>798000</v>
      </c>
      <c r="T283" s="18"/>
      <c r="U283" s="19"/>
      <c r="V283" s="20"/>
      <c r="W283" s="21"/>
      <c r="X283" s="17"/>
      <c r="Y283" s="22" t="s">
        <v>186</v>
      </c>
      <c r="Z283" s="23">
        <f t="shared" si="27"/>
        <v>-798000</v>
      </c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</row>
    <row r="284" spans="1:68" s="68" customFormat="1" ht="16" customHeight="1" x14ac:dyDescent="0.45">
      <c r="A284" s="69">
        <v>2603</v>
      </c>
      <c r="B284" s="2">
        <v>46100</v>
      </c>
      <c r="C284" s="161" t="s">
        <v>86</v>
      </c>
      <c r="D284" s="145" t="s">
        <v>37</v>
      </c>
      <c r="E284" s="4" t="s">
        <v>40</v>
      </c>
      <c r="F284" s="5" t="s">
        <v>177</v>
      </c>
      <c r="G284" s="4" t="s">
        <v>38</v>
      </c>
      <c r="H284" s="66" t="s">
        <v>39</v>
      </c>
      <c r="I284" s="66"/>
      <c r="J284" s="66"/>
      <c r="K284" s="121"/>
      <c r="L284" s="11">
        <v>12</v>
      </c>
      <c r="M284" s="12">
        <v>210</v>
      </c>
      <c r="N284" s="13"/>
      <c r="O284" s="14"/>
      <c r="P284" s="15"/>
      <c r="Q284" s="16"/>
      <c r="R284" s="17">
        <v>3800</v>
      </c>
      <c r="S284" s="17">
        <f t="shared" si="25"/>
        <v>798000</v>
      </c>
      <c r="T284" s="18"/>
      <c r="U284" s="19"/>
      <c r="V284" s="20"/>
      <c r="W284" s="21"/>
      <c r="X284" s="17"/>
      <c r="Y284" s="22" t="s">
        <v>186</v>
      </c>
      <c r="Z284" s="23">
        <f t="shared" si="27"/>
        <v>-798000</v>
      </c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</row>
    <row r="285" spans="1:68" s="68" customFormat="1" ht="16" customHeight="1" x14ac:dyDescent="0.45">
      <c r="A285" s="69">
        <v>2603</v>
      </c>
      <c r="B285" s="2">
        <v>46106</v>
      </c>
      <c r="C285" s="161" t="s">
        <v>281</v>
      </c>
      <c r="D285" s="145" t="s">
        <v>37</v>
      </c>
      <c r="E285" s="4" t="s">
        <v>40</v>
      </c>
      <c r="F285" s="5" t="s">
        <v>177</v>
      </c>
      <c r="G285" s="4" t="s">
        <v>38</v>
      </c>
      <c r="H285" s="66" t="s">
        <v>39</v>
      </c>
      <c r="I285" s="66"/>
      <c r="J285" s="66"/>
      <c r="K285" s="121"/>
      <c r="L285" s="11">
        <v>6</v>
      </c>
      <c r="M285" s="12">
        <v>105</v>
      </c>
      <c r="N285" s="13"/>
      <c r="O285" s="14"/>
      <c r="P285" s="15"/>
      <c r="Q285" s="16"/>
      <c r="R285" s="17">
        <v>3800</v>
      </c>
      <c r="S285" s="17">
        <f t="shared" si="25"/>
        <v>399000</v>
      </c>
      <c r="T285" s="18"/>
      <c r="U285" s="19"/>
      <c r="V285" s="20"/>
      <c r="W285" s="21"/>
      <c r="X285" s="17"/>
      <c r="Y285" s="22" t="s">
        <v>186</v>
      </c>
      <c r="Z285" s="23">
        <f t="shared" si="27"/>
        <v>-399000</v>
      </c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</row>
    <row r="286" spans="1:68" s="68" customFormat="1" ht="16" customHeight="1" x14ac:dyDescent="0.45">
      <c r="A286" s="69">
        <v>2603</v>
      </c>
      <c r="B286" s="70">
        <v>46090</v>
      </c>
      <c r="C286" s="159" t="s">
        <v>282</v>
      </c>
      <c r="D286" s="160" t="s">
        <v>170</v>
      </c>
      <c r="E286" s="72" t="s">
        <v>272</v>
      </c>
      <c r="F286" s="73" t="s">
        <v>177</v>
      </c>
      <c r="G286" s="72" t="s">
        <v>50</v>
      </c>
      <c r="H286" s="74" t="s">
        <v>273</v>
      </c>
      <c r="I286" s="74" t="s">
        <v>274</v>
      </c>
      <c r="J286" s="74"/>
      <c r="K286" s="85"/>
      <c r="L286" s="76"/>
      <c r="M286" s="77"/>
      <c r="N286" s="78"/>
      <c r="O286" s="79">
        <v>370</v>
      </c>
      <c r="P286" s="131"/>
      <c r="Q286" s="132"/>
      <c r="R286" s="133">
        <f>10.25*1470</f>
        <v>15067.5</v>
      </c>
      <c r="S286" s="133">
        <f>R286*O286</f>
        <v>5574975</v>
      </c>
      <c r="T286" s="80">
        <v>12.5</v>
      </c>
      <c r="U286" s="81"/>
      <c r="V286" s="82">
        <f>12.5*1470</f>
        <v>18375</v>
      </c>
      <c r="W286" s="83">
        <f>V286*O286</f>
        <v>6798750</v>
      </c>
      <c r="X286" s="133" t="s">
        <v>275</v>
      </c>
      <c r="Y286" s="134" t="s">
        <v>192</v>
      </c>
      <c r="Z286" s="142">
        <f t="shared" si="27"/>
        <v>1223775</v>
      </c>
    </row>
    <row r="287" spans="1:68" s="68" customFormat="1" ht="16" customHeight="1" x14ac:dyDescent="0.45">
      <c r="A287" s="69">
        <v>2603</v>
      </c>
      <c r="B287" s="70">
        <v>46087</v>
      </c>
      <c r="C287" s="159" t="s">
        <v>99</v>
      </c>
      <c r="D287" s="160" t="s">
        <v>170</v>
      </c>
      <c r="E287" s="72" t="s">
        <v>272</v>
      </c>
      <c r="F287" s="73" t="s">
        <v>177</v>
      </c>
      <c r="G287" s="72" t="s">
        <v>50</v>
      </c>
      <c r="H287" s="74" t="s">
        <v>51</v>
      </c>
      <c r="I287" s="74" t="s">
        <v>52</v>
      </c>
      <c r="J287" s="74"/>
      <c r="K287" s="85"/>
      <c r="L287" s="76">
        <v>1</v>
      </c>
      <c r="M287" s="77"/>
      <c r="N287" s="78"/>
      <c r="O287" s="79">
        <v>516</v>
      </c>
      <c r="P287" s="131"/>
      <c r="Q287" s="132"/>
      <c r="R287" s="133" t="s">
        <v>306</v>
      </c>
      <c r="S287" s="133"/>
      <c r="T287" s="80"/>
      <c r="U287" s="81"/>
      <c r="V287" s="82">
        <v>3595</v>
      </c>
      <c r="W287" s="83">
        <f>O287*V287</f>
        <v>1855020</v>
      </c>
      <c r="X287" s="133"/>
      <c r="Y287" s="134" t="s">
        <v>192</v>
      </c>
      <c r="Z287" s="142">
        <f t="shared" si="27"/>
        <v>1855020</v>
      </c>
    </row>
    <row r="288" spans="1:68" s="68" customFormat="1" ht="16" customHeight="1" x14ac:dyDescent="0.45">
      <c r="A288" s="69">
        <v>2603</v>
      </c>
      <c r="B288" s="70">
        <v>46105</v>
      </c>
      <c r="C288" s="159" t="s">
        <v>297</v>
      </c>
      <c r="D288" s="160" t="s">
        <v>170</v>
      </c>
      <c r="E288" s="72" t="s">
        <v>272</v>
      </c>
      <c r="F288" s="73" t="s">
        <v>177</v>
      </c>
      <c r="G288" s="72" t="s">
        <v>50</v>
      </c>
      <c r="H288" s="74" t="s">
        <v>51</v>
      </c>
      <c r="I288" s="74" t="s">
        <v>49</v>
      </c>
      <c r="J288" s="74"/>
      <c r="K288" s="85"/>
      <c r="L288" s="76"/>
      <c r="M288" s="77">
        <v>3</v>
      </c>
      <c r="N288" s="78"/>
      <c r="O288" s="79">
        <v>1849</v>
      </c>
      <c r="P288" s="131"/>
      <c r="Q288" s="132"/>
      <c r="R288" s="133">
        <v>1850</v>
      </c>
      <c r="S288" s="133">
        <f>O288*R288</f>
        <v>3420650</v>
      </c>
      <c r="T288" s="80"/>
      <c r="U288" s="81"/>
      <c r="V288" s="82">
        <v>3595</v>
      </c>
      <c r="W288" s="83">
        <f>O288*V288</f>
        <v>6647155</v>
      </c>
      <c r="X288" s="133"/>
      <c r="Y288" s="134" t="s">
        <v>192</v>
      </c>
      <c r="Z288" s="142">
        <f t="shared" si="27"/>
        <v>3226505</v>
      </c>
    </row>
    <row r="289" spans="1:26" s="68" customFormat="1" ht="16" customHeight="1" x14ac:dyDescent="0.45">
      <c r="A289" s="69">
        <v>2603</v>
      </c>
      <c r="B289" s="70">
        <v>46112</v>
      </c>
      <c r="C289" s="159" t="s">
        <v>283</v>
      </c>
      <c r="D289" s="160" t="s">
        <v>58</v>
      </c>
      <c r="E289" s="72" t="s">
        <v>59</v>
      </c>
      <c r="F289" s="73" t="s">
        <v>199</v>
      </c>
      <c r="G289" s="72" t="s">
        <v>59</v>
      </c>
      <c r="H289" s="74" t="s">
        <v>286</v>
      </c>
      <c r="I289" s="74"/>
      <c r="J289" s="74"/>
      <c r="K289" s="85"/>
      <c r="L289" s="76"/>
      <c r="M289" s="77"/>
      <c r="N289" s="78"/>
      <c r="O289" s="79">
        <v>-66</v>
      </c>
      <c r="P289" s="131"/>
      <c r="Q289" s="132"/>
      <c r="R289" s="133" t="s">
        <v>301</v>
      </c>
      <c r="S289" s="133"/>
      <c r="T289" s="80"/>
      <c r="U289" s="81"/>
      <c r="V289" s="82">
        <v>2450</v>
      </c>
      <c r="W289" s="83">
        <f>O289*V289</f>
        <v>-161700</v>
      </c>
      <c r="X289" s="133"/>
      <c r="Y289" s="134" t="s">
        <v>225</v>
      </c>
      <c r="Z289" s="142">
        <f t="shared" si="27"/>
        <v>-161700</v>
      </c>
    </row>
    <row r="290" spans="1:26" s="68" customFormat="1" ht="16" customHeight="1" x14ac:dyDescent="0.45">
      <c r="A290" s="69">
        <v>2603</v>
      </c>
      <c r="B290" s="70">
        <v>46106</v>
      </c>
      <c r="C290" s="159" t="s">
        <v>283</v>
      </c>
      <c r="D290" s="160" t="s">
        <v>58</v>
      </c>
      <c r="E290" s="72" t="s">
        <v>59</v>
      </c>
      <c r="F290" s="73" t="s">
        <v>303</v>
      </c>
      <c r="G290" s="72" t="s">
        <v>59</v>
      </c>
      <c r="H290" s="74" t="s">
        <v>111</v>
      </c>
      <c r="I290" s="74"/>
      <c r="J290" s="74"/>
      <c r="K290" s="85"/>
      <c r="L290" s="76">
        <v>7</v>
      </c>
      <c r="M290" s="77"/>
      <c r="N290" s="78"/>
      <c r="O290" s="79">
        <v>4900</v>
      </c>
      <c r="P290" s="131"/>
      <c r="Q290" s="132"/>
      <c r="R290" s="133">
        <v>1470</v>
      </c>
      <c r="S290" s="133">
        <f>O290*R290</f>
        <v>7203000</v>
      </c>
      <c r="T290" s="80"/>
      <c r="U290" s="81"/>
      <c r="V290" s="82">
        <v>2450</v>
      </c>
      <c r="W290" s="83">
        <f>O290*V290</f>
        <v>12005000</v>
      </c>
      <c r="X290" s="133"/>
      <c r="Y290" s="134" t="s">
        <v>186</v>
      </c>
      <c r="Z290" s="142">
        <f t="shared" si="27"/>
        <v>4802000</v>
      </c>
    </row>
    <row r="291" spans="1:26" s="68" customFormat="1" ht="16" customHeight="1" x14ac:dyDescent="0.45">
      <c r="A291" s="69">
        <v>2603</v>
      </c>
      <c r="B291" s="70">
        <v>46106</v>
      </c>
      <c r="C291" s="159" t="s">
        <v>304</v>
      </c>
      <c r="D291" s="160" t="s">
        <v>58</v>
      </c>
      <c r="E291" s="72" t="s">
        <v>59</v>
      </c>
      <c r="F291" s="73" t="s">
        <v>303</v>
      </c>
      <c r="G291" s="72" t="s">
        <v>59</v>
      </c>
      <c r="H291" s="74" t="s">
        <v>149</v>
      </c>
      <c r="I291" s="74"/>
      <c r="J291" s="74"/>
      <c r="K291" s="85"/>
      <c r="L291" s="76"/>
      <c r="M291" s="77"/>
      <c r="N291" s="78"/>
      <c r="O291" s="79">
        <v>4000</v>
      </c>
      <c r="P291" s="131"/>
      <c r="Q291" s="132"/>
      <c r="R291" s="133">
        <v>1230</v>
      </c>
      <c r="S291" s="133">
        <f>O291*R291</f>
        <v>4920000</v>
      </c>
      <c r="T291" s="80"/>
      <c r="U291" s="81"/>
      <c r="V291" s="82">
        <v>1380</v>
      </c>
      <c r="W291" s="83">
        <f>O291*V291</f>
        <v>5520000</v>
      </c>
      <c r="X291" s="133"/>
      <c r="Y291" s="134" t="s">
        <v>186</v>
      </c>
      <c r="Z291" s="142">
        <f t="shared" si="27"/>
        <v>600000</v>
      </c>
    </row>
    <row r="292" spans="1:26" s="68" customFormat="1" ht="16" customHeight="1" x14ac:dyDescent="0.45">
      <c r="A292" s="69">
        <v>2603</v>
      </c>
      <c r="B292" s="70">
        <v>46108</v>
      </c>
      <c r="C292" s="159" t="s">
        <v>214</v>
      </c>
      <c r="D292" s="160" t="s">
        <v>154</v>
      </c>
      <c r="E292" s="72" t="s">
        <v>307</v>
      </c>
      <c r="F292" s="73" t="s">
        <v>188</v>
      </c>
      <c r="G292" s="72" t="s">
        <v>307</v>
      </c>
      <c r="H292" s="74" t="s">
        <v>308</v>
      </c>
      <c r="I292" s="74"/>
      <c r="J292" s="74"/>
      <c r="K292" s="85"/>
      <c r="L292" s="76"/>
      <c r="M292" s="77">
        <v>106</v>
      </c>
      <c r="N292" s="78"/>
      <c r="O292" s="79"/>
      <c r="P292" s="131"/>
      <c r="Q292" s="132"/>
      <c r="R292" s="133">
        <v>1000</v>
      </c>
      <c r="S292" s="133">
        <f>M292*R292</f>
        <v>106000</v>
      </c>
      <c r="T292" s="80"/>
      <c r="U292" s="81"/>
      <c r="V292" s="82">
        <v>4050</v>
      </c>
      <c r="W292" s="83">
        <f>M292*V292</f>
        <v>429300</v>
      </c>
      <c r="X292" s="133"/>
      <c r="Y292" s="134" t="s">
        <v>216</v>
      </c>
      <c r="Z292" s="142">
        <f t="shared" si="27"/>
        <v>323300</v>
      </c>
    </row>
    <row r="293" spans="1:26" s="68" customFormat="1" ht="16" customHeight="1" x14ac:dyDescent="0.45">
      <c r="A293" s="69">
        <v>2603</v>
      </c>
      <c r="B293" s="70">
        <v>46108</v>
      </c>
      <c r="C293" s="159" t="s">
        <v>214</v>
      </c>
      <c r="D293" s="160" t="s">
        <v>97</v>
      </c>
      <c r="E293" s="72" t="s">
        <v>307</v>
      </c>
      <c r="F293" s="73" t="s">
        <v>188</v>
      </c>
      <c r="G293" s="72" t="s">
        <v>307</v>
      </c>
      <c r="H293" s="74" t="s">
        <v>309</v>
      </c>
      <c r="I293" s="74"/>
      <c r="J293" s="74"/>
      <c r="K293" s="85"/>
      <c r="L293" s="76"/>
      <c r="M293" s="77">
        <v>520.29999999999995</v>
      </c>
      <c r="N293" s="78"/>
      <c r="O293" s="79"/>
      <c r="P293" s="131"/>
      <c r="Q293" s="132"/>
      <c r="R293" s="133">
        <v>1050</v>
      </c>
      <c r="S293" s="133">
        <f>M293*R293</f>
        <v>546315</v>
      </c>
      <c r="T293" s="80"/>
      <c r="U293" s="81"/>
      <c r="V293" s="82">
        <v>4950</v>
      </c>
      <c r="W293" s="83">
        <f>M293*V293</f>
        <v>2575485</v>
      </c>
      <c r="X293" s="133"/>
      <c r="Y293" s="134" t="s">
        <v>216</v>
      </c>
      <c r="Z293" s="142">
        <f t="shared" si="27"/>
        <v>2029170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입출고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Choi</dc:creator>
  <cp:lastModifiedBy>Darren Choi</cp:lastModifiedBy>
  <dcterms:created xsi:type="dcterms:W3CDTF">2026-03-13T08:52:05Z</dcterms:created>
  <dcterms:modified xsi:type="dcterms:W3CDTF">2026-03-27T07:55:56Z</dcterms:modified>
</cp:coreProperties>
</file>